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E:\Bachelorarbeit\4_Ergebnisse\Ergebnisse Umfrage\"/>
    </mc:Choice>
  </mc:AlternateContent>
  <xr:revisionPtr revIDLastSave="0" documentId="13_ncr:1_{F55B7A74-FBC6-40AC-862C-77827D26339A}" xr6:coauthVersionLast="47" xr6:coauthVersionMax="47" xr10:uidLastSave="{00000000-0000-0000-0000-000000000000}"/>
  <bookViews>
    <workbookView xWindow="28680" yWindow="-120" windowWidth="29040" windowHeight="15720" tabRatio="282" firstSheet="2" activeTab="3" xr2:uid="{00000000-000D-0000-FFFF-FFFF00000000}"/>
  </bookViews>
  <sheets>
    <sheet name="Rohdaten" sheetId="1" r:id="rId1"/>
    <sheet name="sortiert_Altersklassen" sheetId="2" r:id="rId2"/>
    <sheet name="Rasterbereiche" sheetId="4" r:id="rId3"/>
    <sheet name="Rasterbereiche (2)" sheetId="5" r:id="rId4"/>
    <sheet name="Haltestellen" sheetId="3" r:id="rId5"/>
  </sheets>
  <externalReferences>
    <externalReference r:id="rId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156" i="5" l="1"/>
  <c r="AV155" i="5"/>
  <c r="AV152" i="5"/>
  <c r="AU156" i="5"/>
  <c r="AV144" i="5"/>
  <c r="AU155" i="5"/>
  <c r="AU154" i="5"/>
  <c r="AU153" i="5"/>
  <c r="AU152" i="5"/>
  <c r="AT156" i="5"/>
  <c r="AT155" i="5"/>
  <c r="AT154" i="5"/>
  <c r="AT153" i="5"/>
  <c r="AT152" i="5"/>
  <c r="AS156" i="5"/>
  <c r="AS155" i="5"/>
  <c r="AS154" i="5"/>
  <c r="AU142" i="5"/>
  <c r="AS153" i="5"/>
  <c r="AS152" i="5"/>
  <c r="AR156" i="5"/>
  <c r="AR155" i="5"/>
  <c r="AR154" i="5"/>
  <c r="AR153" i="5"/>
  <c r="AR152" i="5"/>
  <c r="AQ154" i="5"/>
  <c r="AQ152" i="5"/>
  <c r="AV151" i="5"/>
  <c r="AT151" i="5"/>
  <c r="AS151" i="5"/>
  <c r="AR151" i="5"/>
  <c r="AQ151" i="5"/>
  <c r="AV150" i="5"/>
  <c r="AU150" i="5"/>
  <c r="AT150" i="5"/>
  <c r="AS150" i="5"/>
  <c r="AR150" i="5"/>
  <c r="AQ150" i="5"/>
  <c r="AV145" i="5"/>
  <c r="AV143" i="5"/>
  <c r="AV142" i="5"/>
  <c r="AV141" i="5"/>
  <c r="EY68" i="5"/>
  <c r="EY36" i="5"/>
  <c r="EY56" i="5"/>
  <c r="AU145" i="5"/>
  <c r="AU144" i="5"/>
  <c r="AU143" i="5"/>
  <c r="AU141" i="5"/>
  <c r="EH68" i="5"/>
  <c r="EH56" i="5"/>
  <c r="AT144" i="5"/>
  <c r="AT143" i="5"/>
  <c r="AT142" i="5"/>
  <c r="AT141" i="5"/>
  <c r="AT140" i="5"/>
  <c r="DP68" i="5"/>
  <c r="DP56" i="5"/>
  <c r="AS144" i="5"/>
  <c r="AS143" i="5"/>
  <c r="AS142" i="5"/>
  <c r="AS141" i="5"/>
  <c r="CX68" i="5"/>
  <c r="CX36" i="5"/>
  <c r="AR145" i="5"/>
  <c r="AR144" i="5"/>
  <c r="AR143" i="5"/>
  <c r="AR142" i="5"/>
  <c r="AR141" i="5"/>
  <c r="AR140" i="5"/>
  <c r="CF68" i="5"/>
  <c r="CF36" i="5"/>
  <c r="AQ145" i="5"/>
  <c r="AQ143" i="5"/>
  <c r="AQ142" i="5"/>
  <c r="AQ141" i="5"/>
  <c r="AQ140" i="5"/>
  <c r="BB68" i="5"/>
  <c r="BB36" i="5"/>
  <c r="AI68" i="5"/>
  <c r="AI36" i="5"/>
  <c r="AK36" i="5" s="1"/>
  <c r="AP142" i="5" s="1"/>
  <c r="AP145" i="5"/>
  <c r="EZ73" i="5"/>
  <c r="FA73" i="5" s="1"/>
  <c r="EY73" i="5"/>
  <c r="EZ68" i="5"/>
  <c r="EI73" i="5"/>
  <c r="EJ73" i="5" s="1"/>
  <c r="EH73" i="5"/>
  <c r="EI68" i="5"/>
  <c r="DP73" i="5"/>
  <c r="DQ68" i="5"/>
  <c r="CX73" i="5"/>
  <c r="CY68" i="5"/>
  <c r="CG73" i="5"/>
  <c r="CH73" i="5" s="1"/>
  <c r="CF73" i="5"/>
  <c r="CG68" i="5"/>
  <c r="BC73" i="5"/>
  <c r="BD73" i="5" s="1"/>
  <c r="BB73" i="5"/>
  <c r="AJ68" i="5"/>
  <c r="AJ73" i="5"/>
  <c r="AI73" i="5"/>
  <c r="AP143" i="5"/>
  <c r="AP141" i="5"/>
  <c r="AP140" i="5"/>
  <c r="EZ76" i="5"/>
  <c r="EY76" i="5"/>
  <c r="EY37" i="5"/>
  <c r="EY38" i="5"/>
  <c r="EY39" i="5"/>
  <c r="EY40" i="5"/>
  <c r="EZ56" i="5" s="1"/>
  <c r="EZ36" i="5"/>
  <c r="EZ22" i="5"/>
  <c r="FA22" i="5" s="1"/>
  <c r="EY22" i="5"/>
  <c r="EI76" i="5"/>
  <c r="EH76" i="5"/>
  <c r="EI56" i="5"/>
  <c r="EI36" i="5"/>
  <c r="EJ36" i="5" s="1"/>
  <c r="EH36" i="5"/>
  <c r="EJ22" i="5"/>
  <c r="EI22" i="5"/>
  <c r="EH22" i="5"/>
  <c r="DR76" i="5"/>
  <c r="DQ76" i="5"/>
  <c r="DP76" i="5"/>
  <c r="DQ56" i="5"/>
  <c r="DQ36" i="5"/>
  <c r="DR36" i="5" s="1"/>
  <c r="DP36" i="5"/>
  <c r="DQ22" i="5"/>
  <c r="DR22" i="5" s="1"/>
  <c r="DP22" i="5"/>
  <c r="CY76" i="5"/>
  <c r="CX76" i="5"/>
  <c r="CY56" i="5"/>
  <c r="CZ56" i="5" s="1"/>
  <c r="CX56" i="5"/>
  <c r="CY36" i="5"/>
  <c r="CY22" i="5"/>
  <c r="CZ22" i="5" s="1"/>
  <c r="CX22" i="5"/>
  <c r="CG76" i="5"/>
  <c r="CF76" i="5"/>
  <c r="CH76" i="5" s="1"/>
  <c r="CG56" i="5"/>
  <c r="CH56" i="5" s="1"/>
  <c r="CF56" i="5"/>
  <c r="CG36" i="5"/>
  <c r="CG22" i="5"/>
  <c r="CH22" i="5" s="1"/>
  <c r="CF22" i="5"/>
  <c r="BC76" i="5"/>
  <c r="BD76" i="5" s="1"/>
  <c r="BB76" i="5"/>
  <c r="BC56" i="5"/>
  <c r="BD56" i="5" s="1"/>
  <c r="BB56" i="5"/>
  <c r="BC36" i="5"/>
  <c r="BD22" i="5"/>
  <c r="BC22" i="5"/>
  <c r="BB22" i="5"/>
  <c r="AJ76" i="5"/>
  <c r="AI76" i="5"/>
  <c r="AJ56" i="5"/>
  <c r="AI56" i="5"/>
  <c r="AJ36" i="5"/>
  <c r="AK22" i="5"/>
  <c r="AJ22" i="5"/>
  <c r="AI22" i="5"/>
  <c r="AI57" i="4"/>
  <c r="FA56" i="5" l="1"/>
  <c r="EJ68" i="5"/>
  <c r="EJ56" i="5"/>
  <c r="CZ36" i="5"/>
  <c r="CH36" i="5"/>
  <c r="BD36" i="5"/>
  <c r="FA68" i="5"/>
  <c r="DR56" i="5"/>
  <c r="DR68" i="5"/>
  <c r="CZ68" i="5"/>
  <c r="CH68" i="5"/>
  <c r="AK68" i="5"/>
  <c r="AP144" i="5" s="1"/>
  <c r="AK73" i="5"/>
  <c r="FA36" i="5"/>
  <c r="AK76" i="5"/>
  <c r="AK56" i="5"/>
  <c r="U196" i="5" l="1"/>
  <c r="T196" i="5"/>
  <c r="U195" i="5"/>
  <c r="T195" i="5"/>
  <c r="U194" i="5"/>
  <c r="T194" i="5"/>
  <c r="U193" i="5"/>
  <c r="T193" i="5"/>
  <c r="U192" i="5"/>
  <c r="T192" i="5"/>
  <c r="U188" i="5"/>
  <c r="T188" i="5"/>
  <c r="U187" i="5"/>
  <c r="T187" i="5"/>
  <c r="U186" i="5"/>
  <c r="T186" i="5"/>
  <c r="U185" i="5"/>
  <c r="T185" i="5"/>
  <c r="U181" i="5"/>
  <c r="T181" i="5"/>
  <c r="U180" i="5"/>
  <c r="T180" i="5"/>
  <c r="U179" i="5"/>
  <c r="T179" i="5"/>
  <c r="U178" i="5"/>
  <c r="T178" i="5"/>
  <c r="U174" i="5"/>
  <c r="T174" i="5"/>
  <c r="U173" i="5"/>
  <c r="T173" i="5"/>
  <c r="U172" i="5"/>
  <c r="T172" i="5"/>
  <c r="U171" i="5"/>
  <c r="T171" i="5"/>
  <c r="U170" i="5"/>
  <c r="T170" i="5"/>
  <c r="I170" i="5"/>
  <c r="I169" i="5"/>
  <c r="I168" i="5"/>
  <c r="U166" i="5"/>
  <c r="T166" i="5"/>
  <c r="U165" i="5"/>
  <c r="T165" i="5"/>
  <c r="U164" i="5"/>
  <c r="T164" i="5"/>
  <c r="U163" i="5"/>
  <c r="T163" i="5"/>
  <c r="U162" i="5"/>
  <c r="T162" i="5"/>
  <c r="J162" i="5"/>
  <c r="K162" i="5" s="1"/>
  <c r="J161" i="5"/>
  <c r="K161" i="5" s="1"/>
  <c r="J160" i="5"/>
  <c r="K160" i="5" s="1"/>
  <c r="J159" i="5"/>
  <c r="K159" i="5" s="1"/>
  <c r="U158" i="5"/>
  <c r="T158" i="5"/>
  <c r="J158" i="5"/>
  <c r="K158" i="5" s="1"/>
  <c r="U157" i="5"/>
  <c r="T157" i="5"/>
  <c r="J157" i="5"/>
  <c r="K157" i="5" s="1"/>
  <c r="U156" i="5"/>
  <c r="T156" i="5"/>
  <c r="J156" i="5"/>
  <c r="K156" i="5" s="1"/>
  <c r="U155" i="5"/>
  <c r="T155" i="5"/>
  <c r="J155" i="5"/>
  <c r="K155" i="5" s="1"/>
  <c r="U151" i="5"/>
  <c r="T151" i="5"/>
  <c r="U150" i="5"/>
  <c r="T150" i="5"/>
  <c r="U149" i="5"/>
  <c r="T149" i="5"/>
  <c r="U148" i="5"/>
  <c r="T148" i="5"/>
  <c r="U144" i="5"/>
  <c r="T144" i="5"/>
  <c r="U143" i="5"/>
  <c r="T143" i="5"/>
  <c r="J143" i="5"/>
  <c r="U142" i="5"/>
  <c r="T142" i="5"/>
  <c r="J142" i="5"/>
  <c r="AE141" i="5" s="1"/>
  <c r="AC141" i="5"/>
  <c r="AD141" i="5" s="1"/>
  <c r="U141" i="5"/>
  <c r="T141" i="5"/>
  <c r="J141" i="5"/>
  <c r="AE140" i="5" s="1"/>
  <c r="AC140" i="5"/>
  <c r="AD140" i="5" s="1"/>
  <c r="U140" i="5"/>
  <c r="T140" i="5"/>
  <c r="J140" i="5"/>
  <c r="AE139" i="5" s="1"/>
  <c r="AC139" i="5"/>
  <c r="AD139" i="5" s="1"/>
  <c r="J136" i="5"/>
  <c r="AC135" i="5"/>
  <c r="AD135" i="5" s="1"/>
  <c r="Z135" i="5"/>
  <c r="Z141" i="5" s="1"/>
  <c r="U135" i="5"/>
  <c r="T135" i="5"/>
  <c r="J135" i="5"/>
  <c r="AC134" i="5"/>
  <c r="AD134" i="5" s="1"/>
  <c r="AF134" i="5" s="1"/>
  <c r="Z134" i="5"/>
  <c r="Z140" i="5" s="1"/>
  <c r="U134" i="5"/>
  <c r="T134" i="5"/>
  <c r="J134" i="5"/>
  <c r="AE129" i="5" s="1"/>
  <c r="U133" i="5"/>
  <c r="T133" i="5"/>
  <c r="J133" i="5"/>
  <c r="AE128" i="5" s="1"/>
  <c r="U132" i="5"/>
  <c r="T132" i="5"/>
  <c r="U131" i="5"/>
  <c r="T131" i="5"/>
  <c r="C131" i="5"/>
  <c r="D131" i="5" s="1"/>
  <c r="AC130" i="5"/>
  <c r="AD130" i="5" s="1"/>
  <c r="C130" i="5"/>
  <c r="D130" i="5" s="1"/>
  <c r="AC129" i="5"/>
  <c r="AD129" i="5" s="1"/>
  <c r="Z129" i="5"/>
  <c r="J129" i="5"/>
  <c r="AE124" i="5" s="1"/>
  <c r="C129" i="5"/>
  <c r="D129" i="5" s="1"/>
  <c r="AC128" i="5"/>
  <c r="AD128" i="5" s="1"/>
  <c r="Z128" i="5"/>
  <c r="J128" i="5"/>
  <c r="L128" i="5" s="1"/>
  <c r="C128" i="5"/>
  <c r="D128" i="5" s="1"/>
  <c r="U127" i="5"/>
  <c r="T127" i="5"/>
  <c r="J127" i="5"/>
  <c r="L127" i="5" s="1"/>
  <c r="C127" i="5"/>
  <c r="D127" i="5" s="1"/>
  <c r="U126" i="5"/>
  <c r="T126" i="5"/>
  <c r="J126" i="5"/>
  <c r="AE121" i="5" s="1"/>
  <c r="C126" i="5"/>
  <c r="D126" i="5" s="1"/>
  <c r="U125" i="5"/>
  <c r="T125" i="5"/>
  <c r="J125" i="5"/>
  <c r="AE120" i="5" s="1"/>
  <c r="AC124" i="5"/>
  <c r="AD124" i="5" s="1"/>
  <c r="Z124" i="5"/>
  <c r="J124" i="5"/>
  <c r="AE119" i="5" s="1"/>
  <c r="AC123" i="5"/>
  <c r="AD123" i="5" s="1"/>
  <c r="Z123" i="5"/>
  <c r="J123" i="5"/>
  <c r="AE118" i="5" s="1"/>
  <c r="C123" i="5"/>
  <c r="D123" i="5" s="1"/>
  <c r="AC122" i="5"/>
  <c r="AD122" i="5" s="1"/>
  <c r="Z122" i="5"/>
  <c r="C122" i="5"/>
  <c r="D122" i="5" s="1"/>
  <c r="AC121" i="5"/>
  <c r="AD121" i="5" s="1"/>
  <c r="Z121" i="5"/>
  <c r="U121" i="5"/>
  <c r="T121" i="5"/>
  <c r="C121" i="5"/>
  <c r="D121" i="5" s="1"/>
  <c r="AC120" i="5"/>
  <c r="AD120" i="5" s="1"/>
  <c r="Z120" i="5"/>
  <c r="U120" i="5"/>
  <c r="T120" i="5"/>
  <c r="C120" i="5"/>
  <c r="D120" i="5" s="1"/>
  <c r="AC119" i="5"/>
  <c r="AD119" i="5" s="1"/>
  <c r="Z119" i="5"/>
  <c r="U119" i="5"/>
  <c r="T119" i="5"/>
  <c r="J119" i="5"/>
  <c r="AE114" i="5" s="1"/>
  <c r="C119" i="5"/>
  <c r="D119" i="5" s="1"/>
  <c r="AC118" i="5"/>
  <c r="AD118" i="5" s="1"/>
  <c r="Z118" i="5"/>
  <c r="U118" i="5"/>
  <c r="T118" i="5"/>
  <c r="J118" i="5"/>
  <c r="AE113" i="5" s="1"/>
  <c r="C118" i="5"/>
  <c r="D118" i="5" s="1"/>
  <c r="J117" i="5"/>
  <c r="AE112" i="5" s="1"/>
  <c r="J116" i="5"/>
  <c r="AE111" i="5" s="1"/>
  <c r="AC114" i="5"/>
  <c r="AD114" i="5" s="1"/>
  <c r="U114" i="5"/>
  <c r="T114" i="5"/>
  <c r="AC113" i="5"/>
  <c r="AD113" i="5" s="1"/>
  <c r="U113" i="5"/>
  <c r="T113" i="5"/>
  <c r="D113" i="5"/>
  <c r="AC112" i="5"/>
  <c r="AD112" i="5" s="1"/>
  <c r="U112" i="5"/>
  <c r="T112" i="5"/>
  <c r="D112" i="5"/>
  <c r="AC111" i="5"/>
  <c r="AD111" i="5" s="1"/>
  <c r="U111" i="5"/>
  <c r="T111" i="5"/>
  <c r="J111" i="5"/>
  <c r="D111" i="5"/>
  <c r="U110" i="5"/>
  <c r="T110" i="5"/>
  <c r="J110" i="5"/>
  <c r="D110" i="5"/>
  <c r="J109" i="5"/>
  <c r="G109" i="5"/>
  <c r="D109" i="5"/>
  <c r="J108" i="5"/>
  <c r="G108" i="5"/>
  <c r="D108" i="5"/>
  <c r="DG83" i="5"/>
  <c r="DG82" i="5"/>
  <c r="EY72" i="5"/>
  <c r="EH72" i="5"/>
  <c r="DP72" i="5"/>
  <c r="CX72" i="5"/>
  <c r="CF72" i="5"/>
  <c r="BB72" i="5"/>
  <c r="AI72" i="5"/>
  <c r="EY71" i="5"/>
  <c r="EH71" i="5"/>
  <c r="DP71" i="5"/>
  <c r="DQ73" i="5" s="1"/>
  <c r="DR73" i="5" s="1"/>
  <c r="AT145" i="5" s="1"/>
  <c r="AV154" i="5" s="1"/>
  <c r="CX71" i="5"/>
  <c r="CF71" i="5"/>
  <c r="BB71" i="5"/>
  <c r="AI71" i="5"/>
  <c r="EY70" i="5"/>
  <c r="EH70" i="5"/>
  <c r="DP70" i="5"/>
  <c r="CX70" i="5"/>
  <c r="CY73" i="5" s="1"/>
  <c r="CZ73" i="5" s="1"/>
  <c r="AS145" i="5" s="1"/>
  <c r="AV153" i="5" s="1"/>
  <c r="AI70" i="5"/>
  <c r="EY55" i="5"/>
  <c r="EH55" i="5"/>
  <c r="DP55" i="5"/>
  <c r="CX55" i="5"/>
  <c r="CF55" i="5"/>
  <c r="BB55" i="5"/>
  <c r="AI55" i="5"/>
  <c r="EY54" i="5"/>
  <c r="EH54" i="5"/>
  <c r="DP54" i="5"/>
  <c r="CX54" i="5"/>
  <c r="CF54" i="5"/>
  <c r="BB54" i="5"/>
  <c r="AI54" i="5"/>
  <c r="EY53" i="5"/>
  <c r="EH53" i="5"/>
  <c r="DP53" i="5"/>
  <c r="CX53" i="5"/>
  <c r="CF53" i="5"/>
  <c r="BB53" i="5"/>
  <c r="AI53" i="5"/>
  <c r="EY51" i="5"/>
  <c r="EH51" i="5"/>
  <c r="DP51" i="5"/>
  <c r="CX51" i="5"/>
  <c r="CF51" i="5"/>
  <c r="BB51" i="5"/>
  <c r="AI51" i="5"/>
  <c r="EY50" i="5"/>
  <c r="EH50" i="5"/>
  <c r="DP50" i="5"/>
  <c r="CX50" i="5"/>
  <c r="CF50" i="5"/>
  <c r="BB50" i="5"/>
  <c r="AI50" i="5"/>
  <c r="EY35" i="5"/>
  <c r="EH35" i="5"/>
  <c r="DP35" i="5"/>
  <c r="CX35" i="5"/>
  <c r="CF35" i="5"/>
  <c r="BB35" i="5"/>
  <c r="AI35" i="5"/>
  <c r="EY34" i="5"/>
  <c r="EH34" i="5"/>
  <c r="DP34" i="5"/>
  <c r="CX34" i="5"/>
  <c r="CF34" i="5"/>
  <c r="AI34" i="5"/>
  <c r="EY21" i="5"/>
  <c r="EH21" i="5"/>
  <c r="DP21" i="5"/>
  <c r="CX21" i="5"/>
  <c r="AI21" i="5"/>
  <c r="BB20" i="5"/>
  <c r="AI20" i="5"/>
  <c r="EY19" i="5"/>
  <c r="EH19" i="5"/>
  <c r="DP19" i="5"/>
  <c r="CX19" i="5"/>
  <c r="CF19" i="5"/>
  <c r="BB19" i="5"/>
  <c r="AI19" i="5"/>
  <c r="EY18" i="5"/>
  <c r="EH18" i="5"/>
  <c r="DP18" i="5"/>
  <c r="CX18" i="5"/>
  <c r="AI18" i="5"/>
  <c r="EH75" i="5"/>
  <c r="DP75" i="5"/>
  <c r="AI75" i="5"/>
  <c r="EY69" i="5"/>
  <c r="EH69" i="5"/>
  <c r="DP69" i="5"/>
  <c r="CX69" i="5"/>
  <c r="CF69" i="5"/>
  <c r="BB69" i="5"/>
  <c r="AI69" i="5"/>
  <c r="EY66" i="5"/>
  <c r="EH66" i="5"/>
  <c r="DP66" i="5"/>
  <c r="CX66" i="5"/>
  <c r="CF66" i="5"/>
  <c r="BB66" i="5"/>
  <c r="AI66" i="5"/>
  <c r="EY65" i="5"/>
  <c r="EH65" i="5"/>
  <c r="CX65" i="5"/>
  <c r="CF65" i="5"/>
  <c r="CX64" i="5"/>
  <c r="CF64" i="5"/>
  <c r="BB64" i="5"/>
  <c r="AI64" i="5"/>
  <c r="EY63" i="5"/>
  <c r="EH63" i="5"/>
  <c r="DP63" i="5"/>
  <c r="CX63" i="5"/>
  <c r="CF63" i="5"/>
  <c r="AI63" i="5"/>
  <c r="CX62" i="5"/>
  <c r="CF62" i="5"/>
  <c r="AI62" i="5"/>
  <c r="EY61" i="5"/>
  <c r="EH61" i="5"/>
  <c r="DP61" i="5"/>
  <c r="CX61" i="5"/>
  <c r="CF61" i="5"/>
  <c r="BB61" i="5"/>
  <c r="AI61" i="5"/>
  <c r="EY60" i="5"/>
  <c r="EH60" i="5"/>
  <c r="DP60" i="5"/>
  <c r="CX60" i="5"/>
  <c r="EY49" i="5"/>
  <c r="EH49" i="5"/>
  <c r="DP49" i="5"/>
  <c r="CX49" i="5"/>
  <c r="CF49" i="5"/>
  <c r="BB49" i="5"/>
  <c r="AI49" i="5"/>
  <c r="EY48" i="5"/>
  <c r="EH48" i="5"/>
  <c r="DP48" i="5"/>
  <c r="CX48" i="5"/>
  <c r="CF48" i="5"/>
  <c r="BB48" i="5"/>
  <c r="AI48" i="5"/>
  <c r="EY47" i="5"/>
  <c r="EH47" i="5"/>
  <c r="DP47" i="5"/>
  <c r="CX47" i="5"/>
  <c r="CF47" i="5"/>
  <c r="BB47" i="5"/>
  <c r="AI47" i="5"/>
  <c r="EY32" i="5"/>
  <c r="EH32" i="5"/>
  <c r="DP32" i="5"/>
  <c r="CX32" i="5"/>
  <c r="CF32" i="5"/>
  <c r="BB32" i="5"/>
  <c r="AI32" i="5"/>
  <c r="AI31" i="5"/>
  <c r="EY30" i="5"/>
  <c r="EH30" i="5"/>
  <c r="AI30" i="5"/>
  <c r="EY29" i="5"/>
  <c r="EH29" i="5"/>
  <c r="AI29" i="5"/>
  <c r="EY17" i="5"/>
  <c r="EH17" i="5"/>
  <c r="DP17" i="5"/>
  <c r="CX17" i="5"/>
  <c r="CF17" i="5"/>
  <c r="BB17" i="5"/>
  <c r="AI17" i="5"/>
  <c r="EY16" i="5"/>
  <c r="EH16" i="5"/>
  <c r="DP16" i="5"/>
  <c r="CX16" i="5"/>
  <c r="CF16" i="5"/>
  <c r="BB16" i="5"/>
  <c r="AI16" i="5"/>
  <c r="EY15" i="5"/>
  <c r="EH15" i="5"/>
  <c r="DP15" i="5"/>
  <c r="CX15" i="5"/>
  <c r="CF15" i="5"/>
  <c r="BB15" i="5"/>
  <c r="AI15" i="5"/>
  <c r="EY13" i="5"/>
  <c r="EH13" i="5"/>
  <c r="DP13" i="5"/>
  <c r="CX13" i="5"/>
  <c r="CF13" i="5"/>
  <c r="BB13" i="5"/>
  <c r="AI13" i="5"/>
  <c r="AI12" i="5"/>
  <c r="EY46" i="5"/>
  <c r="CX46" i="5"/>
  <c r="CF46" i="5"/>
  <c r="AI46" i="5"/>
  <c r="EY45" i="5"/>
  <c r="EH45" i="5"/>
  <c r="CX45" i="5"/>
  <c r="CF45" i="5"/>
  <c r="AI45" i="5"/>
  <c r="EY44" i="5"/>
  <c r="EH44" i="5"/>
  <c r="DP44" i="5"/>
  <c r="CX44" i="5"/>
  <c r="CF44" i="5"/>
  <c r="AI44" i="5"/>
  <c r="AI43" i="5"/>
  <c r="AI42" i="5"/>
  <c r="AI41" i="5"/>
  <c r="DP26" i="5"/>
  <c r="CX26" i="5"/>
  <c r="AI26" i="5"/>
  <c r="EY25" i="5"/>
  <c r="EH25" i="5"/>
  <c r="DP25" i="5"/>
  <c r="CX25" i="5"/>
  <c r="AI25" i="5"/>
  <c r="EY11" i="5"/>
  <c r="EH11" i="5"/>
  <c r="DP11" i="5"/>
  <c r="CX11" i="5"/>
  <c r="CF11" i="5"/>
  <c r="AI11" i="5"/>
  <c r="EY10" i="5"/>
  <c r="EH10" i="5"/>
  <c r="DP10" i="5"/>
  <c r="CX10" i="5"/>
  <c r="CF10" i="5"/>
  <c r="AI10" i="5"/>
  <c r="AI9" i="5"/>
  <c r="AI8" i="5"/>
  <c r="AI7" i="5"/>
  <c r="EY6" i="5"/>
  <c r="EH6" i="5"/>
  <c r="DP6" i="5"/>
  <c r="CX6" i="5"/>
  <c r="CF6" i="5"/>
  <c r="BB6" i="5"/>
  <c r="AI6" i="5"/>
  <c r="EY5" i="5"/>
  <c r="EH5" i="5"/>
  <c r="DP5" i="5"/>
  <c r="AI5" i="5"/>
  <c r="DP74" i="5"/>
  <c r="CF74" i="5"/>
  <c r="AI74" i="5"/>
  <c r="EY59" i="5"/>
  <c r="EH59" i="5"/>
  <c r="DP59" i="5"/>
  <c r="CX59" i="5"/>
  <c r="AI59" i="5"/>
  <c r="EY58" i="5"/>
  <c r="EH58" i="5"/>
  <c r="DP58" i="5"/>
  <c r="CX58" i="5"/>
  <c r="CF58" i="5"/>
  <c r="BB58" i="5"/>
  <c r="AI58" i="5"/>
  <c r="EY57" i="5"/>
  <c r="EH57" i="5"/>
  <c r="DP57" i="5"/>
  <c r="CX57" i="5"/>
  <c r="CF57" i="5"/>
  <c r="BB57" i="5"/>
  <c r="AI57" i="5"/>
  <c r="EH40" i="5"/>
  <c r="DP40" i="5"/>
  <c r="CX40" i="5"/>
  <c r="CF40" i="5"/>
  <c r="AI40" i="5"/>
  <c r="EH39" i="5"/>
  <c r="DP39" i="5"/>
  <c r="CX39" i="5"/>
  <c r="CF39" i="5"/>
  <c r="AI39" i="5"/>
  <c r="EH38" i="5"/>
  <c r="DP38" i="5"/>
  <c r="AI38" i="5"/>
  <c r="EH37" i="5"/>
  <c r="DP37" i="5"/>
  <c r="CX37" i="5"/>
  <c r="CF37" i="5"/>
  <c r="AI37" i="5"/>
  <c r="EY24" i="5"/>
  <c r="EH24" i="5"/>
  <c r="DP24" i="5"/>
  <c r="CX24" i="5"/>
  <c r="CF24" i="5"/>
  <c r="AI24" i="5"/>
  <c r="EY23" i="5"/>
  <c r="EH23" i="5"/>
  <c r="DP23" i="5"/>
  <c r="CX23" i="5"/>
  <c r="CF23" i="5"/>
  <c r="AI23" i="5"/>
  <c r="EY4" i="5"/>
  <c r="EH4" i="5"/>
  <c r="DP4" i="5"/>
  <c r="CX4" i="5"/>
  <c r="CF4" i="5"/>
  <c r="BB4" i="5"/>
  <c r="AI4" i="5"/>
  <c r="AI3" i="5"/>
  <c r="EY1" i="5"/>
  <c r="EH1" i="5"/>
  <c r="DP1" i="5"/>
  <c r="CX1" i="5"/>
  <c r="CF1" i="5"/>
  <c r="BB1" i="5"/>
  <c r="AI1" i="5"/>
  <c r="AA4" i="3"/>
  <c r="Z4" i="3"/>
  <c r="Z18" i="3"/>
  <c r="AA11" i="3"/>
  <c r="D121" i="4"/>
  <c r="S152" i="2"/>
  <c r="S151" i="2"/>
  <c r="R152" i="2"/>
  <c r="R151" i="2"/>
  <c r="Q151" i="2"/>
  <c r="Q152" i="2"/>
  <c r="Q153" i="2"/>
  <c r="Q154" i="2"/>
  <c r="Q150" i="2"/>
  <c r="P154" i="2"/>
  <c r="P151" i="2"/>
  <c r="P152" i="2"/>
  <c r="P150" i="2"/>
  <c r="P148" i="2"/>
  <c r="O151" i="2"/>
  <c r="O152" i="2"/>
  <c r="O153" i="2"/>
  <c r="O150" i="2"/>
  <c r="O149" i="2"/>
  <c r="N149" i="2"/>
  <c r="N148" i="2"/>
  <c r="CV6" i="2"/>
  <c r="U94" i="2"/>
  <c r="O139" i="2"/>
  <c r="O138" i="2"/>
  <c r="O137" i="2"/>
  <c r="O136" i="2"/>
  <c r="O135" i="2"/>
  <c r="O134" i="2"/>
  <c r="O133" i="2"/>
  <c r="F78" i="1"/>
  <c r="BC68" i="5" l="1"/>
  <c r="BD68" i="5" s="1"/>
  <c r="AQ144" i="5" s="1"/>
  <c r="AU151" i="5" s="1"/>
  <c r="AF141" i="5"/>
  <c r="J112" i="5"/>
  <c r="AF128" i="5"/>
  <c r="AF130" i="5"/>
  <c r="DP77" i="5"/>
  <c r="AG129" i="5"/>
  <c r="W118" i="5"/>
  <c r="R220" i="5" s="1"/>
  <c r="AF111" i="5"/>
  <c r="AF112" i="5"/>
  <c r="AF135" i="5"/>
  <c r="AF140" i="5"/>
  <c r="AF113" i="5"/>
  <c r="AF129" i="5"/>
  <c r="W125" i="5"/>
  <c r="R221" i="5" s="1"/>
  <c r="W148" i="5"/>
  <c r="R215" i="5" s="1"/>
  <c r="W178" i="5"/>
  <c r="T215" i="5" s="1"/>
  <c r="W185" i="5"/>
  <c r="T216" i="5" s="1"/>
  <c r="W192" i="5"/>
  <c r="T217" i="5" s="1"/>
  <c r="W162" i="5"/>
  <c r="R217" i="5" s="1"/>
  <c r="AF139" i="5"/>
  <c r="W140" i="5"/>
  <c r="R214" i="5" s="1"/>
  <c r="AF114" i="5"/>
  <c r="AE122" i="5"/>
  <c r="W155" i="5"/>
  <c r="R216" i="5" s="1"/>
  <c r="W110" i="5"/>
  <c r="R219" i="5" s="1"/>
  <c r="W131" i="5"/>
  <c r="R222" i="5" s="1"/>
  <c r="W170" i="5"/>
  <c r="T214" i="5" s="1"/>
  <c r="CX77" i="5"/>
  <c r="EH77" i="5"/>
  <c r="AG141" i="5"/>
  <c r="AE123" i="5"/>
  <c r="AG124" i="5" s="1"/>
  <c r="G111" i="5"/>
  <c r="L117" i="5"/>
  <c r="L141" i="5"/>
  <c r="E128" i="5"/>
  <c r="AG130" i="5"/>
  <c r="AG114" i="5"/>
  <c r="BB77" i="5"/>
  <c r="J137" i="5"/>
  <c r="CF77" i="5"/>
  <c r="D114" i="5"/>
  <c r="AE134" i="5"/>
  <c r="E120" i="5"/>
  <c r="AG111" i="5"/>
  <c r="AG113" i="5"/>
  <c r="AF120" i="5"/>
  <c r="AG112" i="5"/>
  <c r="AF118" i="5"/>
  <c r="AF119" i="5"/>
  <c r="AF123" i="5"/>
  <c r="AF124" i="5"/>
  <c r="AF122" i="5"/>
  <c r="AF121" i="5"/>
  <c r="AG140" i="5"/>
  <c r="AG139" i="5"/>
  <c r="J120" i="5"/>
  <c r="J144" i="5"/>
  <c r="J130" i="5"/>
  <c r="L134" i="5"/>
  <c r="AE135" i="5"/>
  <c r="L142" i="5"/>
  <c r="L119" i="5"/>
  <c r="AG128" i="5"/>
  <c r="L133" i="5"/>
  <c r="D122" i="4"/>
  <c r="C126" i="4"/>
  <c r="D126" i="4" s="1"/>
  <c r="C125" i="4"/>
  <c r="D125" i="4" s="1"/>
  <c r="C124" i="4"/>
  <c r="D124" i="4" s="1"/>
  <c r="C123" i="4"/>
  <c r="D123" i="4" s="1"/>
  <c r="C122" i="4"/>
  <c r="C121" i="4"/>
  <c r="C118" i="4"/>
  <c r="D118" i="4" s="1"/>
  <c r="C117" i="4"/>
  <c r="D117" i="4" s="1"/>
  <c r="C116" i="4"/>
  <c r="D116" i="4" s="1"/>
  <c r="C115" i="4"/>
  <c r="D115" i="4" s="1"/>
  <c r="C114" i="4"/>
  <c r="D114" i="4" s="1"/>
  <c r="C113" i="4"/>
  <c r="D113" i="4" s="1"/>
  <c r="E115" i="4" s="1"/>
  <c r="U99" i="2"/>
  <c r="X99" i="2" s="1"/>
  <c r="U98" i="2"/>
  <c r="X98" i="2" s="1"/>
  <c r="U97" i="2"/>
  <c r="X97" i="2" s="1"/>
  <c r="U96" i="2"/>
  <c r="T96" i="2"/>
  <c r="U95" i="2"/>
  <c r="X95" i="2" s="1"/>
  <c r="T99" i="2"/>
  <c r="W99" i="2" s="1"/>
  <c r="T98" i="2"/>
  <c r="W98" i="2" s="1"/>
  <c r="T97" i="2"/>
  <c r="W97" i="2" s="1"/>
  <c r="T95" i="2"/>
  <c r="T94" i="2"/>
  <c r="W94" i="2" s="1"/>
  <c r="Y99" i="2"/>
  <c r="Y98" i="2"/>
  <c r="Y97" i="2"/>
  <c r="Y96" i="2"/>
  <c r="Y95" i="2"/>
  <c r="Y94" i="2"/>
  <c r="X94" i="2" s="1"/>
  <c r="S99" i="2"/>
  <c r="S98" i="2"/>
  <c r="S97" i="2"/>
  <c r="V97" i="2" s="1"/>
  <c r="S96" i="2"/>
  <c r="V96" i="2" s="1"/>
  <c r="S95" i="2"/>
  <c r="S94" i="2"/>
  <c r="DG78" i="4"/>
  <c r="DG77" i="4"/>
  <c r="AI78" i="4"/>
  <c r="EY78" i="4"/>
  <c r="EY57" i="4"/>
  <c r="EH78" i="4"/>
  <c r="EH57" i="4"/>
  <c r="DP78" i="4"/>
  <c r="DP57" i="4"/>
  <c r="CX78" i="4"/>
  <c r="CX57" i="4"/>
  <c r="CF78" i="4"/>
  <c r="BB57" i="4"/>
  <c r="CF57" i="4"/>
  <c r="BB78" i="4"/>
  <c r="EY30" i="4"/>
  <c r="EY75" i="4"/>
  <c r="EY74" i="4"/>
  <c r="EY73" i="4"/>
  <c r="EY72" i="4"/>
  <c r="EY71" i="4"/>
  <c r="EY70" i="4"/>
  <c r="EY69" i="4"/>
  <c r="EY67" i="4"/>
  <c r="EY66" i="4"/>
  <c r="EY65" i="4"/>
  <c r="EY64" i="4"/>
  <c r="EY62" i="4"/>
  <c r="EY60" i="4"/>
  <c r="EY59" i="4"/>
  <c r="EY55" i="4"/>
  <c r="EY54" i="4"/>
  <c r="EY53" i="4"/>
  <c r="EY51" i="4"/>
  <c r="EY49" i="4"/>
  <c r="EY48" i="4"/>
  <c r="EY47" i="4"/>
  <c r="EY46" i="4"/>
  <c r="EY45" i="4"/>
  <c r="EY44" i="4"/>
  <c r="EY42" i="4"/>
  <c r="EY41" i="4"/>
  <c r="EY38" i="4"/>
  <c r="EY37" i="4"/>
  <c r="EY36" i="4"/>
  <c r="EY34" i="4"/>
  <c r="EY29" i="4"/>
  <c r="EY28" i="4"/>
  <c r="EY23" i="4"/>
  <c r="EY22" i="4"/>
  <c r="EY21" i="4"/>
  <c r="EY17" i="4"/>
  <c r="EY16" i="4"/>
  <c r="EY14" i="4"/>
  <c r="EY13" i="4"/>
  <c r="EY12" i="4"/>
  <c r="EY11" i="4"/>
  <c r="EY10" i="4"/>
  <c r="EY9" i="4"/>
  <c r="EY8" i="4"/>
  <c r="EY7" i="4"/>
  <c r="EY6" i="4"/>
  <c r="EY5" i="4"/>
  <c r="EY2" i="4"/>
  <c r="EH53" i="4"/>
  <c r="EH41" i="4"/>
  <c r="EH42" i="4"/>
  <c r="EH28" i="4"/>
  <c r="EH29" i="4"/>
  <c r="EH75" i="4"/>
  <c r="EH74" i="4"/>
  <c r="EH73" i="4"/>
  <c r="EH72" i="4"/>
  <c r="EH71" i="4"/>
  <c r="EH70" i="4"/>
  <c r="EH69" i="4"/>
  <c r="EH67" i="4"/>
  <c r="EH66" i="4"/>
  <c r="EH65" i="4"/>
  <c r="EH64" i="4"/>
  <c r="EH62" i="4"/>
  <c r="EH60" i="4"/>
  <c r="EH59" i="4"/>
  <c r="EH58" i="4"/>
  <c r="EH55" i="4"/>
  <c r="EH54" i="4"/>
  <c r="EH51" i="4"/>
  <c r="EH49" i="4"/>
  <c r="EH48" i="4"/>
  <c r="EH47" i="4"/>
  <c r="EH46" i="4"/>
  <c r="EH45" i="4"/>
  <c r="EH44" i="4"/>
  <c r="EH38" i="4"/>
  <c r="EH37" i="4"/>
  <c r="EH36" i="4"/>
  <c r="EH34" i="4"/>
  <c r="EH23" i="4"/>
  <c r="EH22" i="4"/>
  <c r="EH21" i="4"/>
  <c r="EH17" i="4"/>
  <c r="EH16" i="4"/>
  <c r="EH14" i="4"/>
  <c r="EH13" i="4"/>
  <c r="EH12" i="4"/>
  <c r="EH11" i="4"/>
  <c r="EH10" i="4"/>
  <c r="EH9" i="4"/>
  <c r="EH8" i="4"/>
  <c r="EH7" i="4"/>
  <c r="EH6" i="4"/>
  <c r="EH5" i="4"/>
  <c r="EH2" i="4"/>
  <c r="DP58" i="4"/>
  <c r="DP59" i="4"/>
  <c r="DP60" i="4"/>
  <c r="DP9" i="4"/>
  <c r="DP10" i="4"/>
  <c r="DP11" i="4"/>
  <c r="DP12" i="4"/>
  <c r="DP13" i="4"/>
  <c r="DP14" i="4"/>
  <c r="DP15" i="4"/>
  <c r="DP16" i="4"/>
  <c r="DP17" i="4"/>
  <c r="DP21" i="4"/>
  <c r="DP22" i="4"/>
  <c r="DP23" i="4"/>
  <c r="DP24" i="4"/>
  <c r="DP28" i="4"/>
  <c r="DP75" i="4"/>
  <c r="DP74" i="4"/>
  <c r="DP73" i="4"/>
  <c r="DP72" i="4"/>
  <c r="DP71" i="4"/>
  <c r="DP70" i="4"/>
  <c r="DP69" i="4"/>
  <c r="DP67" i="4"/>
  <c r="DP66" i="4"/>
  <c r="DP65" i="4"/>
  <c r="DP64" i="4"/>
  <c r="DP62" i="4"/>
  <c r="DP55" i="4"/>
  <c r="DP54" i="4"/>
  <c r="DP51" i="4"/>
  <c r="DP49" i="4"/>
  <c r="DP48" i="4"/>
  <c r="DP47" i="4"/>
  <c r="DP46" i="4"/>
  <c r="DP45" i="4"/>
  <c r="DP44" i="4"/>
  <c r="DP38" i="4"/>
  <c r="DP37" i="4"/>
  <c r="DP36" i="4"/>
  <c r="DP34" i="4"/>
  <c r="DP8" i="4"/>
  <c r="DP7" i="4"/>
  <c r="DP6" i="4"/>
  <c r="DP5" i="4"/>
  <c r="DP2" i="4"/>
  <c r="CX66" i="4"/>
  <c r="CX67" i="4"/>
  <c r="CX69" i="4"/>
  <c r="CX70" i="4"/>
  <c r="CX71" i="4"/>
  <c r="CX72" i="4"/>
  <c r="CX73" i="4"/>
  <c r="CX74" i="4"/>
  <c r="CX75" i="4"/>
  <c r="CX59" i="4"/>
  <c r="CX60" i="4"/>
  <c r="CX62" i="4"/>
  <c r="CX50" i="4"/>
  <c r="CX51" i="4"/>
  <c r="CX52" i="4"/>
  <c r="CX53" i="4"/>
  <c r="CX54" i="4"/>
  <c r="CX48" i="4"/>
  <c r="CX23" i="4"/>
  <c r="CX24" i="4"/>
  <c r="CX65" i="4"/>
  <c r="CX64" i="4"/>
  <c r="CX55" i="4"/>
  <c r="CX49" i="4"/>
  <c r="CX47" i="4"/>
  <c r="CX46" i="4"/>
  <c r="CX45" i="4"/>
  <c r="CX44" i="4"/>
  <c r="CX38" i="4"/>
  <c r="CX37" i="4"/>
  <c r="CX36" i="4"/>
  <c r="CX34" i="4"/>
  <c r="CX30" i="4"/>
  <c r="CX29" i="4"/>
  <c r="CX28" i="4"/>
  <c r="CX22" i="4"/>
  <c r="CX21" i="4"/>
  <c r="CX17" i="4"/>
  <c r="CX15" i="4"/>
  <c r="CX14" i="4"/>
  <c r="CX13" i="4"/>
  <c r="CX12" i="4"/>
  <c r="CX11" i="4"/>
  <c r="CX10" i="4"/>
  <c r="CX8" i="4"/>
  <c r="CX7" i="4"/>
  <c r="CX6" i="4"/>
  <c r="CX5" i="4"/>
  <c r="CX2" i="4"/>
  <c r="CF64" i="4"/>
  <c r="CF65" i="4"/>
  <c r="CF66" i="4"/>
  <c r="CF67" i="4"/>
  <c r="CF69" i="4"/>
  <c r="CF70" i="4"/>
  <c r="CF71" i="4"/>
  <c r="CF73" i="4"/>
  <c r="CF74" i="4"/>
  <c r="CF75" i="4"/>
  <c r="CF60" i="4"/>
  <c r="CF50" i="4"/>
  <c r="CF51" i="4"/>
  <c r="CF52" i="4"/>
  <c r="CF53" i="4"/>
  <c r="CF54" i="4"/>
  <c r="CF55" i="4"/>
  <c r="CF6" i="4"/>
  <c r="CF7" i="4"/>
  <c r="CF8" i="4"/>
  <c r="CF10" i="4"/>
  <c r="CF11" i="4"/>
  <c r="CF12" i="4"/>
  <c r="CF13" i="4"/>
  <c r="CF15" i="4"/>
  <c r="CF17" i="4"/>
  <c r="CF21" i="4"/>
  <c r="CF22" i="4"/>
  <c r="CF28" i="4"/>
  <c r="CF29" i="4"/>
  <c r="CF30" i="4"/>
  <c r="CF49" i="4"/>
  <c r="CF47" i="4"/>
  <c r="CF46" i="4"/>
  <c r="CF45" i="4"/>
  <c r="CF44" i="4"/>
  <c r="CF38" i="4"/>
  <c r="CF37" i="4"/>
  <c r="CF36" i="4"/>
  <c r="CF34" i="4"/>
  <c r="CF5" i="4"/>
  <c r="CF2" i="4"/>
  <c r="BB2" i="4"/>
  <c r="BB31" i="4" s="1"/>
  <c r="BB74" i="4"/>
  <c r="BB73" i="4"/>
  <c r="BB71" i="4"/>
  <c r="BB70" i="4"/>
  <c r="BB69" i="4"/>
  <c r="BB67" i="4"/>
  <c r="BB66" i="4"/>
  <c r="BB65" i="4"/>
  <c r="BB61" i="4"/>
  <c r="BB60" i="4"/>
  <c r="BB76" i="4" s="1"/>
  <c r="BB55" i="4"/>
  <c r="BB54" i="4"/>
  <c r="BB52" i="4"/>
  <c r="BB49" i="4"/>
  <c r="BB47" i="4"/>
  <c r="BB46" i="4"/>
  <c r="BB45" i="4"/>
  <c r="BB44" i="4"/>
  <c r="BB38" i="4"/>
  <c r="BB37" i="4"/>
  <c r="BB36" i="4"/>
  <c r="BB34" i="4"/>
  <c r="BB17" i="4"/>
  <c r="BB13" i="4"/>
  <c r="BB12" i="4"/>
  <c r="BB5" i="4"/>
  <c r="AI49" i="4"/>
  <c r="AI4" i="4"/>
  <c r="AI5" i="4"/>
  <c r="AI6" i="4"/>
  <c r="AI7" i="4"/>
  <c r="AI8" i="4"/>
  <c r="AI9" i="4"/>
  <c r="AI10" i="4"/>
  <c r="AI11" i="4"/>
  <c r="AI12" i="4"/>
  <c r="AI13" i="4"/>
  <c r="AI14" i="4"/>
  <c r="AI15" i="4"/>
  <c r="AI16" i="4"/>
  <c r="AI17" i="4"/>
  <c r="AI18" i="4"/>
  <c r="AI19" i="4"/>
  <c r="AI20" i="4"/>
  <c r="AI21" i="4"/>
  <c r="AI22" i="4"/>
  <c r="AI23" i="4"/>
  <c r="AI24" i="4"/>
  <c r="AI25" i="4"/>
  <c r="AI26" i="4"/>
  <c r="AI27" i="4"/>
  <c r="AI28" i="4"/>
  <c r="AI29" i="4"/>
  <c r="AI30" i="4"/>
  <c r="AI33" i="4"/>
  <c r="AI34" i="4"/>
  <c r="AI36" i="4"/>
  <c r="AI37" i="4"/>
  <c r="AI38" i="4"/>
  <c r="AI41" i="4"/>
  <c r="AI42" i="4"/>
  <c r="AI43" i="4"/>
  <c r="AI44" i="4"/>
  <c r="AI45" i="4"/>
  <c r="AI46" i="4"/>
  <c r="AI47" i="4"/>
  <c r="AI50" i="4"/>
  <c r="AI51" i="4"/>
  <c r="AI52" i="4"/>
  <c r="AI54" i="4"/>
  <c r="AI55" i="4"/>
  <c r="AI58" i="4"/>
  <c r="AI59" i="4"/>
  <c r="AI60" i="4"/>
  <c r="AI61" i="4"/>
  <c r="AI62" i="4"/>
  <c r="AI64" i="4"/>
  <c r="AI65" i="4"/>
  <c r="AI66" i="4"/>
  <c r="AI67" i="4"/>
  <c r="AI69" i="4"/>
  <c r="AI70" i="4"/>
  <c r="AI71" i="4"/>
  <c r="AI72" i="4"/>
  <c r="AI73" i="4"/>
  <c r="AI74" i="4"/>
  <c r="AI2" i="4"/>
  <c r="AG122" i="5" l="1"/>
  <c r="AG135" i="5"/>
  <c r="AG119" i="5"/>
  <c r="AG118" i="5"/>
  <c r="AG121" i="5"/>
  <c r="AG123" i="5"/>
  <c r="AI139" i="5"/>
  <c r="AG134" i="5"/>
  <c r="AI111" i="5"/>
  <c r="AI128" i="5"/>
  <c r="AG120" i="5"/>
  <c r="E123" i="4"/>
  <c r="V98" i="2"/>
  <c r="X96" i="2"/>
  <c r="V99" i="2"/>
  <c r="W95" i="2"/>
  <c r="V94" i="2"/>
  <c r="V95" i="2"/>
  <c r="W96" i="2"/>
  <c r="BB77" i="4"/>
  <c r="BC78" i="4" s="1"/>
  <c r="EY76" i="4"/>
  <c r="EH31" i="4"/>
  <c r="EH76" i="4"/>
  <c r="DP31" i="4"/>
  <c r="EH56" i="4"/>
  <c r="EI57" i="4" s="1"/>
  <c r="EY31" i="4"/>
  <c r="EY56" i="4"/>
  <c r="EZ57" i="4" s="1"/>
  <c r="DP56" i="4"/>
  <c r="DQ57" i="4" s="1"/>
  <c r="CX76" i="4"/>
  <c r="DP76" i="4"/>
  <c r="CX31" i="4"/>
  <c r="CF31" i="4"/>
  <c r="CF77" i="4" s="1"/>
  <c r="CG78" i="4" s="1"/>
  <c r="CF56" i="4"/>
  <c r="CG57" i="4" s="1"/>
  <c r="CX56" i="4"/>
  <c r="CY57" i="4" s="1"/>
  <c r="BB56" i="4"/>
  <c r="BC57" i="4" s="1"/>
  <c r="CF76" i="4"/>
  <c r="AI76" i="4"/>
  <c r="AI56" i="4"/>
  <c r="AJ57" i="4" s="1"/>
  <c r="AI31" i="4"/>
  <c r="CV71" i="2"/>
  <c r="CV70" i="2"/>
  <c r="CV69" i="2"/>
  <c r="CV67" i="2"/>
  <c r="CV66" i="2"/>
  <c r="CV65" i="2"/>
  <c r="CV64" i="2"/>
  <c r="CV63" i="2"/>
  <c r="CV62" i="2"/>
  <c r="CV61" i="2"/>
  <c r="CV60" i="2"/>
  <c r="CV59" i="2"/>
  <c r="CV58" i="2"/>
  <c r="CV57" i="2"/>
  <c r="CV56" i="2"/>
  <c r="CV55" i="2"/>
  <c r="CV54" i="2"/>
  <c r="CV53" i="2"/>
  <c r="CV52" i="2"/>
  <c r="CV51" i="2"/>
  <c r="CV50" i="2"/>
  <c r="CV49" i="2"/>
  <c r="CV48" i="2"/>
  <c r="CV47" i="2"/>
  <c r="CV41" i="2"/>
  <c r="CV40" i="2"/>
  <c r="CV39" i="2"/>
  <c r="CV38" i="2"/>
  <c r="CV36" i="2"/>
  <c r="CV35" i="2"/>
  <c r="CV34" i="2"/>
  <c r="CV32" i="2"/>
  <c r="CV31" i="2"/>
  <c r="CV29" i="2"/>
  <c r="CV28" i="2"/>
  <c r="CV25" i="2"/>
  <c r="CV24" i="2"/>
  <c r="CV23" i="2"/>
  <c r="CV22" i="2"/>
  <c r="CV21" i="2"/>
  <c r="CV20" i="2"/>
  <c r="CV18" i="2"/>
  <c r="CV4" i="2"/>
  <c r="CV8" i="2"/>
  <c r="CV9" i="2"/>
  <c r="CV3" i="2"/>
  <c r="T106" i="4"/>
  <c r="AC107" i="4"/>
  <c r="AD107" i="4" s="1"/>
  <c r="AC108" i="4"/>
  <c r="AD108" i="4" s="1"/>
  <c r="AC109" i="4"/>
  <c r="AD109" i="4" s="1"/>
  <c r="AC113" i="4"/>
  <c r="AD113" i="4" s="1"/>
  <c r="AC114" i="4"/>
  <c r="AD114" i="4" s="1"/>
  <c r="AC115" i="4"/>
  <c r="AD115" i="4" s="1"/>
  <c r="AC116" i="4"/>
  <c r="AD116" i="4" s="1"/>
  <c r="AC117" i="4"/>
  <c r="AD117" i="4" s="1"/>
  <c r="AC118" i="4"/>
  <c r="AD118" i="4" s="1"/>
  <c r="AC119" i="4"/>
  <c r="AD119" i="4" s="1"/>
  <c r="AC123" i="4"/>
  <c r="AD123" i="4" s="1"/>
  <c r="AC124" i="4"/>
  <c r="AD124" i="4" s="1"/>
  <c r="AC125" i="4"/>
  <c r="AD125" i="4" s="1"/>
  <c r="AC129" i="4"/>
  <c r="AD129" i="4" s="1"/>
  <c r="AC130" i="4"/>
  <c r="AD130" i="4" s="1"/>
  <c r="AC134" i="4"/>
  <c r="AD134" i="4" s="1"/>
  <c r="AC135" i="4"/>
  <c r="AD135" i="4" s="1"/>
  <c r="AC136" i="4"/>
  <c r="AD136" i="4" s="1"/>
  <c r="AC106" i="4"/>
  <c r="AD106" i="4" s="1"/>
  <c r="Z129" i="4"/>
  <c r="Z135" i="4" s="1"/>
  <c r="Z130" i="4"/>
  <c r="Z136" i="4" s="1"/>
  <c r="Z124" i="4"/>
  <c r="Z123" i="4"/>
  <c r="Z114" i="4"/>
  <c r="Z115" i="4"/>
  <c r="Z116" i="4"/>
  <c r="Z117" i="4"/>
  <c r="Z118" i="4"/>
  <c r="Z119" i="4"/>
  <c r="Z113" i="4"/>
  <c r="U191" i="4"/>
  <c r="U188" i="4"/>
  <c r="U189" i="4"/>
  <c r="U190" i="4"/>
  <c r="U187" i="4"/>
  <c r="T188" i="4"/>
  <c r="T189" i="4"/>
  <c r="T190" i="4"/>
  <c r="T191" i="4"/>
  <c r="T187" i="4"/>
  <c r="U183" i="4"/>
  <c r="U181" i="4"/>
  <c r="U182" i="4"/>
  <c r="U180" i="4"/>
  <c r="T181" i="4"/>
  <c r="T182" i="4"/>
  <c r="T183" i="4"/>
  <c r="T180" i="4"/>
  <c r="U176" i="4"/>
  <c r="U174" i="4"/>
  <c r="U175" i="4"/>
  <c r="U173" i="4"/>
  <c r="T174" i="4"/>
  <c r="T175" i="4"/>
  <c r="T176" i="4"/>
  <c r="T173" i="4"/>
  <c r="U169" i="4"/>
  <c r="U166" i="4"/>
  <c r="U167" i="4"/>
  <c r="U168" i="4"/>
  <c r="U165" i="4"/>
  <c r="T166" i="4"/>
  <c r="T167" i="4"/>
  <c r="T168" i="4"/>
  <c r="T169" i="4"/>
  <c r="T165" i="4"/>
  <c r="U161" i="4"/>
  <c r="T157" i="4"/>
  <c r="U151" i="4"/>
  <c r="U152" i="4"/>
  <c r="U153" i="4"/>
  <c r="T151" i="4"/>
  <c r="T152" i="4"/>
  <c r="T153" i="4"/>
  <c r="U150" i="4"/>
  <c r="T150" i="4"/>
  <c r="T158" i="4"/>
  <c r="U159" i="4"/>
  <c r="U158" i="4"/>
  <c r="U160" i="4"/>
  <c r="U157" i="4"/>
  <c r="T159" i="4"/>
  <c r="T160" i="4"/>
  <c r="T161" i="4"/>
  <c r="U146" i="4"/>
  <c r="U145" i="4"/>
  <c r="U144" i="4"/>
  <c r="U143" i="4"/>
  <c r="T144" i="4"/>
  <c r="T145" i="4"/>
  <c r="T146" i="4"/>
  <c r="T143" i="4"/>
  <c r="U138" i="4"/>
  <c r="U136" i="4"/>
  <c r="U137" i="4"/>
  <c r="U139" i="4"/>
  <c r="U135" i="4"/>
  <c r="T136" i="4"/>
  <c r="T137" i="4"/>
  <c r="T138" i="4"/>
  <c r="T139" i="4"/>
  <c r="T135" i="4"/>
  <c r="U105" i="4"/>
  <c r="U127" i="4"/>
  <c r="U128" i="4"/>
  <c r="U129" i="4"/>
  <c r="U130" i="4"/>
  <c r="U126" i="4"/>
  <c r="T127" i="4"/>
  <c r="T128" i="4"/>
  <c r="T129" i="4"/>
  <c r="T130" i="4"/>
  <c r="T126" i="4"/>
  <c r="U122" i="4"/>
  <c r="U121" i="4"/>
  <c r="U120" i="4"/>
  <c r="T122" i="4"/>
  <c r="T120" i="4"/>
  <c r="T121" i="4"/>
  <c r="U116" i="4"/>
  <c r="U115" i="4"/>
  <c r="U114" i="4"/>
  <c r="U113" i="4"/>
  <c r="T114" i="4"/>
  <c r="T115" i="4"/>
  <c r="T116" i="4"/>
  <c r="T113" i="4"/>
  <c r="U106" i="4"/>
  <c r="U107" i="4"/>
  <c r="U108" i="4"/>
  <c r="U109" i="4"/>
  <c r="T107" i="4"/>
  <c r="T108" i="4"/>
  <c r="T109" i="4"/>
  <c r="T105" i="4"/>
  <c r="J152" i="4"/>
  <c r="K152" i="4" s="1"/>
  <c r="J151" i="4"/>
  <c r="K151" i="4" s="1"/>
  <c r="J157" i="4"/>
  <c r="K157" i="4" s="1"/>
  <c r="J156" i="4"/>
  <c r="K156" i="4" s="1"/>
  <c r="J155" i="4"/>
  <c r="K155" i="4" s="1"/>
  <c r="J154" i="4"/>
  <c r="K154" i="4" s="1"/>
  <c r="J153" i="4"/>
  <c r="K153" i="4" s="1"/>
  <c r="J150" i="4"/>
  <c r="K150" i="4" s="1"/>
  <c r="J120" i="4"/>
  <c r="AE115" i="4" s="1"/>
  <c r="J119" i="4"/>
  <c r="AE114" i="4" s="1"/>
  <c r="J118" i="4"/>
  <c r="AE113" i="4" s="1"/>
  <c r="J104" i="4"/>
  <c r="J106" i="4"/>
  <c r="J105" i="4"/>
  <c r="J103" i="4"/>
  <c r="G104" i="4"/>
  <c r="G103" i="4"/>
  <c r="D104" i="4"/>
  <c r="D103" i="4"/>
  <c r="J138" i="4"/>
  <c r="J137" i="4"/>
  <c r="L137" i="4" s="1"/>
  <c r="J136" i="4"/>
  <c r="L136" i="4" s="1"/>
  <c r="J135" i="4"/>
  <c r="AE134" i="4" s="1"/>
  <c r="J131" i="4"/>
  <c r="J130" i="4"/>
  <c r="J129" i="4"/>
  <c r="L129" i="4" s="1"/>
  <c r="J128" i="4"/>
  <c r="L128" i="4" s="1"/>
  <c r="J124" i="4"/>
  <c r="AE119" i="4" s="1"/>
  <c r="J123" i="4"/>
  <c r="L123" i="4" s="1"/>
  <c r="J122" i="4"/>
  <c r="L122" i="4" s="1"/>
  <c r="J121" i="4"/>
  <c r="AE116" i="4" s="1"/>
  <c r="J114" i="4"/>
  <c r="L114" i="4" s="1"/>
  <c r="J113" i="4"/>
  <c r="AE108" i="4" s="1"/>
  <c r="J112" i="4"/>
  <c r="L112" i="4" s="1"/>
  <c r="J111" i="4"/>
  <c r="AE106" i="4" s="1"/>
  <c r="D108" i="4"/>
  <c r="D107" i="4"/>
  <c r="D106" i="4"/>
  <c r="D105" i="4"/>
  <c r="I165" i="4"/>
  <c r="I164" i="4"/>
  <c r="I163" i="4"/>
  <c r="AA34" i="3"/>
  <c r="Z34" i="3"/>
  <c r="X35" i="3"/>
  <c r="S35" i="3"/>
  <c r="N35" i="3"/>
  <c r="I35" i="3"/>
  <c r="D35" i="3"/>
  <c r="AA18" i="3"/>
  <c r="AA25" i="3"/>
  <c r="Z25" i="3"/>
  <c r="Z11" i="3"/>
  <c r="X19" i="3"/>
  <c r="S19" i="3"/>
  <c r="N19" i="3"/>
  <c r="I19" i="3"/>
  <c r="D19" i="3"/>
  <c r="X12" i="3"/>
  <c r="S12" i="3"/>
  <c r="N12" i="3"/>
  <c r="I12" i="3"/>
  <c r="D12" i="3"/>
  <c r="X5" i="3"/>
  <c r="S5" i="3"/>
  <c r="N5" i="3"/>
  <c r="I5" i="3"/>
  <c r="D5" i="3"/>
  <c r="X26" i="3"/>
  <c r="S26" i="3"/>
  <c r="N26" i="3"/>
  <c r="I26" i="3"/>
  <c r="D26" i="3"/>
  <c r="O123" i="2"/>
  <c r="O122" i="2"/>
  <c r="O119" i="2"/>
  <c r="O118" i="2"/>
  <c r="O115" i="2"/>
  <c r="O114" i="2"/>
  <c r="O113" i="2"/>
  <c r="O112" i="2"/>
  <c r="O111" i="2"/>
  <c r="O108" i="2"/>
  <c r="O107" i="2"/>
  <c r="O104" i="2"/>
  <c r="O106" i="2"/>
  <c r="O105" i="2"/>
  <c r="O99" i="2"/>
  <c r="O101" i="2"/>
  <c r="O100" i="2"/>
  <c r="O98" i="2"/>
  <c r="O97" i="2"/>
  <c r="O94" i="2"/>
  <c r="O93" i="2"/>
  <c r="J99" i="1"/>
  <c r="J98" i="1"/>
  <c r="I113" i="2"/>
  <c r="I111" i="2"/>
  <c r="I108" i="2"/>
  <c r="I107" i="2"/>
  <c r="I110" i="2"/>
  <c r="I109" i="2"/>
  <c r="I112" i="2"/>
  <c r="I103" i="2"/>
  <c r="I102" i="2"/>
  <c r="I101" i="2"/>
  <c r="I100" i="2"/>
  <c r="I96" i="2"/>
  <c r="I95" i="2"/>
  <c r="I94" i="2"/>
  <c r="I93" i="2"/>
  <c r="F94" i="2"/>
  <c r="F93" i="2"/>
  <c r="C98" i="2"/>
  <c r="C97" i="2"/>
  <c r="C96" i="2"/>
  <c r="C95" i="2"/>
  <c r="C94" i="2"/>
  <c r="C93" i="2"/>
  <c r="I127" i="2"/>
  <c r="I126" i="2"/>
  <c r="I125" i="2"/>
  <c r="I124" i="2"/>
  <c r="I120" i="2"/>
  <c r="I119" i="2"/>
  <c r="I118" i="2"/>
  <c r="I117" i="2"/>
  <c r="J112" i="1"/>
  <c r="J111" i="1"/>
  <c r="J110" i="1"/>
  <c r="J109" i="1"/>
  <c r="J105" i="1"/>
  <c r="J104" i="1"/>
  <c r="J103" i="1"/>
  <c r="J102" i="1"/>
  <c r="J94" i="1"/>
  <c r="J89" i="1"/>
  <c r="I79" i="1"/>
  <c r="J97" i="1"/>
  <c r="J96" i="1"/>
  <c r="J95" i="1"/>
  <c r="J93" i="1"/>
  <c r="J92" i="1"/>
  <c r="J88" i="1"/>
  <c r="J87" i="1"/>
  <c r="J86" i="1"/>
  <c r="J85" i="1"/>
  <c r="I81" i="1"/>
  <c r="I80" i="1"/>
  <c r="I78" i="1"/>
  <c r="F79" i="1"/>
  <c r="F81" i="1"/>
  <c r="C83" i="1"/>
  <c r="C82" i="1"/>
  <c r="C81" i="1"/>
  <c r="C80" i="1"/>
  <c r="C79" i="1"/>
  <c r="C78" i="1"/>
  <c r="C84" i="1" s="1"/>
  <c r="AI134" i="5" l="1"/>
  <c r="AI118" i="5"/>
  <c r="DP77" i="4"/>
  <c r="DQ78" i="4" s="1"/>
  <c r="AI77" i="4"/>
  <c r="AJ78" i="4" s="1"/>
  <c r="CX77" i="4"/>
  <c r="CY78" i="4" s="1"/>
  <c r="EH77" i="4"/>
  <c r="EI78" i="4" s="1"/>
  <c r="EY77" i="4"/>
  <c r="EZ78" i="4" s="1"/>
  <c r="AF136" i="4"/>
  <c r="W113" i="4"/>
  <c r="R215" i="4" s="1"/>
  <c r="AF130" i="4"/>
  <c r="AF134" i="4"/>
  <c r="AF117" i="4"/>
  <c r="AF106" i="4"/>
  <c r="AF109" i="4"/>
  <c r="AF107" i="4"/>
  <c r="AF129" i="4"/>
  <c r="AF115" i="4"/>
  <c r="AF116" i="4"/>
  <c r="AF125" i="4"/>
  <c r="AF124" i="4"/>
  <c r="AF114" i="4"/>
  <c r="AF123" i="4"/>
  <c r="AF119" i="4"/>
  <c r="AF113" i="4"/>
  <c r="AF135" i="4"/>
  <c r="AF118" i="4"/>
  <c r="AF108" i="4"/>
  <c r="AE136" i="4"/>
  <c r="AE117" i="4"/>
  <c r="AE109" i="4"/>
  <c r="AE135" i="4"/>
  <c r="AE107" i="4"/>
  <c r="AE123" i="4"/>
  <c r="W157" i="4"/>
  <c r="R212" i="4" s="1"/>
  <c r="AE124" i="4"/>
  <c r="AE129" i="4"/>
  <c r="AE118" i="4"/>
  <c r="AG118" i="4" s="1"/>
  <c r="AE130" i="4"/>
  <c r="W187" i="4"/>
  <c r="T212" i="4" s="1"/>
  <c r="W180" i="4"/>
  <c r="T211" i="4" s="1"/>
  <c r="W173" i="4"/>
  <c r="T210" i="4" s="1"/>
  <c r="W165" i="4"/>
  <c r="T209" i="4" s="1"/>
  <c r="W105" i="4"/>
  <c r="R214" i="4" s="1"/>
  <c r="W150" i="4"/>
  <c r="R211" i="4" s="1"/>
  <c r="W143" i="4"/>
  <c r="R210" i="4" s="1"/>
  <c r="W135" i="4"/>
  <c r="R209" i="4" s="1"/>
  <c r="W126" i="4"/>
  <c r="R217" i="4" s="1"/>
  <c r="W120" i="4"/>
  <c r="R216" i="4" s="1"/>
  <c r="G106" i="4"/>
  <c r="D109" i="4"/>
  <c r="J132" i="4"/>
  <c r="J107" i="4"/>
  <c r="J115" i="4"/>
  <c r="J125" i="4"/>
  <c r="J139" i="4"/>
  <c r="O95" i="2"/>
  <c r="O120" i="2"/>
  <c r="O116" i="2"/>
  <c r="O109" i="2"/>
  <c r="O124" i="2"/>
  <c r="O102" i="2"/>
  <c r="I114" i="2"/>
  <c r="F96" i="2"/>
  <c r="I121" i="2"/>
  <c r="I97" i="2"/>
  <c r="C99" i="2"/>
  <c r="I128" i="2"/>
  <c r="I104" i="2"/>
  <c r="J113" i="1"/>
  <c r="J106" i="1"/>
  <c r="I82" i="1"/>
  <c r="AG117" i="4" l="1"/>
  <c r="AG136" i="4"/>
  <c r="AG130" i="4"/>
  <c r="AG109" i="4"/>
  <c r="AG124" i="4"/>
  <c r="AG115" i="4"/>
  <c r="AG129" i="4"/>
  <c r="AG106" i="4"/>
  <c r="AG114" i="4"/>
  <c r="AG116" i="4"/>
  <c r="AG123" i="4"/>
  <c r="AG125" i="4"/>
  <c r="AG107" i="4"/>
  <c r="AG134" i="4"/>
  <c r="AG119" i="4"/>
  <c r="AG113" i="4"/>
  <c r="AG135" i="4"/>
  <c r="AG108" i="4"/>
  <c r="AI113" i="4" l="1"/>
  <c r="AI129" i="4"/>
  <c r="AI123" i="4"/>
  <c r="AI106" i="4"/>
  <c r="AI134" i="4"/>
</calcChain>
</file>

<file path=xl/sharedStrings.xml><?xml version="1.0" encoding="utf-8"?>
<sst xmlns="http://schemas.openxmlformats.org/spreadsheetml/2006/main" count="18392" uniqueCount="932">
  <si>
    <t>CASE</t>
  </si>
  <si>
    <t>A001</t>
  </si>
  <si>
    <t>A003</t>
  </si>
  <si>
    <t>A004</t>
  </si>
  <si>
    <t>A004_01</t>
  </si>
  <si>
    <t>A004_02</t>
  </si>
  <si>
    <t>A004_03</t>
  </si>
  <si>
    <t>A004_04</t>
  </si>
  <si>
    <t>A004_05</t>
  </si>
  <si>
    <t>A004_06</t>
  </si>
  <si>
    <t>A004_07</t>
  </si>
  <si>
    <t>A004_08</t>
  </si>
  <si>
    <t>A004_09</t>
  </si>
  <si>
    <t>A005</t>
  </si>
  <si>
    <t>A005x01</t>
  </si>
  <si>
    <t>A005x02</t>
  </si>
  <si>
    <t>A006</t>
  </si>
  <si>
    <t>A007</t>
  </si>
  <si>
    <t>A008</t>
  </si>
  <si>
    <t>A009</t>
  </si>
  <si>
    <t>A010</t>
  </si>
  <si>
    <t>A107</t>
  </si>
  <si>
    <t>A107x01</t>
  </si>
  <si>
    <t>A107x02</t>
  </si>
  <si>
    <t>A101</t>
  </si>
  <si>
    <t>A102</t>
  </si>
  <si>
    <t>A103</t>
  </si>
  <si>
    <t>A103x01</t>
  </si>
  <si>
    <t>A103x02</t>
  </si>
  <si>
    <t>A104</t>
  </si>
  <si>
    <t>A105</t>
  </si>
  <si>
    <t>A106</t>
  </si>
  <si>
    <t>A106x01</t>
  </si>
  <si>
    <t>A106x02</t>
  </si>
  <si>
    <t>A109</t>
  </si>
  <si>
    <t>A109x01</t>
  </si>
  <si>
    <t>A109x02</t>
  </si>
  <si>
    <t>A110</t>
  </si>
  <si>
    <t>A208</t>
  </si>
  <si>
    <t>A208x01</t>
  </si>
  <si>
    <t>A208x02</t>
  </si>
  <si>
    <t>A201</t>
  </si>
  <si>
    <t>A202</t>
  </si>
  <si>
    <t>A203</t>
  </si>
  <si>
    <t>A203x01</t>
  </si>
  <si>
    <t>A203x02</t>
  </si>
  <si>
    <t>A204</t>
  </si>
  <si>
    <t>A205</t>
  </si>
  <si>
    <t>A206</t>
  </si>
  <si>
    <t>A206x01</t>
  </si>
  <si>
    <t>A206x02</t>
  </si>
  <si>
    <t>A209</t>
  </si>
  <si>
    <t>A209x01</t>
  </si>
  <si>
    <t>A210</t>
  </si>
  <si>
    <t>A301</t>
  </si>
  <si>
    <t>A302</t>
  </si>
  <si>
    <t>A303</t>
  </si>
  <si>
    <t>A303x01</t>
  </si>
  <si>
    <t>A303x02</t>
  </si>
  <si>
    <t>A304</t>
  </si>
  <si>
    <t>A305</t>
  </si>
  <si>
    <t>A306</t>
  </si>
  <si>
    <t>A306x01</t>
  </si>
  <si>
    <t>A306x02</t>
  </si>
  <si>
    <t>A308</t>
  </si>
  <si>
    <t>A308x01</t>
  </si>
  <si>
    <t>A309</t>
  </si>
  <si>
    <t>A407</t>
  </si>
  <si>
    <t>A407x01</t>
  </si>
  <si>
    <t>A401</t>
  </si>
  <si>
    <t>A402</t>
  </si>
  <si>
    <t>A403</t>
  </si>
  <si>
    <t>A403x01</t>
  </si>
  <si>
    <t>A403x02</t>
  </si>
  <si>
    <t>A404</t>
  </si>
  <si>
    <t>A405</t>
  </si>
  <si>
    <t>A406</t>
  </si>
  <si>
    <t>A406x01</t>
  </si>
  <si>
    <t>A406x02</t>
  </si>
  <si>
    <t>A409</t>
  </si>
  <si>
    <t>A409x01</t>
  </si>
  <si>
    <t>A411</t>
  </si>
  <si>
    <t>A507</t>
  </si>
  <si>
    <t>A507x01</t>
  </si>
  <si>
    <t>A507x02</t>
  </si>
  <si>
    <t>A501</t>
  </si>
  <si>
    <t>A502</t>
  </si>
  <si>
    <t>A503</t>
  </si>
  <si>
    <t>A503x01</t>
  </si>
  <si>
    <t>A503x02</t>
  </si>
  <si>
    <t>A504</t>
  </si>
  <si>
    <t>A505</t>
  </si>
  <si>
    <t>A506</t>
  </si>
  <si>
    <t>A506x01</t>
  </si>
  <si>
    <t>A506x02</t>
  </si>
  <si>
    <t>A509</t>
  </si>
  <si>
    <t>A509x01</t>
  </si>
  <si>
    <t>A510</t>
  </si>
  <si>
    <t>A608</t>
  </si>
  <si>
    <t>A608x01</t>
  </si>
  <si>
    <t>A608x02</t>
  </si>
  <si>
    <t>A601</t>
  </si>
  <si>
    <t>A602</t>
  </si>
  <si>
    <t>A603</t>
  </si>
  <si>
    <t>A603x01</t>
  </si>
  <si>
    <t>A603x02</t>
  </si>
  <si>
    <t>A604</t>
  </si>
  <si>
    <t>A605</t>
  </si>
  <si>
    <t>A606</t>
  </si>
  <si>
    <t>A606x01</t>
  </si>
  <si>
    <t>A606x02</t>
  </si>
  <si>
    <t>A609</t>
  </si>
  <si>
    <t>A609x01</t>
  </si>
  <si>
    <t>A610</t>
  </si>
  <si>
    <t>A717</t>
  </si>
  <si>
    <t>A717x01</t>
  </si>
  <si>
    <t>A717x02</t>
  </si>
  <si>
    <t>A701</t>
  </si>
  <si>
    <t>A702</t>
  </si>
  <si>
    <t>A703</t>
  </si>
  <si>
    <t>A703x01</t>
  </si>
  <si>
    <t>A703x02</t>
  </si>
  <si>
    <t>A704</t>
  </si>
  <si>
    <t>A705</t>
  </si>
  <si>
    <t>A706</t>
  </si>
  <si>
    <t>A706x01</t>
  </si>
  <si>
    <t>A706x02</t>
  </si>
  <si>
    <t>A707_01</t>
  </si>
  <si>
    <t>A722</t>
  </si>
  <si>
    <t>A722x01</t>
  </si>
  <si>
    <t>A708</t>
  </si>
  <si>
    <t>A709</t>
  </si>
  <si>
    <t>A710</t>
  </si>
  <si>
    <t>A710x01</t>
  </si>
  <si>
    <t>A710x02</t>
  </si>
  <si>
    <t>A711</t>
  </si>
  <si>
    <t>A712</t>
  </si>
  <si>
    <t>A713</t>
  </si>
  <si>
    <t>A713x01</t>
  </si>
  <si>
    <t>A713x02</t>
  </si>
  <si>
    <t>A714_01</t>
  </si>
  <si>
    <t>A718</t>
  </si>
  <si>
    <t>A718x01</t>
  </si>
  <si>
    <t>A719</t>
  </si>
  <si>
    <t>A719x01</t>
  </si>
  <si>
    <t>A720</t>
  </si>
  <si>
    <t>A721</t>
  </si>
  <si>
    <t>A801</t>
  </si>
  <si>
    <t>A801x01</t>
  </si>
  <si>
    <t>A801x02</t>
  </si>
  <si>
    <t>A801x03</t>
  </si>
  <si>
    <t>A801x04</t>
  </si>
  <si>
    <t>A802_01</t>
  </si>
  <si>
    <t>A802_02</t>
  </si>
  <si>
    <t>A803_01</t>
  </si>
  <si>
    <t>A803_02</t>
  </si>
  <si>
    <t>A804</t>
  </si>
  <si>
    <t>A804x01</t>
  </si>
  <si>
    <t>A804x02</t>
  </si>
  <si>
    <t>A804x03</t>
  </si>
  <si>
    <t>A901</t>
  </si>
  <si>
    <t>A902</t>
  </si>
  <si>
    <t>A903_01</t>
  </si>
  <si>
    <t>A904_01</t>
  </si>
  <si>
    <t>TIME001</t>
  </si>
  <si>
    <t>TIME002</t>
  </si>
  <si>
    <t>TIME003</t>
  </si>
  <si>
    <t>TIME004</t>
  </si>
  <si>
    <t>TIME005</t>
  </si>
  <si>
    <t>TIME006</t>
  </si>
  <si>
    <t>TIME007</t>
  </si>
  <si>
    <t>TIME008</t>
  </si>
  <si>
    <t>TIME009</t>
  </si>
  <si>
    <t>TIME010</t>
  </si>
  <si>
    <t>TIME011</t>
  </si>
  <si>
    <t>TIME012</t>
  </si>
  <si>
    <t>TIME013</t>
  </si>
  <si>
    <t>TIME014</t>
  </si>
  <si>
    <t>TIME015</t>
  </si>
  <si>
    <t>TIME_SUM</t>
  </si>
  <si>
    <t>MAILSENT</t>
  </si>
  <si>
    <t>LASTDATA</t>
  </si>
  <si>
    <t>STATUS</t>
  </si>
  <si>
    <t>FINISHED</t>
  </si>
  <si>
    <t>Q_VIEWER</t>
  </si>
  <si>
    <t>LASTPAGE</t>
  </si>
  <si>
    <t>MAXPAGE</t>
  </si>
  <si>
    <t>MISSING</t>
  </si>
  <si>
    <t>MISSREL</t>
  </si>
  <si>
    <t>TIME_RSI</t>
  </si>
  <si>
    <t>Interview-Nummer (fortlaufend)</t>
  </si>
  <si>
    <t>Alter</t>
  </si>
  <si>
    <t>Geschlecht</t>
  </si>
  <si>
    <t>Mobilität: Ausweichoption (negativ) oder Anzahl ausgewählter Optionen</t>
  </si>
  <si>
    <t>Mobilität: zu Fuß</t>
  </si>
  <si>
    <t>Mobilität: Fahrrad</t>
  </si>
  <si>
    <t>Mobilität: E-Bike/Pedelec</t>
  </si>
  <si>
    <t>Mobilität: E-Roller</t>
  </si>
  <si>
    <t>Mobilität: Mofa/Motorrad</t>
  </si>
  <si>
    <t>Mobilität: Auto</t>
  </si>
  <si>
    <t>Mobilität: Bus</t>
  </si>
  <si>
    <t>Mobilität: Bahn</t>
  </si>
  <si>
    <t>Mobilität: Fahrgemeinschaft</t>
  </si>
  <si>
    <t>Sonstige Verkehrsmittel: Anzahl der Nennungen</t>
  </si>
  <si>
    <t>Sonstige Verkehrsmittel: Nennung 1</t>
  </si>
  <si>
    <t>Sonstige Verkehrsmittel: Nennung 2</t>
  </si>
  <si>
    <t>Wohnort Raster</t>
  </si>
  <si>
    <t>Wohnort Süden</t>
  </si>
  <si>
    <t>Wohnort Westen</t>
  </si>
  <si>
    <t>Wohnort Osten</t>
  </si>
  <si>
    <t>Wohnort Vollmersweiler</t>
  </si>
  <si>
    <t>gewählte Einrichtung: Anzahl der Nennungen</t>
  </si>
  <si>
    <t>gewählte Einrichtung: Nennung 1</t>
  </si>
  <si>
    <t>gewählte Einrichtung: Nennung 2</t>
  </si>
  <si>
    <t>Erreichbarkeit</t>
  </si>
  <si>
    <t>Mobilität</t>
  </si>
  <si>
    <t>Dauer</t>
  </si>
  <si>
    <t>gewünschte Erreichbarkeit</t>
  </si>
  <si>
    <t>Hindernisse: Anzahl der Nennungen</t>
  </si>
  <si>
    <t>Hindernisse: Nennung 1</t>
  </si>
  <si>
    <t>Hindernisse: Nennung 2</t>
  </si>
  <si>
    <t>Bedeutung Erreichbarkeit</t>
  </si>
  <si>
    <t>Gesundheitsversorgung: Anzahl der Nennungen</t>
  </si>
  <si>
    <t>Gesundheitsversorgung: Nennung 1</t>
  </si>
  <si>
    <t>Wocheneinkaufsmöglichkeit: Anzahl der Nennungen</t>
  </si>
  <si>
    <t>Wocheneinkaufsmöglichkeit: Nennung 1</t>
  </si>
  <si>
    <t>Wocheneinkaufsmöglichkeit: Nennung 2</t>
  </si>
  <si>
    <t>Freizeitmöglichkeit: Anzahl der Nennungen</t>
  </si>
  <si>
    <t>Freizeitmöglichkeit: Nennung 1</t>
  </si>
  <si>
    <t>Freizeitmöglichkeit: Nennung 2</t>
  </si>
  <si>
    <t>Bushaltestelle: Anzahl der Nennungen</t>
  </si>
  <si>
    <t>Bushaltestelle: Nennung 1</t>
  </si>
  <si>
    <t>Bushaltestelle: Nennung 2</t>
  </si>
  <si>
    <t>Linienverbindung: [01]</t>
  </si>
  <si>
    <t>Bahnhaltestelle: Anzahl der Nennungen</t>
  </si>
  <si>
    <t>Bahnhaltestelle: Nennung 1</t>
  </si>
  <si>
    <t>geringe Nähe: Anzahl der Nennungen</t>
  </si>
  <si>
    <t>geringe Nähe: Nennung 1</t>
  </si>
  <si>
    <t>geringe Nähe: Nennung 2</t>
  </si>
  <si>
    <t>geringe Nähe: Nennung 3</t>
  </si>
  <si>
    <t>geringe Nähe: Nennung 4</t>
  </si>
  <si>
    <t>keine Nutzung: Nicht genutztes Angebot</t>
  </si>
  <si>
    <t>keine Nutzung: Grund dafür</t>
  </si>
  <si>
    <t>generelle Verbesserung: Anzahl der Nennungen</t>
  </si>
  <si>
    <t>generelle Verbesserung: Nennung 1</t>
  </si>
  <si>
    <t>generelle Verbesserung: Nennung 2</t>
  </si>
  <si>
    <t>generelle Verbesserung: Nennung 3</t>
  </si>
  <si>
    <t>Gewichtung</t>
  </si>
  <si>
    <t>Vergleich</t>
  </si>
  <si>
    <t>Anmerkungen: [01]</t>
  </si>
  <si>
    <t>Anmerkungen generell: [01]</t>
  </si>
  <si>
    <t>Verweildauer Seite 1</t>
  </si>
  <si>
    <t>Verweildauer Seite 2</t>
  </si>
  <si>
    <t>Verweildauer Seite 3</t>
  </si>
  <si>
    <t>Verweildauer Seite 4</t>
  </si>
  <si>
    <t>Verweildauer Seite 5</t>
  </si>
  <si>
    <t>Verweildauer Seite 6</t>
  </si>
  <si>
    <t>Verweildauer Seite 7</t>
  </si>
  <si>
    <t>Verweildauer Seite 8</t>
  </si>
  <si>
    <t>Verweildauer Seite 9</t>
  </si>
  <si>
    <t>Verweildauer Seite 10</t>
  </si>
  <si>
    <t>Verweildauer Seite 11</t>
  </si>
  <si>
    <t>Verweildauer Seite 12</t>
  </si>
  <si>
    <t>Verweildauer Seite 13</t>
  </si>
  <si>
    <t>Verweildauer Seite 14</t>
  </si>
  <si>
    <t>Verweildauer Seite 15</t>
  </si>
  <si>
    <t>Verweildauer gesamt (ohne Ausreißer)</t>
  </si>
  <si>
    <t>Versandzeitpunkt der Einladungsmail (nur für nicht-anonyme Adressaten)</t>
  </si>
  <si>
    <t>Zeitpunkt als der Datensatz das letzte mal geändert wurde</t>
  </si>
  <si>
    <t>Status des Interviews (Markierung)</t>
  </si>
  <si>
    <t>Wurde die Befragung abgeschlossen (letzte Seite erreicht)?</t>
  </si>
  <si>
    <t>Hat der Teilnehmer den Fragebogen nur angesehen, ohne die Pflichtfragen zu beantworten?</t>
  </si>
  <si>
    <t>Seite, die der Teilnehmer zuletzt bearbeitet hat</t>
  </si>
  <si>
    <t>Letzte Seite, die im Fragebogen bearbeitet wurde</t>
  </si>
  <si>
    <t>Anteil fehlender Antworten in Prozent</t>
  </si>
  <si>
    <t>Anteil fehlender Antworten (gewichtet nach Relevanz)</t>
  </si>
  <si>
    <t>Ausfüll-Geschwindigkeit (relativ)</t>
  </si>
  <si>
    <t>0</t>
  </si>
  <si>
    <t>jünger als 15 Jahre</t>
  </si>
  <si>
    <t>Männlich</t>
  </si>
  <si>
    <t>4</t>
  </si>
  <si>
    <t>ausgewählt</t>
  </si>
  <si>
    <t>nicht gewählt</t>
  </si>
  <si>
    <t>rot (südlicher Bereich von Schaidt)</t>
  </si>
  <si>
    <t>B1</t>
  </si>
  <si>
    <t>Schaidt Grundschule</t>
  </si>
  <si>
    <t>1 – Sehr schlecht erreichbar</t>
  </si>
  <si>
    <t>Bus</t>
  </si>
  <si>
    <t>10-20 Minuten</t>
  </si>
  <si>
    <t>Mofa/Motorrad</t>
  </si>
  <si>
    <t>Kein WLAN</t>
  </si>
  <si>
    <t>Kein Handy während der Schulzeit</t>
  </si>
  <si>
    <t>2 - eher nicht wichtig</t>
  </si>
  <si>
    <t>IGS Kandel</t>
  </si>
  <si>
    <t>4 – Eher gut erreichbar</t>
  </si>
  <si>
    <t>ICE</t>
  </si>
  <si>
    <t>5 - sehr wichtig</t>
  </si>
  <si>
    <t>Auto</t>
  </si>
  <si>
    <t>unter 5 Minuten</t>
  </si>
  <si>
    <t>4 - eher wichtig</t>
  </si>
  <si>
    <t>?</t>
  </si>
  <si>
    <t>3 – Teils/teils</t>
  </si>
  <si>
    <t>Fahrrad</t>
  </si>
  <si>
    <t>5 – Sehr gut erreichbar</t>
  </si>
  <si>
    <t>E-Roller</t>
  </si>
  <si>
    <t>5-10 Minuten</t>
  </si>
  <si>
    <t>Fußball</t>
  </si>
  <si>
    <t>Schaidt Feuerwehr</t>
  </si>
  <si>
    <t>Schaidt Rathaus</t>
  </si>
  <si>
    <t>Schaidt Oberndorf</t>
  </si>
  <si>
    <t>2 – Eher schlecht erreichbar</t>
  </si>
  <si>
    <t>Paradiso</t>
  </si>
  <si>
    <t>Essen ist nicht so gut wie andere</t>
  </si>
  <si>
    <t>24/7 Laden</t>
  </si>
  <si>
    <t>ICE als Fortbewegungsmittel</t>
  </si>
  <si>
    <t>E Roller zum Mieten</t>
  </si>
  <si>
    <t>weiterführende Schule</t>
  </si>
  <si>
    <t>besser erschlossen</t>
  </si>
  <si>
    <t>Supi</t>
  </si>
  <si>
    <t>complete</t>
  </si>
  <si>
    <t>1</t>
  </si>
  <si>
    <t>15-29 Jahre</t>
  </si>
  <si>
    <t>B2</t>
  </si>
  <si>
    <t>Europa - Gymnasium Wörth</t>
  </si>
  <si>
    <t>über 20 Minuten</t>
  </si>
  <si>
    <t>Deutsche Bahn</t>
  </si>
  <si>
    <t>Netto Bahnhof schaidt, Bäckerei Martin, Metzgerei Junk</t>
  </si>
  <si>
    <t>Zum Netto evtl Bahnschranken</t>
  </si>
  <si>
    <t>3 - neutral</t>
  </si>
  <si>
    <t>Sportplatz</t>
  </si>
  <si>
    <t>K23</t>
  </si>
  <si>
    <t>zu Fuß</t>
  </si>
  <si>
    <t>Pünktlich der Busse</t>
  </si>
  <si>
    <t>Schaidt Bahnhof</t>
  </si>
  <si>
    <t>Pünktlichkeit</t>
  </si>
  <si>
    <t>schlechter erschlossen</t>
  </si>
  <si>
    <t>Bus und Bahn fahren nur stündlich und nicht um die späte Stunde</t>
  </si>
  <si>
    <t>blau (westlicher Bereich von Schaidt)</t>
  </si>
  <si>
    <t>B4</t>
  </si>
  <si>
    <t>Bahn</t>
  </si>
  <si>
    <t>Europagymnasium</t>
  </si>
  <si>
    <t>Wörth</t>
  </si>
  <si>
    <t>Edeka</t>
  </si>
  <si>
    <t>Steinfeld</t>
  </si>
  <si>
    <t>Fitnessstudio</t>
  </si>
  <si>
    <t>Bahnhof Schaidt</t>
  </si>
  <si>
    <t>Arbeitsplatz</t>
  </si>
  <si>
    <t>50-65 Jahre</t>
  </si>
  <si>
    <t>5</t>
  </si>
  <si>
    <t>Bürgerhaus</t>
  </si>
  <si>
    <t>Einkaufsmöglichkeiten</t>
  </si>
  <si>
    <t>etwa gleich gut erschlossen</t>
  </si>
  <si>
    <t>Infrastruktur könnte besser sein, insbesondere die Fahrradverbindungen</t>
  </si>
  <si>
    <t>Weiblich</t>
  </si>
  <si>
    <t>6</t>
  </si>
  <si>
    <t>gelb (östlicher Bereich von Schaidt)</t>
  </si>
  <si>
    <t>normaler Tretroller</t>
  </si>
  <si>
    <t>Europa Gymnasium Wörth</t>
  </si>
  <si>
    <t>Netto Schaidt</t>
  </si>
  <si>
    <t>Edeka Steinfeld</t>
  </si>
  <si>
    <t>Kino Kalsruhe</t>
  </si>
  <si>
    <t>Wenn der Zug Verspätung hat oder ausfällt.</t>
  </si>
  <si>
    <t>Rathaus Schaidt</t>
  </si>
  <si>
    <t>eigenes Auto</t>
  </si>
  <si>
    <t>Da Freckenfeld und Minfeld beispielsweise gar keine Bahnhaltestelle haben.</t>
  </si>
  <si>
    <t>Grundschule Schaidt</t>
  </si>
  <si>
    <t>1 - nicht wichtig</t>
  </si>
  <si>
    <t>Alfred Grosser Schulzentrum Bad Bergzabern</t>
  </si>
  <si>
    <t>Nacgmittags nur mit Umstig in Niederotterbach und Busse kommen zu spät oder gar nicht</t>
  </si>
  <si>
    <t>Krankenhaus Kandel</t>
  </si>
  <si>
    <t>Netto Steinfeld</t>
  </si>
  <si>
    <t>Etos Fitness</t>
  </si>
  <si>
    <t>Schwimmbad Steinfeld</t>
  </si>
  <si>
    <t>Schaidt Unterdlrf</t>
  </si>
  <si>
    <t>Schaidt</t>
  </si>
  <si>
    <t>Die Verbindung über Kreis Germersheim hinaus sind schlecht</t>
  </si>
  <si>
    <t>66-79 Jahre</t>
  </si>
  <si>
    <t>3</t>
  </si>
  <si>
    <t>C3</t>
  </si>
  <si>
    <t>Schaidter Grundschule (gibt nur eine)</t>
  </si>
  <si>
    <t>Ich fände es gut wenn Schaidt ein weiteres Bahngleis hätte, da viele die in Schaidt leben oft ein Problem damit haben ihre Bahn zu bekommen und die nächste dann auch erst sehr viel später kommt</t>
  </si>
  <si>
    <t>Auto, aber nur sehr selten</t>
  </si>
  <si>
    <t>Zug hat oft Verspätung und Auto fährt man nur ungern aufgrund der Spritpreise</t>
  </si>
  <si>
    <t>Landau</t>
  </si>
  <si>
    <t>Winden</t>
  </si>
  <si>
    <t>Kandel</t>
  </si>
  <si>
    <t>Igs Kandel</t>
  </si>
  <si>
    <t>Zu Fuß</t>
  </si>
  <si>
    <t>Bahn und Bus ausfall</t>
  </si>
  <si>
    <t>Bus Bahn ausfall</t>
  </si>
  <si>
    <t>Einkaufsläden</t>
  </si>
  <si>
    <t>Restaurantes</t>
  </si>
  <si>
    <t>Bessere Regelung und pünktlich der bahn</t>
  </si>
  <si>
    <t>Freizeitmöglichkeiten</t>
  </si>
  <si>
    <t>C2</t>
  </si>
  <si>
    <t>D2</t>
  </si>
  <si>
    <t>Kardiologe, Augenarzt, Zahnarzt, Hsutarzt</t>
  </si>
  <si>
    <t>Netto</t>
  </si>
  <si>
    <t>Fahrrad, Suto</t>
  </si>
  <si>
    <t>Sportstätte</t>
  </si>
  <si>
    <t>Haltestelle Dorf</t>
  </si>
  <si>
    <t>Bahnhof Haltestelle</t>
  </si>
  <si>
    <t>Bahn sehr selten</t>
  </si>
  <si>
    <t>B5</t>
  </si>
  <si>
    <t>Keine</t>
  </si>
  <si>
    <t>Bad Bergzabern</t>
  </si>
  <si>
    <t>Nein</t>
  </si>
  <si>
    <t>Langenberg und Rheinbrücke</t>
  </si>
  <si>
    <t>Umwege mit der Bahn, Parkplätze beim Auto</t>
  </si>
  <si>
    <t>SBK</t>
  </si>
  <si>
    <t>Sport</t>
  </si>
  <si>
    <t>Schaidt Kindergarten</t>
  </si>
  <si>
    <t>Ausreichend</t>
  </si>
  <si>
    <t>Okay</t>
  </si>
  <si>
    <t>Supermarkt bei Schaidt</t>
  </si>
  <si>
    <t>Keine Frischetheke</t>
  </si>
  <si>
    <t>Zu umständlich zu fahren und zu lange unterwegs</t>
  </si>
  <si>
    <t>Z. B.Bahnlinie Schaidt , Kandel, Karlsruhe</t>
  </si>
  <si>
    <t>Radweg durch den  Bienwald zur Verbandsgemeinde Wörth</t>
  </si>
  <si>
    <t>Alles wichtige vorhanden bzw. erreichbar</t>
  </si>
  <si>
    <t>Viele Fragebögen, doch keinen interessiert es</t>
  </si>
  <si>
    <t>30-49 Jahre</t>
  </si>
  <si>
    <t>2</t>
  </si>
  <si>
    <t>lila (Vollmersweiler)</t>
  </si>
  <si>
    <t>C5</t>
  </si>
  <si>
    <t>KiTa/Grundschule</t>
  </si>
  <si>
    <t>Übergang Dierbacherstraße unübersichtlich.  Für jüngere Kinder nur in Begleitung der Elteen möglich.  Elterntaxi</t>
  </si>
  <si>
    <t>Hausarzt in Schaidt</t>
  </si>
  <si>
    <t>EDEKA Steinfeld</t>
  </si>
  <si>
    <t>Fahrraf</t>
  </si>
  <si>
    <t>Vollmersweiler Hauptstraße</t>
  </si>
  <si>
    <t>Metzgerei Martin Schaidt</t>
  </si>
  <si>
    <t>Supermarkt größeres Angebot</t>
  </si>
  <si>
    <t>Bäckerei Martin Scheidt</t>
  </si>
  <si>
    <t>Pünktliche Öffis</t>
  </si>
  <si>
    <t>Bus nur mit Umstieg, Zug unpünktlich durch Verspätingen</t>
  </si>
  <si>
    <t>Pünktliche Öffentliche Verkehrsmittel</t>
  </si>
  <si>
    <t>Gesundheitsversorgung</t>
  </si>
  <si>
    <t>Bus und Zug vorhanden. Leider unpünktlich</t>
  </si>
  <si>
    <t>Kita Schaidt, Grundschule Schaidt</t>
  </si>
  <si>
    <t>Queren einer Kreisstraße, gefährlich mit Rad, da schlecht einsehbar und Fahrzeuge teils mit deutlich überhöhter Geschwindigkeit fahren.</t>
  </si>
  <si>
    <t>Europa Gymnasium wörth</t>
  </si>
  <si>
    <t>Kandel Krankenhaus</t>
  </si>
  <si>
    <t>Edeka steinfeld</t>
  </si>
  <si>
    <t>Fahrradfahre</t>
  </si>
  <si>
    <t>Vollmersweiler Mitte</t>
  </si>
  <si>
    <t>Ja</t>
  </si>
  <si>
    <t>Höhere frequenz beim öpnv (bus)</t>
  </si>
  <si>
    <t>Sicherere Straßenquerung (kreisstraße) zum erreichen des Bahnhofes, Kita und Grundschule</t>
  </si>
  <si>
    <t>B3</t>
  </si>
  <si>
    <t>Für mich persönlich nicht, aber für ältere Menschen könnte ich mir vorstellen, dass der Berg Sie einschränken könnte.</t>
  </si>
  <si>
    <t>Ab 18: Auto</t>
  </si>
  <si>
    <t>Stau</t>
  </si>
  <si>
    <t>Kindergarten Schaidt</t>
  </si>
  <si>
    <t>Für mich nicht, für ältere Leute vielleicht der Berg. Wenn man vom "Süden" in Schaidt kommt muss man für den Kindergarten sowohl als auch für die Grundschule einen Berg hoch.</t>
  </si>
  <si>
    <t>EGW</t>
  </si>
  <si>
    <t>ggf. Stau (aber selten)</t>
  </si>
  <si>
    <t>Verkehr</t>
  </si>
  <si>
    <t>Plätzl</t>
  </si>
  <si>
    <t>Hbf Schaidt</t>
  </si>
  <si>
    <t>Ist ausreichend</t>
  </si>
  <si>
    <t>Es gibt zwar eine Bus und eine Zugverbindung, allerdings nur einmal die Stunde in jede Richtig. Und auch nicht so lange. Gerade am Wochenende hätte es mir früher sehr geholfen, wenn noch bis 22 oder 23 Uhr ein Zug fahren würde</t>
  </si>
  <si>
    <t>Zug</t>
  </si>
  <si>
    <t>C4</t>
  </si>
  <si>
    <t>C6</t>
  </si>
  <si>
    <t>2x Überquerung Landstraße</t>
  </si>
  <si>
    <t>Grundschule</t>
  </si>
  <si>
    <t>nein</t>
  </si>
  <si>
    <t>Kind ist noch nicht auf weiterführenden Schule</t>
  </si>
  <si>
    <t>Unzuverlässigkeit der Busse und der Bahn</t>
  </si>
  <si>
    <t>Unzuverlässigkeit von Bus und Bahn</t>
  </si>
  <si>
    <t>Fachärzte (Kandel, Karlsruhe)</t>
  </si>
  <si>
    <t>Ein besserer Fahrplan und eine zuverlässige Bahnverbindung würden ausreichen!</t>
  </si>
  <si>
    <t>Netto und Edeka (Steinfeld), Aldi (Schweighofen), Aldi und Lidl (Kandel oder Bad Bergzabern)</t>
  </si>
  <si>
    <t>Hohes Verkehrsaufkommen und störende parkende Autos auf den Verkehrsstraßen</t>
  </si>
  <si>
    <t>Schwimmbad</t>
  </si>
  <si>
    <t>Schlecht von Schaidt mit öffentlichen Verkehrsmitteln erreichbar</t>
  </si>
  <si>
    <t>Am Plätzl (Schaidt)</t>
  </si>
  <si>
    <t>Zuverlässigkeit erhöhen</t>
  </si>
  <si>
    <t>Bahhofhaltestelle Schaidt</t>
  </si>
  <si>
    <t>Haltestelle ist zu Fuß gut erreichbar</t>
  </si>
  <si>
    <t>Ich fände es gut, wenn bessere Zugverbindungen bestehen würden!</t>
  </si>
  <si>
    <t>ÖPNV-Haltestellen für die Regionalbahn</t>
  </si>
  <si>
    <t>Schaidt hat eine grundsätzliche Bahn- und eine Busanbindung</t>
  </si>
  <si>
    <t>Kindergarten und Grundschule in Schaidt</t>
  </si>
  <si>
    <t>Wörth Europa Gymnasium</t>
  </si>
  <si>
    <t>Schlechte Verkehrsanbindung mit öffentl. Verkehrsmitteln</t>
  </si>
  <si>
    <t>SBK oder Maxau Center</t>
  </si>
  <si>
    <t>Urlaub, Ausflüge, Hobbys wie z.B E-Gitarre spielen</t>
  </si>
  <si>
    <t>Schaidt Oberdorf</t>
  </si>
  <si>
    <t>Schaidt Bahnhof am Kindergarten</t>
  </si>
  <si>
    <t>Fahhrad</t>
  </si>
  <si>
    <t>Schlechte Qualität, keine Frischetheke</t>
  </si>
  <si>
    <t>Bessere Verkehrsanbindung</t>
  </si>
  <si>
    <t>Busse, Züge sollten länger fahren</t>
  </si>
  <si>
    <t>bzw. für Jugendliche Nachtschwärmer - Busse</t>
  </si>
  <si>
    <t>Starker Verkehr auf der Hauptstraße</t>
  </si>
  <si>
    <t>Egw in Wörth</t>
  </si>
  <si>
    <t>Bahn hat häufig Verspätung oder fällt aus</t>
  </si>
  <si>
    <t>E-bike</t>
  </si>
  <si>
    <t>E-Bike/Pedelec</t>
  </si>
  <si>
    <t>Netto Bahnhof Schaidt</t>
  </si>
  <si>
    <t>Sportangebote TuS Schaidt</t>
  </si>
  <si>
    <t>Dorfplatz Schaidt</t>
  </si>
  <si>
    <t>Ich nutze dieses Verkehrsmittel selten</t>
  </si>
  <si>
    <t>Das hohe Verkehrsaufkommen in Haupt und Speckstraße ist sehr störend</t>
  </si>
  <si>
    <t>Wir haben im Ort einen Bäcker und einen Metzger, außerdem in erreichbarer Nähe einen Supermarkt. Wir haben einen Hausarzt und einen Zahnarzt, ein Gesundheitszentrum und viele Vereine, die ein umfangreiches Freizeitangebot bieten. Wir haben eine Kita und eine Grundschule. Ich denke in unserem Ort wird einiges geboten. Mit vielen anderen Orten ist dies vergleichbar. Es gibt aber auch einige, die schlechter gestellt sind.</t>
  </si>
  <si>
    <t>Kita Schaidt</t>
  </si>
  <si>
    <t>Überqueren der Hauptstraße</t>
  </si>
  <si>
    <t>Busverbindung schlecht</t>
  </si>
  <si>
    <t>Viel Verkehr</t>
  </si>
  <si>
    <t>Zahnarzt,  Frauenarzt, Hautarzt</t>
  </si>
  <si>
    <t>Rathaus</t>
  </si>
  <si>
    <t>Bahnhof schaidt</t>
  </si>
  <si>
    <t>Keine frischetheke</t>
  </si>
  <si>
    <t>Ärzte in Kandel</t>
  </si>
  <si>
    <t>Schon lange Patientin in Landau</t>
  </si>
  <si>
    <t>Häufigeres fahren der Busse und der Bahn.</t>
  </si>
  <si>
    <t>Und das die Bahn überhaupt fährt</t>
  </si>
  <si>
    <t>Fast alles gut erreichbar</t>
  </si>
  <si>
    <t>Evtl. Öffentliche Verkehrsmittel</t>
  </si>
  <si>
    <t>Fahrgemeinschaft</t>
  </si>
  <si>
    <t>Physiotherapie, Schaidt</t>
  </si>
  <si>
    <t>Gym, Schaidt</t>
  </si>
  <si>
    <t>Haltestelle Vollmersweiler</t>
  </si>
  <si>
    <t>eher ausreichend, jedoch wäre es besser, wenn öfter Busse fahren würden</t>
  </si>
  <si>
    <t>ausreichend</t>
  </si>
  <si>
    <t>Einkaufsmöglichkeiten die zu Fuß erreichbar sind</t>
  </si>
  <si>
    <t>sonst generelle Einkaufsmöglichkeiten im Ort selbst</t>
  </si>
  <si>
    <t>Einmal eine viel befahrene Straße überqueren.</t>
  </si>
  <si>
    <t>Europagymnasium Wörth</t>
  </si>
  <si>
    <t>Motorrad</t>
  </si>
  <si>
    <t>Kreuzung am Langenberg</t>
  </si>
  <si>
    <t>Apotheke in Wörth</t>
  </si>
  <si>
    <t>Marktkauf in Wörth</t>
  </si>
  <si>
    <t>Kreuzung am Langenberg (Staugefahr)</t>
  </si>
  <si>
    <t>Eisdiele in Schaidt</t>
  </si>
  <si>
    <t>Schaidt Unterdorf</t>
  </si>
  <si>
    <t>Sie wird nur von einer Linie bedient, obwohl sie an einer Durchgangsstraße liegt. Um z. B. nach Wörth zu kommen, muss man umsteigen oder eine weiter entfernte Haltestelle aufsuchen. Also, die Anbindung könnte hier besser sein.</t>
  </si>
  <si>
    <t>Es gibt, glaube ich, keine direkte Verbindung nach Wörth. Man muss in Winden umsteigen und wartet dort oft bis zu einer Stunde auf den Anschluss.</t>
  </si>
  <si>
    <t>Die Hauptstraße als Hauptverkehrsstraße</t>
  </si>
  <si>
    <t>Liegt nicht in Fahrtrichtung zum Arbeitsplatz, Qualität des Angebots ist schlecht.</t>
  </si>
  <si>
    <t>Apotheke Steinfeld</t>
  </si>
  <si>
    <t>Liegt nicht in Fahrtrichtung zum Arbeitsplatz.</t>
  </si>
  <si>
    <t>Ein Kreisverkehr am Langenberg</t>
  </si>
  <si>
    <t>Überarbeitung des Busfahrplans</t>
  </si>
  <si>
    <t>Überarbeitung des Regionalbahnfahrplans</t>
  </si>
  <si>
    <t>Wir haben eine Bus- und eine Regionalbahnanbindung, auch wenn diese noch verbesserungswürdig sind. Wir kommen relativ schnell auf eine Bundesstraße oder eine Autobahn, hier ist das Nadelöhr Langenberg noch zu entschärfen. Wir haben einen Supermarkt (Netto), einen Allgemeinmediziner, einen Zahnarzt und einen Bäcker am Ort, sind also mit einer Grundversorgung, die zu Fuß erreichbar ist, ausgestattet.</t>
  </si>
  <si>
    <t>Orthopäde wörth</t>
  </si>
  <si>
    <t>Wenn man nicht auto fahren kann oder darf, fast nicht machbar.</t>
  </si>
  <si>
    <t>Mitte</t>
  </si>
  <si>
    <t>Zug fährt zu selten. Stündlich ist zu wenig.</t>
  </si>
  <si>
    <t>Hauptstrasse - lärm</t>
  </si>
  <si>
    <t>Bahnverbindung</t>
  </si>
  <si>
    <t>Starker Verkehr</t>
  </si>
  <si>
    <t>Baustelle</t>
  </si>
  <si>
    <t>Krankenhaus</t>
  </si>
  <si>
    <t>Suoermarkt</t>
  </si>
  <si>
    <t>Natur</t>
  </si>
  <si>
    <t>Unterdorf</t>
  </si>
  <si>
    <t>Haltestelle am Kindergarten schaidt</t>
  </si>
  <si>
    <t>Zuverlässigkeit, umsteigemlglichkeiten</t>
  </si>
  <si>
    <t>Abstimmung des ÖPNV</t>
  </si>
  <si>
    <t>Erfahrung</t>
  </si>
  <si>
    <t>Ziel der Fragestellung nicht immer klar, das ist wohl nur mein Problem.</t>
  </si>
  <si>
    <t>Kindergarten Schaudt</t>
  </si>
  <si>
    <t>Verkehrsaufkommen im Dorf, gerade zu den Pendlerzeiten</t>
  </si>
  <si>
    <t>Alfred Grosser Gymnasium</t>
  </si>
  <si>
    <t>Keine direkte Zugverbindung und Buse fahren viele Dörfer an</t>
  </si>
  <si>
    <t>Verkehrsaufkommen Langenberg und Stau auf der A65 Richtung Karlsruhe</t>
  </si>
  <si>
    <t>Kinderarzt BZA</t>
  </si>
  <si>
    <t>Bad Bergzabern SBK</t>
  </si>
  <si>
    <t>Schwimmbad Bad Bergzabern</t>
  </si>
  <si>
    <t>Dorfplatz</t>
  </si>
  <si>
    <t>Keine frischen Lebensmittel in der Qualität des genannten Marktes</t>
  </si>
  <si>
    <t>Verbesserung der Verkehrssituation am Langenberg und der Rheinbrücke</t>
  </si>
  <si>
    <t>Bus und Bahn sind vorhanden, jedoch ist die Anbindung ausbaufähig ( wie in den meisten Fällen)</t>
  </si>
  <si>
    <t>Alfred Grosser Gymnasium Bad Bergzabern</t>
  </si>
  <si>
    <t>Hauptverkehrsstraße ohne Ampel / Zebrastreifen</t>
  </si>
  <si>
    <t>Hauptverkehrsstraße, keine Ampel bzw. Fussgängerübergang</t>
  </si>
  <si>
    <t>Über 40 Kilometer</t>
  </si>
  <si>
    <t>Über 20 Kilometer weg</t>
  </si>
  <si>
    <t>Entfernung.</t>
  </si>
  <si>
    <t>Hauptstraße überqueren</t>
  </si>
  <si>
    <t>Ab 21:00 Uhr fährt kein Zug mehr ...</t>
  </si>
  <si>
    <t>Freckenfeld</t>
  </si>
  <si>
    <t>Fahrzeiten der Buslinien</t>
  </si>
  <si>
    <t>Rheinbrücke bei Wörth</t>
  </si>
  <si>
    <t>Krankenhaus Bad Bergzabern</t>
  </si>
  <si>
    <t>Bäcker &amp; Metzger in Schaidt; Edeka in Steinfeld;</t>
  </si>
  <si>
    <t>Fahrrad; manchmal auch zu Fuß</t>
  </si>
  <si>
    <t>Nordic Walking in Vollmersweiler</t>
  </si>
  <si>
    <t>Ortrsmitte Volmersweiler</t>
  </si>
  <si>
    <t>passt</t>
  </si>
  <si>
    <t>Hp Schaidt (Pfalz)</t>
  </si>
  <si>
    <t>keine störenden Einrichtungen.</t>
  </si>
  <si>
    <t>etwas erhötes Verkehrsaufkommen zu den Raschauerzeiten. Das ist aber schon Jammern auf hohem Nievau ;-).</t>
  </si>
  <si>
    <t>Kindergarten in Schaidt</t>
  </si>
  <si>
    <t>keine Platzgarantie / Sicherheit zur Aufnahme des Kindes</t>
  </si>
  <si>
    <t>täglich längere / spätere Bahnanbindung des Hp Schaidt</t>
  </si>
  <si>
    <t>kurze Wege zum Bahn Hp in Schaidt, regelmäßige Busanbindung (1/2h Takt) in zwei Richtungen (Kandel und Bad Bergzabern)</t>
  </si>
  <si>
    <t>Edeka Steinfeld, Biomarkt Bad Bergzabern</t>
  </si>
  <si>
    <t>Nordic Walking Vollmersweiler</t>
  </si>
  <si>
    <t>Vollmersweiler</t>
  </si>
  <si>
    <t>Ist ausreichend, Vollmersweiler ist gut angebunden.</t>
  </si>
  <si>
    <t>Die Anbindung könnte Abends etwas länger sein.</t>
  </si>
  <si>
    <t>Nicht vorhanden</t>
  </si>
  <si>
    <t>Keine Zweckvereinbarung; somit nicht sicher und planbar.</t>
  </si>
  <si>
    <t>Gut mit Bus und Bahn angebunden</t>
  </si>
  <si>
    <t>St.nepumuk Grundschule schaidt</t>
  </si>
  <si>
    <t>Deutsch bahn verpspätungen {EM_LOUDLY_CRYING_FACE}{EM_FOLDED_HANDS}</t>
  </si>
  <si>
    <t>Wörth dupis</t>
  </si>
  <si>
    <t>Netto schaidt</t>
  </si>
  <si>
    <t>Der bahnübergang? (aber kein ahnung ob das zählt)</t>
  </si>
  <si>
    <t>Gym etos fitness</t>
  </si>
  <si>
    <t>Schaidt oberdorf</t>
  </si>
  <si>
    <t>Schaidt bahnhof</t>
  </si>
  <si>
    <t>Wenn die deutsch bahn mal pünktlich käme</t>
  </si>
  <si>
    <t>Alle nennen schaidt immer ein kaff und geben dann mit ihren bahnhöfen an die mehr als 1 gleis haben</t>
  </si>
  <si>
    <t>Aldi Schweighofen, Edeka Paul in Steinfeld</t>
  </si>
  <si>
    <t>Wandern im Pfälzer Wald</t>
  </si>
  <si>
    <t>-</t>
  </si>
  <si>
    <t>Bessere und zuverlässigere Zugverbindungen</t>
  </si>
  <si>
    <t>zu Fuß oder Tretroller</t>
  </si>
  <si>
    <t>Straßenüberquerung am Kindergarten</t>
  </si>
  <si>
    <t>Tennisplatz Schaidt</t>
  </si>
  <si>
    <t>Stark befahrene Straßen in Schaidt</t>
  </si>
  <si>
    <t>Bessere und zuverlässige Bahnanbindung</t>
  </si>
  <si>
    <t>Entfernung</t>
  </si>
  <si>
    <t>Zahnarzt</t>
  </si>
  <si>
    <t>Aldi, Schweighofen</t>
  </si>
  <si>
    <t>Fitnessstudio, Schaidt</t>
  </si>
  <si>
    <t>Bushaltestelle Ortsmitte Vollmersweiler</t>
  </si>
  <si>
    <t>Aus meiner Sicht ausreichend</t>
  </si>
  <si>
    <t>Busverbindungen nur bis zu einer gewissen Uhrzeit am Abend</t>
  </si>
  <si>
    <t>Grundschule und Kita schaidt</t>
  </si>
  <si>
    <t>Egw wörth</t>
  </si>
  <si>
    <t>Zahnarzt Bad Bergzabern</t>
  </si>
  <si>
    <t>Emile</t>
  </si>
  <si>
    <t>Bus und Bahn fahren sehr regelmäßig und beide Haltestellen am Ort</t>
  </si>
  <si>
    <t>Grundschule freckenfeld</t>
  </si>
  <si>
    <t>Alfred-Grosser-Gymnasium Bad Bergzabern</t>
  </si>
  <si>
    <t>Schlechte busanbindung</t>
  </si>
  <si>
    <t>Gymnasium Wörth</t>
  </si>
  <si>
    <t>Schlechte Busverbindung</t>
  </si>
  <si>
    <t>Kardiologen in Landau</t>
  </si>
  <si>
    <t>Ausfälle der Bahn</t>
  </si>
  <si>
    <t>Netto Steinfeld⁰</t>
  </si>
  <si>
    <t>TuS Schaidt Gymnastik</t>
  </si>
  <si>
    <t>Ist ok</t>
  </si>
  <si>
    <t>Haltestelle Schaidt</t>
  </si>
  <si>
    <t>Viele Ausfälle der Bahn, Verspätungen</t>
  </si>
  <si>
    <t>C7</t>
  </si>
  <si>
    <t>Verkehrsstaus</t>
  </si>
  <si>
    <t>MVZ Landau, Karlsruhe Krankenhaus</t>
  </si>
  <si>
    <t>MGV Dierbach</t>
  </si>
  <si>
    <t>Gut erreichbar</t>
  </si>
  <si>
    <t>Schlechte Angebote, keine Fleischtheke</t>
  </si>
  <si>
    <t>Einkaufsmöglichkeiten und Verkehrsanbindung gut</t>
  </si>
  <si>
    <t>MVZ Kandel</t>
  </si>
  <si>
    <t>Sauna Dahn</t>
  </si>
  <si>
    <t>Schlechte Angebote</t>
  </si>
  <si>
    <t>Verkehrsanbindung bezüglich Einkaufsmöglichkeiten sehr gut</t>
  </si>
  <si>
    <t>Zahnarzt Steinfeld</t>
  </si>
  <si>
    <t>Edeka Kandel</t>
  </si>
  <si>
    <t>Falls man sich mit dem Fahrplsn auskennt, kommt man mit Umsteigen fast überall hin</t>
  </si>
  <si>
    <t>Große Straßen, Umweg über Schaidt</t>
  </si>
  <si>
    <t>Es gibt keine näheren Angebote</t>
  </si>
  <si>
    <t>Dr. Jenisch Schaidt</t>
  </si>
  <si>
    <t>Edeka, Netto Steinfeld</t>
  </si>
  <si>
    <t>Gibt keine näher gelegenen Orte</t>
  </si>
  <si>
    <t>Lange Busverbindung durch viele Dörfer</t>
  </si>
  <si>
    <t>Dr. Jensich Schaidt</t>
  </si>
  <si>
    <t>Edeka und Netto Steinfeld</t>
  </si>
  <si>
    <t>Dr. Jenisch</t>
  </si>
  <si>
    <t>Aufgrund gesundheitlicher Einschränkungen nur noch mit Auto mobil</t>
  </si>
  <si>
    <t>älter als 79 Jahre</t>
  </si>
  <si>
    <t>Schaidt Kindergarten und Grundschule</t>
  </si>
  <si>
    <t>Wörth Hauptschule Gymnasium</t>
  </si>
  <si>
    <t>Metzgerei und Bäckerei</t>
  </si>
  <si>
    <t>Weitere Supermärkte nicht zu Fuß erreichbar, schwierig für mich</t>
  </si>
  <si>
    <t>Sporthalle</t>
  </si>
  <si>
    <t>Bahnsteig Schaidt</t>
  </si>
  <si>
    <t>Mitfahrgelegenheit zum Einkaufen</t>
  </si>
  <si>
    <t>Gute Erreichbarkeit</t>
  </si>
  <si>
    <t>Kindergarten Minfeld</t>
  </si>
  <si>
    <t>Auto/Fahrrad</t>
  </si>
  <si>
    <t>Überquerung der Landstraße</t>
  </si>
  <si>
    <t>Kindergarten &amp; Grundschule Minfeld</t>
  </si>
  <si>
    <t>Überquerung Landstraße</t>
  </si>
  <si>
    <t>Zugverbindung</t>
  </si>
  <si>
    <t>Dr. Jenisch in Schaidt</t>
  </si>
  <si>
    <t>Fußball Kaiserslautern</t>
  </si>
  <si>
    <t>Kurze Wege</t>
  </si>
  <si>
    <t>Grundschule Freckenfeld</t>
  </si>
  <si>
    <t>Frühstücken in Landau</t>
  </si>
  <si>
    <t>Vollmersweiler Ort</t>
  </si>
  <si>
    <t>Schaidt Hbf</t>
  </si>
  <si>
    <t>Einkaufsladen direkt im Ort</t>
  </si>
  <si>
    <t>Bad Bergzabern Schule</t>
  </si>
  <si>
    <t>Gesangverein Schaidt</t>
  </si>
  <si>
    <t>Einkaufen vor Ort</t>
  </si>
  <si>
    <t>Kindergarten/Grundschule Freckenfeld</t>
  </si>
  <si>
    <t>Bahnübergang</t>
  </si>
  <si>
    <t>Ausreichend um überall hinzukommen</t>
  </si>
  <si>
    <t>Schaidt Bahnhaltepunkt</t>
  </si>
  <si>
    <t>Nicht gewünscht</t>
  </si>
  <si>
    <t>Kindergarten/ Grundschule  Schaidt</t>
  </si>
  <si>
    <t>Regelung besagte Freckenfeld</t>
  </si>
  <si>
    <t>Gibt gleich große Orte wo schlechter angeschlossen sind an den ÖPNV</t>
  </si>
  <si>
    <t>D1</t>
  </si>
  <si>
    <t>Schaidz</t>
  </si>
  <si>
    <t>Berg an der Kirche</t>
  </si>
  <si>
    <t>Frühe Busverbindung</t>
  </si>
  <si>
    <t>Gleiches Haus</t>
  </si>
  <si>
    <t>Weg ist Entlang Landstraße in Sonne</t>
  </si>
  <si>
    <t>Häufige Verspätungen</t>
  </si>
  <si>
    <t>Erhebung</t>
  </si>
  <si>
    <t>Dönerladen wegen Geruch</t>
  </si>
  <si>
    <t>Schlechte Sortierung</t>
  </si>
  <si>
    <t>Lebensmittelladen im Ort, so wie Bäckerei früher</t>
  </si>
  <si>
    <t>Kein Lebensmittellden</t>
  </si>
  <si>
    <t>Europa-Gymnasium-Wörth</t>
  </si>
  <si>
    <t>Kein direkter Fahrradweg, stark frequentierte Kreuzung Langenberg</t>
  </si>
  <si>
    <t>Schaidt, Rathaus</t>
  </si>
  <si>
    <t>Nach Kandel ausreichen, nach Wörth in die Schule fahren nach 8 Uhr keine Busse mehr direkt</t>
  </si>
  <si>
    <t>Schaidt, Bahnhaltepunkt</t>
  </si>
  <si>
    <t>Leider oft Ausfälle und Verspätungen und deshalb wird der Anschlusszug verpasst</t>
  </si>
  <si>
    <t>Unsortiert, kleinere Auswahl</t>
  </si>
  <si>
    <t>Evtl Bushaltestelle unterdorf</t>
  </si>
  <si>
    <t>Keine Busse nach Wörth</t>
  </si>
  <si>
    <t>Tante-Emma-Laden im Dorf</t>
  </si>
  <si>
    <t>Fahrdienste für Ältere zum Einkaufen</t>
  </si>
  <si>
    <t>Wir haben eine Zugverbindung, noch Bäcker und Metzger im Ort</t>
  </si>
  <si>
    <t>Kindergarten/Grundschule Schaidt</t>
  </si>
  <si>
    <t>Gut angebunden</t>
  </si>
  <si>
    <t>Ausreichend angebunden</t>
  </si>
  <si>
    <t>Nicht vollständig passendes Sortiment</t>
  </si>
  <si>
    <t>2 stark befahrene Straßen zu queren</t>
  </si>
  <si>
    <t>Schulzentrum BZA</t>
  </si>
  <si>
    <t>Zahnarzt Kandel</t>
  </si>
  <si>
    <t>Schelchter Radweg am Bach entlang</t>
  </si>
  <si>
    <t>Restaurant Pleisweiler</t>
  </si>
  <si>
    <t>Feuerwehr Schaidt</t>
  </si>
  <si>
    <t>nur Anbindung nach Wörth, nicht nach Kandel oder BZA</t>
  </si>
  <si>
    <t>bessere Bahnanbindung, Fahrradweg nach Steinfeld</t>
  </si>
  <si>
    <t>Bahn  und Busverbindungen</t>
  </si>
  <si>
    <t>Fachärzte Landau</t>
  </si>
  <si>
    <t>Feuerwehrhaus</t>
  </si>
  <si>
    <t>Bus- und Bahnverbindungen vorhanden</t>
  </si>
  <si>
    <t>Summe</t>
  </si>
  <si>
    <t>Befragte pro Altersklasse</t>
  </si>
  <si>
    <t>Keine Angabe</t>
  </si>
  <si>
    <t xml:space="preserve">Wohnort </t>
  </si>
  <si>
    <t>Raster</t>
  </si>
  <si>
    <t>Süden</t>
  </si>
  <si>
    <t>Westen</t>
  </si>
  <si>
    <t>D3</t>
  </si>
  <si>
    <t>Osten</t>
  </si>
  <si>
    <t>Wichtigste Kategorie</t>
  </si>
  <si>
    <t>nur Raster mit Befragungsergebnissen angezeigt</t>
  </si>
  <si>
    <t xml:space="preserve"> </t>
  </si>
  <si>
    <t>Erschließung</t>
  </si>
  <si>
    <t>Schaidt, Feuerwehr</t>
  </si>
  <si>
    <t>Schaidt, Unterdorf</t>
  </si>
  <si>
    <t>Vollmersweiler, Ort</t>
  </si>
  <si>
    <t>Gesamt</t>
  </si>
  <si>
    <t>Durchschnitt</t>
  </si>
  <si>
    <t>Median</t>
  </si>
  <si>
    <t>Minuten</t>
  </si>
  <si>
    <t>07:10 Uhr</t>
  </si>
  <si>
    <t>12:00 Uhr</t>
  </si>
  <si>
    <t>15:30 Uhr</t>
  </si>
  <si>
    <t>16:00 Uhr</t>
  </si>
  <si>
    <t>23:00 Uhr</t>
  </si>
  <si>
    <t>erreichbare Raster</t>
  </si>
  <si>
    <t>nicht erreichbar</t>
  </si>
  <si>
    <t>Regionalbahn</t>
  </si>
  <si>
    <t>Schaidt (Pfalz)</t>
  </si>
  <si>
    <t>Untersuchungsraster in Vollmersweiler</t>
  </si>
  <si>
    <t>Vollmersweiler ohne Untersuchungsraster</t>
  </si>
  <si>
    <t>Untersuchungsraster im Süden</t>
  </si>
  <si>
    <t>Untersuchungsraster im Westen</t>
  </si>
  <si>
    <t>Untersuchungsraster im Osten</t>
  </si>
  <si>
    <t>Altersklasse</t>
  </si>
  <si>
    <t>Altersdurchschnitt Raster</t>
  </si>
  <si>
    <t>Mittelpunkt</t>
  </si>
  <si>
    <t>Durchschnittsalter</t>
  </si>
  <si>
    <t>Zensusdaten</t>
  </si>
  <si>
    <t>Einwohner Zensus</t>
  </si>
  <si>
    <t>Xi Altersklasse</t>
  </si>
  <si>
    <t>Yi Erreichbarkeit</t>
  </si>
  <si>
    <t>Rang Y</t>
  </si>
  <si>
    <t>Rang X</t>
  </si>
  <si>
    <t>Gesundheitsversorgung - Süden</t>
  </si>
  <si>
    <t>rs</t>
  </si>
  <si>
    <t>Gesundheitsversorgung - Westen</t>
  </si>
  <si>
    <t>Gesundheitsversorgung - Osten</t>
  </si>
  <si>
    <t>Grundschulen/KiTas - Süden</t>
  </si>
  <si>
    <t>Grundschulen/KiTas - Westen</t>
  </si>
  <si>
    <t>Grundschulen/KiTas - Osten</t>
  </si>
  <si>
    <t>Grundschulen/KiTas - Vollmersweiler</t>
  </si>
  <si>
    <t>Gesundheitsversorgung - Vollmersweiler</t>
  </si>
  <si>
    <t>kein Zusammenhang</t>
  </si>
  <si>
    <t>Koeffizient rs</t>
  </si>
  <si>
    <t>0,3-0,5</t>
  </si>
  <si>
    <t>0,5-0,7</t>
  </si>
  <si>
    <t>&gt; 0,7</t>
  </si>
  <si>
    <t>&lt; 0,3</t>
  </si>
  <si>
    <t>schwacher Zusammenhang</t>
  </si>
  <si>
    <t xml:space="preserve">starker </t>
  </si>
  <si>
    <t xml:space="preserve">mittlerer </t>
  </si>
  <si>
    <t>schwacher bis mittlerer</t>
  </si>
  <si>
    <t>+</t>
  </si>
  <si>
    <t>negativer/ entgegengerichteter Zusammenhang</t>
  </si>
  <si>
    <t>positiver/gleichgerichteter Zusammenhang; Werte entwickeln sich in gleiche Richtung</t>
  </si>
  <si>
    <t xml:space="preserve">vollständiger </t>
  </si>
  <si>
    <t>Spearmen Rangkorrelation zur Detektion Einschätzung Erreichbarkeit - Alter für verschiedene Raster</t>
  </si>
  <si>
    <t>im Süden, Westen und Osten wird nach zu Fuß analysiert, in Vollmersweiler werden nur Angaben mit dem Auto bewertet</t>
  </si>
  <si>
    <t>reale Zeitklasse</t>
  </si>
  <si>
    <t>Zeitklassen</t>
  </si>
  <si>
    <t>geschätzte Zeitklasse</t>
  </si>
  <si>
    <t>Grundschulen/KiTas -Westen</t>
  </si>
  <si>
    <t>reale Zeitklasse - aus QGIS</t>
  </si>
  <si>
    <t>Grundschulen/KiTas -Osten</t>
  </si>
  <si>
    <t>Grundschulen/KiTas -Vollmersweiler</t>
  </si>
  <si>
    <t>Schaidt/ohne Nennung</t>
  </si>
  <si>
    <t>Abweichung</t>
  </si>
  <si>
    <t>Anzahl Befragte</t>
  </si>
  <si>
    <t>Rang Abweichung</t>
  </si>
  <si>
    <t>Rang Befragte</t>
  </si>
  <si>
    <t>Abweichung absolut</t>
  </si>
  <si>
    <t>mit absoluten Zahlen, da hier Stärke von Abweichung entscheidend</t>
  </si>
  <si>
    <t>niedriger Wert, wenig Übereinstimmung Befragungszhal-Abweichung</t>
  </si>
  <si>
    <t>Vergleich wichtigster Kategorie mit Durchschnitt von Bedeutung</t>
  </si>
  <si>
    <t>Bedeutung gleich</t>
  </si>
  <si>
    <t>tatsächliche</t>
  </si>
  <si>
    <t>10-20 minuten</t>
  </si>
  <si>
    <t>Hier wird für die Regionen in Schaidt die Schaidter Grundschule angenommen</t>
  </si>
  <si>
    <t>Für Vollmersweiler werden nur die Zeiten ausgefüllt, bei dennen die Grundschule beschrieben ist</t>
  </si>
  <si>
    <t>ab 10-20 minuten</t>
  </si>
  <si>
    <t>20-30 Minuten</t>
  </si>
  <si>
    <t>über 30 Minuten</t>
  </si>
  <si>
    <t>tatsächlich</t>
  </si>
  <si>
    <t>Richtigkeit</t>
  </si>
  <si>
    <t>Summe Schaidt</t>
  </si>
  <si>
    <t>wenn in beiden Wert</t>
  </si>
  <si>
    <t>VO</t>
  </si>
  <si>
    <t>Aktivität in Schaidt/VO</t>
  </si>
  <si>
    <t>Einkaufsmöglichkeiten - Süden</t>
  </si>
  <si>
    <t>Einkaufsmöglichkeiten - Westen</t>
  </si>
  <si>
    <t>Einkaufsmöglichkeiten - Osten</t>
  </si>
  <si>
    <t>Einkaufsmöglichkeiten - Vollmersweiler</t>
  </si>
  <si>
    <t>Korrelation zwischen Einschätzung der Erreichbarkeit und  Alter der Befragten</t>
  </si>
  <si>
    <t>KiTas/Grundschulen</t>
  </si>
  <si>
    <t>Süden (Schaidt)</t>
  </si>
  <si>
    <t>Westen  (Schaidt)</t>
  </si>
  <si>
    <t>Osten  (Schaidt)</t>
  </si>
  <si>
    <t>Korrelationskoeffizient</t>
  </si>
  <si>
    <t>POI und Raster</t>
  </si>
  <si>
    <t>1. Ak</t>
  </si>
  <si>
    <t>2. Ak</t>
  </si>
  <si>
    <t>3. Ak</t>
  </si>
  <si>
    <t>4. Ak</t>
  </si>
  <si>
    <t>5. Ak</t>
  </si>
  <si>
    <t>6. Ak</t>
  </si>
  <si>
    <t>Prozent zu Fuß</t>
  </si>
  <si>
    <t>Prozent mit Fahrrad</t>
  </si>
  <si>
    <t>Prozent mit Auto</t>
  </si>
  <si>
    <t>davon aus Schaidt</t>
  </si>
  <si>
    <t>davon aus Vollmersweiler</t>
  </si>
  <si>
    <t>Raster mit den meisten Teilnehmern</t>
  </si>
  <si>
    <t>in den jeweiligen Bereichen</t>
  </si>
  <si>
    <t>Diese Raster werden markiert und ensprechend im Folgenden genauer analysiert.</t>
  </si>
  <si>
    <t>Es werden nur die Raster beschrieben, in dennen Untersuchungsergebnisse vorliegen.</t>
  </si>
  <si>
    <t>Auswertung Grunddaten</t>
  </si>
  <si>
    <t>Die unterschiedlichen POIs werden zur Verdeutlichung in der ersten Zeile eingefärbt</t>
  </si>
  <si>
    <t>generelle Daten</t>
  </si>
  <si>
    <t>weiterführende Schulen</t>
  </si>
  <si>
    <t>Arbeitsplätze</t>
  </si>
  <si>
    <t>Bus-Haltestellen</t>
  </si>
  <si>
    <t>Bahn-Haltestellen</t>
  </si>
  <si>
    <t>Unterschied zwischen den Dörfern festuhalten</t>
  </si>
  <si>
    <t>Kategorien nach Altersklassen</t>
  </si>
  <si>
    <t xml:space="preserve">In dne Zeilen, die nicht zu den Untersuchungsraster zählen, wurde trotzdem die Altersgruppe </t>
  </si>
  <si>
    <t>ensprechend in hellem oder dunklem blau zur besseren Unterschiedung eingefärbt</t>
  </si>
  <si>
    <t>Häufigkeit der Nennung als wichtigste Kategorie</t>
  </si>
  <si>
    <t>aus Datei Daten_Umfrage_Zahlen Durchschnitt der Angaben zur Bedeutung</t>
  </si>
  <si>
    <t>in Bezug auf die verschiedenen Verkehrsmittel sind die jeweils ausgewählten grün hinterlegt</t>
  </si>
  <si>
    <t>innerhalb der Altersklassen werden die Untersuchungsraster markiert</t>
  </si>
  <si>
    <t xml:space="preserve">zudem wurde Vollmersweiler auch ohne Raster markiert, um den </t>
  </si>
  <si>
    <t>mit dem Auto</t>
  </si>
  <si>
    <t>mit dem Fahrrad</t>
  </si>
  <si>
    <t>Gesamtzahl je Altersgruppe</t>
  </si>
  <si>
    <t>Nutzung der Verkehrsmittel nach Altersklassen</t>
  </si>
  <si>
    <t>in dieser Zeile wird eine 1 eingetragen, wenn die Bedeutung der Einrichtungen der Gesundheitsverosrgung</t>
  </si>
  <si>
    <t>mit der der Einkaufsmöglichkeiten übereinspricht</t>
  </si>
  <si>
    <t>Falls in beiden Feldern eine Eingabe erfolgt, diese aber nicht übereinstimmt, wird eine 0 eingetragen</t>
  </si>
  <si>
    <t>1. AK</t>
  </si>
  <si>
    <t>2. AK</t>
  </si>
  <si>
    <t>3. AK</t>
  </si>
  <si>
    <t>4. AK</t>
  </si>
  <si>
    <t>5. AK</t>
  </si>
  <si>
    <t>6. AK</t>
  </si>
  <si>
    <t>Wichtigste POIs nach Altersgruppen</t>
  </si>
  <si>
    <t>Anteil</t>
  </si>
  <si>
    <t>Durchschnittalter</t>
  </si>
  <si>
    <t>Rechnung</t>
  </si>
  <si>
    <t>Hier wird der Anteil von Befragungsteilnehmern</t>
  </si>
  <si>
    <t>an der Gesamtbevölkerung berechnet</t>
  </si>
  <si>
    <t>Vergleich des Altersdurchschnitts der Befragten je Raster mit den Zensusdaten</t>
  </si>
  <si>
    <t>Korrelation Einschätzung Erreichbarkeit - Alter der Befragten</t>
  </si>
  <si>
    <t>Korrelation zwischen der Abweichung der Reisezeit und der Anzahl der Befragten</t>
  </si>
  <si>
    <t>zusammenfassende Tabelle</t>
  </si>
  <si>
    <t>Angaben Gesamt</t>
  </si>
  <si>
    <t>zum Vergleich der Reiszeiten werden die ermittelten Reisezeiten aus der QGIS-Analyse mit den entsprechenden Verkehrmitteln ergänzt</t>
  </si>
  <si>
    <t>Spearmen Rangkorrelation zur Detektion Abweichung Reisezeit je Raster und Anzahl Befragte</t>
  </si>
  <si>
    <t>Erschließung im Vergleich zu anderen Dörfern</t>
  </si>
  <si>
    <t>Bewertung der Erreichbarkeit nach POI</t>
  </si>
  <si>
    <t>basierend auf Daten aus Daten_Umfrage_Zahlen.xlsx</t>
  </si>
  <si>
    <t>Anteil korrekter Zeiteinschätzungen pro POI</t>
  </si>
  <si>
    <t>Mittelwert</t>
  </si>
  <si>
    <t xml:space="preserve">Prozentangabe, wie viel Prozent </t>
  </si>
  <si>
    <t>aller Raster im Mittel erreicht werden</t>
  </si>
  <si>
    <t>Median der Reisezeit</t>
  </si>
  <si>
    <t>Übereinstimmung Reisezeit nach Altersgruppen</t>
  </si>
  <si>
    <t>Einkaufsmöglichekiten</t>
  </si>
  <si>
    <t>Frezeitmöglichkeiten</t>
  </si>
  <si>
    <t>Busverkehr</t>
  </si>
  <si>
    <t>Bahnverkehr</t>
  </si>
  <si>
    <t>Bushaltestelle</t>
  </si>
  <si>
    <t>Bahnhaltepunkt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</si>
</sst>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
  </numFmts>
  <fonts count="6" x14ac:knownFonts="1">
    <font>
      <sz val="10"/>
      <name val="Arial"/>
      <family val="2"/>
      <charset val="1"/>
    </font>
    <font>
      <b/>
      <sz val="22"/>
      <name val="Arial"/>
      <family val="2"/>
    </font>
    <font>
      <sz val="8"/>
      <name val="Arial"/>
      <family val="2"/>
      <charset val="1"/>
    </font>
    <font>
      <sz val="11"/>
      <name val="Arial"/>
      <family val="2"/>
      <charset val="1"/>
    </font>
    <font>
      <sz val="10"/>
      <name val="Arial"/>
      <family val="2"/>
      <charset val="1"/>
    </font>
    <font>
      <b/>
      <sz val="17"/>
      <name val="Arial"/>
      <family val="2"/>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96600"/>
        <bgColor indexed="64"/>
      </patternFill>
    </fill>
    <fill>
      <patternFill patternType="solid">
        <fgColor rgb="FFCC0000"/>
        <bgColor indexed="64"/>
      </patternFill>
    </fill>
    <fill>
      <patternFill patternType="solid">
        <fgColor rgb="FFFF0000"/>
        <bgColor indexed="64"/>
      </patternFill>
    </fill>
    <fill>
      <patternFill patternType="solid">
        <fgColor rgb="FF92D05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rgb="FFF0C2EB"/>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0" tint="-0.14999847407452621"/>
        <bgColor indexed="64"/>
      </patternFill>
    </fill>
  </fills>
  <borders count="9">
    <border>
      <left/>
      <right/>
      <top/>
      <bottom/>
      <diagonal/>
    </border>
    <border>
      <left/>
      <right/>
      <top style="thin">
        <color indexed="64"/>
      </top>
      <bottom/>
      <diagonal/>
    </border>
    <border>
      <left/>
      <right/>
      <top/>
      <bottom style="medium">
        <color indexed="64"/>
      </bottom>
      <diagonal/>
    </border>
    <border>
      <left/>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9" fontId="4" fillId="0" borderId="0" applyFont="0" applyFill="0" applyBorder="0" applyAlignment="0" applyProtection="0"/>
  </cellStyleXfs>
  <cellXfs count="137">
    <xf numFmtId="0" fontId="0" fillId="0" borderId="0" xfId="0"/>
    <xf numFmtId="1" fontId="0" fillId="0" borderId="0" xfId="0" applyNumberFormat="1"/>
    <xf numFmtId="49" fontId="0" fillId="0" borderId="0" xfId="0" applyNumberFormat="1"/>
    <xf numFmtId="164" fontId="0" fillId="0" borderId="0" xfId="0" applyNumberFormat="1"/>
    <xf numFmtId="2" fontId="0" fillId="0" borderId="0" xfId="0" applyNumberFormat="1"/>
    <xf numFmtId="0" fontId="0" fillId="2" borderId="0" xfId="0" applyFill="1"/>
    <xf numFmtId="0" fontId="0" fillId="3" borderId="0" xfId="0" applyFill="1"/>
    <xf numFmtId="0" fontId="0" fillId="0" borderId="1" xfId="0" applyBorder="1"/>
    <xf numFmtId="0" fontId="1" fillId="0" borderId="0" xfId="0" applyFont="1"/>
    <xf numFmtId="49" fontId="0" fillId="3" borderId="0" xfId="0" applyNumberFormat="1" applyFill="1"/>
    <xf numFmtId="0" fontId="0" fillId="4" borderId="0" xfId="0" applyFill="1"/>
    <xf numFmtId="49" fontId="0" fillId="4" borderId="0" xfId="0" applyNumberFormat="1" applyFill="1"/>
    <xf numFmtId="0" fontId="0" fillId="5" borderId="0" xfId="0" applyFill="1"/>
    <xf numFmtId="1" fontId="0" fillId="0" borderId="2" xfId="0" applyNumberFormat="1" applyBorder="1"/>
    <xf numFmtId="49" fontId="0" fillId="0" borderId="2" xfId="0" applyNumberFormat="1" applyBorder="1"/>
    <xf numFmtId="164" fontId="0" fillId="0" borderId="2" xfId="0" applyNumberFormat="1" applyBorder="1"/>
    <xf numFmtId="2" fontId="0" fillId="0" borderId="2" xfId="0" applyNumberFormat="1" applyBorder="1"/>
    <xf numFmtId="0" fontId="0" fillId="0" borderId="2" xfId="0" applyBorder="1"/>
    <xf numFmtId="49" fontId="0" fillId="6" borderId="0" xfId="0" applyNumberFormat="1" applyFill="1"/>
    <xf numFmtId="49" fontId="0" fillId="7" borderId="0" xfId="0" applyNumberFormat="1" applyFill="1"/>
    <xf numFmtId="49" fontId="0" fillId="6" borderId="2" xfId="0" applyNumberFormat="1" applyFill="1" applyBorder="1"/>
    <xf numFmtId="49" fontId="0" fillId="7" borderId="2" xfId="0" applyNumberFormat="1" applyFill="1" applyBorder="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6" borderId="0" xfId="0" applyFill="1"/>
    <xf numFmtId="0" fontId="0" fillId="7" borderId="0" xfId="0" applyFill="1"/>
    <xf numFmtId="0" fontId="0" fillId="13" borderId="0" xfId="0" applyFill="1"/>
    <xf numFmtId="0" fontId="0" fillId="14" borderId="0" xfId="0" applyFill="1"/>
    <xf numFmtId="0" fontId="3" fillId="0" borderId="0" xfId="0" applyFont="1"/>
    <xf numFmtId="1" fontId="0" fillId="4" borderId="0" xfId="0" applyNumberFormat="1" applyFill="1"/>
    <xf numFmtId="164" fontId="0" fillId="4" borderId="0" xfId="0" applyNumberFormat="1" applyFill="1"/>
    <xf numFmtId="2" fontId="0" fillId="4" borderId="0" xfId="0" applyNumberFormat="1" applyFill="1"/>
    <xf numFmtId="0" fontId="0" fillId="4" borderId="2" xfId="0" applyFill="1" applyBorder="1"/>
    <xf numFmtId="0" fontId="0" fillId="0" borderId="0" xfId="0" applyAlignment="1">
      <alignment horizontal="center"/>
    </xf>
    <xf numFmtId="0" fontId="0" fillId="15" borderId="0" xfId="0" applyFill="1" applyAlignment="1">
      <alignment horizontal="center"/>
    </xf>
    <xf numFmtId="1" fontId="0" fillId="16" borderId="0" xfId="0" applyNumberFormat="1" applyFill="1"/>
    <xf numFmtId="49" fontId="0" fillId="16" borderId="0" xfId="0" applyNumberFormat="1" applyFill="1"/>
    <xf numFmtId="0" fontId="0" fillId="16" borderId="0" xfId="0" applyFill="1"/>
    <xf numFmtId="164" fontId="0" fillId="16" borderId="0" xfId="0" applyNumberFormat="1" applyFill="1"/>
    <xf numFmtId="2" fontId="0" fillId="16" borderId="0" xfId="0" applyNumberFormat="1" applyFill="1"/>
    <xf numFmtId="1" fontId="0" fillId="16" borderId="2" xfId="0" applyNumberFormat="1" applyFill="1" applyBorder="1"/>
    <xf numFmtId="49" fontId="0" fillId="16" borderId="2" xfId="0" applyNumberFormat="1" applyFill="1" applyBorder="1"/>
    <xf numFmtId="0" fontId="0" fillId="16" borderId="2" xfId="0" applyFill="1" applyBorder="1"/>
    <xf numFmtId="164" fontId="0" fillId="16" borderId="2" xfId="0" applyNumberFormat="1" applyFill="1" applyBorder="1"/>
    <xf numFmtId="2" fontId="0" fillId="16" borderId="2" xfId="0" applyNumberFormat="1" applyFill="1" applyBorder="1"/>
    <xf numFmtId="0" fontId="0" fillId="17" borderId="0" xfId="0" applyFill="1"/>
    <xf numFmtId="0" fontId="0" fillId="18" borderId="0" xfId="0" applyFill="1"/>
    <xf numFmtId="0" fontId="0" fillId="19" borderId="0" xfId="0" applyFill="1"/>
    <xf numFmtId="1" fontId="0" fillId="17" borderId="0" xfId="0" applyNumberFormat="1" applyFill="1"/>
    <xf numFmtId="49" fontId="0" fillId="17" borderId="0" xfId="0" applyNumberFormat="1" applyFill="1"/>
    <xf numFmtId="164" fontId="0" fillId="17" borderId="0" xfId="0" applyNumberFormat="1" applyFill="1"/>
    <xf numFmtId="2" fontId="0" fillId="17" borderId="0" xfId="0" applyNumberFormat="1" applyFill="1"/>
    <xf numFmtId="1" fontId="0" fillId="19" borderId="0" xfId="0" applyNumberFormat="1" applyFill="1"/>
    <xf numFmtId="49" fontId="0" fillId="19" borderId="0" xfId="0" applyNumberFormat="1" applyFill="1"/>
    <xf numFmtId="164" fontId="0" fillId="19" borderId="0" xfId="0" applyNumberFormat="1" applyFill="1"/>
    <xf numFmtId="2" fontId="0" fillId="19" borderId="0" xfId="0" applyNumberFormat="1" applyFill="1"/>
    <xf numFmtId="1" fontId="0" fillId="18" borderId="2" xfId="0" applyNumberFormat="1" applyFill="1" applyBorder="1"/>
    <xf numFmtId="49" fontId="0" fillId="18" borderId="2" xfId="0" applyNumberFormat="1" applyFill="1" applyBorder="1"/>
    <xf numFmtId="49" fontId="0" fillId="18" borderId="0" xfId="0" applyNumberFormat="1" applyFill="1"/>
    <xf numFmtId="0" fontId="0" fillId="18" borderId="2" xfId="0" applyFill="1" applyBorder="1"/>
    <xf numFmtId="164" fontId="0" fillId="18" borderId="2" xfId="0" applyNumberFormat="1" applyFill="1" applyBorder="1"/>
    <xf numFmtId="2" fontId="0" fillId="18" borderId="2" xfId="0" applyNumberFormat="1" applyFill="1" applyBorder="1"/>
    <xf numFmtId="1" fontId="0" fillId="18" borderId="0" xfId="0" applyNumberFormat="1" applyFill="1"/>
    <xf numFmtId="164" fontId="0" fillId="18" borderId="0" xfId="0" applyNumberFormat="1" applyFill="1"/>
    <xf numFmtId="2" fontId="0" fillId="18" borderId="0" xfId="0" applyNumberFormat="1" applyFill="1"/>
    <xf numFmtId="1" fontId="0" fillId="17" borderId="2" xfId="0" applyNumberFormat="1" applyFill="1" applyBorder="1"/>
    <xf numFmtId="49" fontId="0" fillId="17" borderId="2" xfId="0" applyNumberFormat="1" applyFill="1" applyBorder="1"/>
    <xf numFmtId="0" fontId="0" fillId="17" borderId="2" xfId="0" applyFill="1" applyBorder="1"/>
    <xf numFmtId="164" fontId="0" fillId="17" borderId="2" xfId="0" applyNumberFormat="1" applyFill="1" applyBorder="1"/>
    <xf numFmtId="2" fontId="0" fillId="17" borderId="2" xfId="0" applyNumberFormat="1" applyFill="1" applyBorder="1"/>
    <xf numFmtId="49" fontId="0" fillId="19" borderId="2" xfId="0" applyNumberFormat="1" applyFill="1" applyBorder="1"/>
    <xf numFmtId="1" fontId="0" fillId="19" borderId="2" xfId="0" applyNumberFormat="1" applyFill="1" applyBorder="1"/>
    <xf numFmtId="0" fontId="0" fillId="19" borderId="2" xfId="0" applyFill="1" applyBorder="1"/>
    <xf numFmtId="164" fontId="0" fillId="19" borderId="2" xfId="0" applyNumberFormat="1" applyFill="1" applyBorder="1"/>
    <xf numFmtId="2" fontId="0" fillId="19" borderId="2" xfId="0" applyNumberFormat="1" applyFill="1" applyBorder="1"/>
    <xf numFmtId="1" fontId="0" fillId="18" borderId="3" xfId="0" applyNumberFormat="1" applyFill="1" applyBorder="1"/>
    <xf numFmtId="49" fontId="0" fillId="18" borderId="3" xfId="0" applyNumberFormat="1" applyFill="1" applyBorder="1"/>
    <xf numFmtId="0" fontId="0" fillId="18" borderId="3" xfId="0" applyFill="1" applyBorder="1"/>
    <xf numFmtId="164" fontId="0" fillId="18" borderId="3" xfId="0" applyNumberFormat="1" applyFill="1" applyBorder="1"/>
    <xf numFmtId="2" fontId="0" fillId="18" borderId="3" xfId="0" applyNumberFormat="1" applyFill="1" applyBorder="1"/>
    <xf numFmtId="0" fontId="0" fillId="17" borderId="3" xfId="0" applyFill="1" applyBorder="1"/>
    <xf numFmtId="1" fontId="0" fillId="16" borderId="3" xfId="0" applyNumberFormat="1" applyFill="1" applyBorder="1"/>
    <xf numFmtId="49" fontId="0" fillId="16" borderId="3" xfId="0" applyNumberFormat="1" applyFill="1" applyBorder="1"/>
    <xf numFmtId="0" fontId="0" fillId="16" borderId="3" xfId="0" applyFill="1" applyBorder="1"/>
    <xf numFmtId="164" fontId="0" fillId="16" borderId="3" xfId="0" applyNumberFormat="1" applyFill="1" applyBorder="1"/>
    <xf numFmtId="2" fontId="0" fillId="16" borderId="3" xfId="0" applyNumberFormat="1" applyFill="1" applyBorder="1"/>
    <xf numFmtId="165" fontId="0" fillId="0" borderId="0" xfId="0" applyNumberFormat="1"/>
    <xf numFmtId="0" fontId="0" fillId="0" borderId="0" xfId="0" quotePrefix="1"/>
    <xf numFmtId="0" fontId="0" fillId="0" borderId="0" xfId="0" applyAlignment="1">
      <alignment horizontal="left"/>
    </xf>
    <xf numFmtId="49" fontId="0" fillId="16" borderId="2" xfId="0" applyNumberFormat="1" applyFill="1" applyBorder="1" applyAlignment="1">
      <alignment horizontal="center"/>
    </xf>
    <xf numFmtId="49" fontId="0" fillId="0" borderId="2" xfId="0" applyNumberFormat="1" applyBorder="1" applyAlignment="1">
      <alignment horizontal="center"/>
    </xf>
    <xf numFmtId="0" fontId="0" fillId="0" borderId="0" xfId="0" applyAlignment="1">
      <alignment horizontal="center" vertical="center"/>
    </xf>
    <xf numFmtId="49" fontId="0" fillId="18" borderId="2" xfId="0" applyNumberFormat="1" applyFill="1" applyBorder="1" applyAlignment="1">
      <alignment horizontal="center" vertical="center"/>
    </xf>
    <xf numFmtId="49" fontId="0" fillId="18" borderId="2" xfId="0" applyNumberFormat="1" applyFill="1" applyBorder="1" applyAlignment="1">
      <alignment horizontal="center"/>
    </xf>
    <xf numFmtId="0" fontId="0" fillId="20" borderId="0" xfId="0" applyFill="1"/>
    <xf numFmtId="49" fontId="0" fillId="20" borderId="0" xfId="0" applyNumberFormat="1" applyFill="1"/>
    <xf numFmtId="49" fontId="0" fillId="20" borderId="2" xfId="0" applyNumberFormat="1" applyFill="1" applyBorder="1"/>
    <xf numFmtId="49" fontId="0" fillId="20" borderId="3" xfId="0" applyNumberFormat="1" applyFill="1" applyBorder="1"/>
    <xf numFmtId="9" fontId="0" fillId="20" borderId="0" xfId="1" applyFont="1" applyFill="1"/>
    <xf numFmtId="0" fontId="0" fillId="15" borderId="0" xfId="0" applyFill="1"/>
    <xf numFmtId="9" fontId="0" fillId="0" borderId="0" xfId="1" applyFont="1"/>
    <xf numFmtId="0" fontId="0" fillId="3" borderId="0" xfId="0" applyFill="1" applyAlignment="1">
      <alignment horizontal="center"/>
    </xf>
    <xf numFmtId="0" fontId="0" fillId="8" borderId="0" xfId="0" applyFill="1" applyAlignment="1">
      <alignment horizontal="center"/>
    </xf>
    <xf numFmtId="49" fontId="0" fillId="2" borderId="0" xfId="0" applyNumberFormat="1" applyFill="1"/>
    <xf numFmtId="0" fontId="5" fillId="0" borderId="0" xfId="0" applyFont="1"/>
    <xf numFmtId="49" fontId="0" fillId="3" borderId="6" xfId="0" applyNumberFormat="1" applyFill="1" applyBorder="1"/>
    <xf numFmtId="0" fontId="0" fillId="0" borderId="6" xfId="0" applyBorder="1"/>
    <xf numFmtId="0" fontId="0" fillId="0" borderId="5" xfId="0" applyBorder="1"/>
    <xf numFmtId="0" fontId="0" fillId="0" borderId="7" xfId="0" applyBorder="1"/>
    <xf numFmtId="49" fontId="0" fillId="3" borderId="4" xfId="0" applyNumberFormat="1" applyFill="1" applyBorder="1"/>
    <xf numFmtId="9" fontId="0" fillId="0" borderId="4" xfId="1" applyFont="1" applyBorder="1"/>
    <xf numFmtId="0" fontId="0" fillId="0" borderId="4" xfId="0" applyBorder="1"/>
    <xf numFmtId="49" fontId="0" fillId="0" borderId="4" xfId="0" applyNumberFormat="1" applyBorder="1"/>
    <xf numFmtId="49" fontId="0" fillId="3" borderId="8" xfId="0" applyNumberFormat="1" applyFill="1" applyBorder="1"/>
    <xf numFmtId="0" fontId="0" fillId="0" borderId="8" xfId="0" applyBorder="1"/>
    <xf numFmtId="1" fontId="0" fillId="4" borderId="2" xfId="0" applyNumberFormat="1" applyFill="1" applyBorder="1"/>
    <xf numFmtId="1" fontId="0" fillId="0" borderId="3" xfId="0" applyNumberFormat="1" applyBorder="1"/>
    <xf numFmtId="49" fontId="0" fillId="4" borderId="2" xfId="0" applyNumberFormat="1" applyFill="1" applyBorder="1"/>
    <xf numFmtId="49" fontId="0" fillId="6" borderId="3" xfId="0" applyNumberFormat="1" applyFill="1" applyBorder="1"/>
    <xf numFmtId="49" fontId="0" fillId="0" borderId="3" xfId="0" applyNumberFormat="1" applyBorder="1"/>
    <xf numFmtId="0" fontId="0" fillId="0" borderId="3" xfId="0" applyBorder="1"/>
    <xf numFmtId="164" fontId="0" fillId="4" borderId="2" xfId="0" applyNumberFormat="1" applyFill="1" applyBorder="1"/>
    <xf numFmtId="164" fontId="0" fillId="0" borderId="3" xfId="0" applyNumberFormat="1" applyBorder="1"/>
    <xf numFmtId="2" fontId="0" fillId="4" borderId="2" xfId="0" applyNumberFormat="1" applyFill="1" applyBorder="1"/>
    <xf numFmtId="2" fontId="0" fillId="0" borderId="3" xfId="0" applyNumberFormat="1" applyBorder="1"/>
    <xf numFmtId="1" fontId="0" fillId="2" borderId="0" xfId="0" applyNumberFormat="1" applyFill="1"/>
    <xf numFmtId="164" fontId="0" fillId="2" borderId="0" xfId="0" applyNumberFormat="1" applyFill="1"/>
    <xf numFmtId="2" fontId="0" fillId="2" borderId="0" xfId="0" applyNumberFormat="1" applyFill="1"/>
    <xf numFmtId="9" fontId="0" fillId="2" borderId="0" xfId="1" applyFont="1" applyFill="1" applyBorder="1"/>
    <xf numFmtId="9" fontId="0" fillId="0" borderId="0" xfId="0" applyNumberFormat="1"/>
    <xf numFmtId="0" fontId="0" fillId="3" borderId="0" xfId="0" applyFill="1" applyAlignment="1">
      <alignment horizontal="center" vertical="center"/>
    </xf>
    <xf numFmtId="0" fontId="0" fillId="3" borderId="0" xfId="0" applyFill="1" applyAlignment="1">
      <alignment horizontal="center"/>
    </xf>
    <xf numFmtId="0" fontId="0" fillId="8" borderId="0" xfId="0" applyFill="1" applyAlignment="1">
      <alignment horizontal="center"/>
    </xf>
    <xf numFmtId="49" fontId="0" fillId="3" borderId="6" xfId="0" applyNumberFormat="1" applyFill="1" applyBorder="1" applyAlignment="1">
      <alignment horizontal="center"/>
    </xf>
  </cellXfs>
  <cellStyles count="2">
    <cellStyle name="Prozent" xfId="1" builtinId="5"/>
    <cellStyle name="Standard" xfId="0" builtinId="0"/>
  </cellStyles>
  <dxfs count="5">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00823C"/>
      <color rgb="FFCCFFCC"/>
      <color rgb="FFF0C2EB"/>
      <color rgb="FFF9E7F7"/>
      <color rgb="FFCC0000"/>
      <color rgb="FF800000"/>
      <color rgb="FF99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Befragte je Altersklasse [Anzahl]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stacked"/>
        <c:varyColors val="0"/>
        <c:ser>
          <c:idx val="0"/>
          <c:order val="0"/>
          <c:spPr>
            <a:solidFill>
              <a:srgbClr val="00823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sortiert_Altersklassen!$B$93:$B$98</c:f>
              <c:strCache>
                <c:ptCount val="6"/>
                <c:pt idx="0">
                  <c:v>jünger als 15 Jahre</c:v>
                </c:pt>
                <c:pt idx="1">
                  <c:v>15-29 Jahre</c:v>
                </c:pt>
                <c:pt idx="2">
                  <c:v>30-49 Jahre</c:v>
                </c:pt>
                <c:pt idx="3">
                  <c:v>50-65 Jahre</c:v>
                </c:pt>
                <c:pt idx="4">
                  <c:v>66-79 Jahre</c:v>
                </c:pt>
                <c:pt idx="5">
                  <c:v>älter als 79 Jahre</c:v>
                </c:pt>
              </c:strCache>
            </c:strRef>
          </c:cat>
          <c:val>
            <c:numRef>
              <c:f>sortiert_Altersklassen!$C$93:$C$98</c:f>
              <c:numCache>
                <c:formatCode>General</c:formatCode>
                <c:ptCount val="6"/>
                <c:pt idx="0">
                  <c:v>2</c:v>
                </c:pt>
                <c:pt idx="1">
                  <c:v>21</c:v>
                </c:pt>
                <c:pt idx="2">
                  <c:v>13</c:v>
                </c:pt>
                <c:pt idx="3">
                  <c:v>19</c:v>
                </c:pt>
                <c:pt idx="4">
                  <c:v>10</c:v>
                </c:pt>
                <c:pt idx="5">
                  <c:v>4</c:v>
                </c:pt>
              </c:numCache>
            </c:numRef>
          </c:val>
          <c:extLst>
            <c:ext xmlns:c16="http://schemas.microsoft.com/office/drawing/2014/chart" uri="{C3380CC4-5D6E-409C-BE32-E72D297353CC}">
              <c16:uniqueId val="{00000000-6D7F-44E3-A593-25F053DB98B4}"/>
            </c:ext>
          </c:extLst>
        </c:ser>
        <c:dLbls>
          <c:showLegendKey val="0"/>
          <c:showVal val="0"/>
          <c:showCatName val="0"/>
          <c:showSerName val="0"/>
          <c:showPercent val="0"/>
          <c:showBubbleSize val="0"/>
        </c:dLbls>
        <c:gapWidth val="150"/>
        <c:overlap val="100"/>
        <c:axId val="326581168"/>
        <c:axId val="239026352"/>
      </c:barChart>
      <c:catAx>
        <c:axId val="32658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39026352"/>
        <c:crosses val="autoZero"/>
        <c:auto val="1"/>
        <c:lblAlgn val="ctr"/>
        <c:lblOffset val="100"/>
        <c:noMultiLvlLbl val="0"/>
      </c:catAx>
      <c:valAx>
        <c:axId val="239026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2658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Nutzung</a:t>
            </a:r>
            <a:r>
              <a:rPr lang="de-DE" baseline="0"/>
              <a:t> der Verkehrsmittel nach Altersgruppen</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bar"/>
        <c:grouping val="clustered"/>
        <c:varyColors val="0"/>
        <c:ser>
          <c:idx val="0"/>
          <c:order val="0"/>
          <c:tx>
            <c:v>zu Fuß</c:v>
          </c:tx>
          <c:spPr>
            <a:solidFill>
              <a:schemeClr val="accent6">
                <a:lumMod val="60000"/>
                <a:lumOff val="40000"/>
              </a:schemeClr>
            </a:solidFill>
            <a:ln>
              <a:noFill/>
            </a:ln>
            <a:effectLst/>
          </c:spPr>
          <c:invertIfNegative val="0"/>
          <c:val>
            <c:numRef>
              <c:f>sortiert_Altersklassen!$V$94:$V$99</c:f>
              <c:numCache>
                <c:formatCode>0%</c:formatCode>
                <c:ptCount val="6"/>
                <c:pt idx="0">
                  <c:v>0.5</c:v>
                </c:pt>
                <c:pt idx="1">
                  <c:v>0.61904761904761907</c:v>
                </c:pt>
                <c:pt idx="2">
                  <c:v>0.53846153846153844</c:v>
                </c:pt>
                <c:pt idx="3">
                  <c:v>0.84210526315789469</c:v>
                </c:pt>
                <c:pt idx="4">
                  <c:v>0.3</c:v>
                </c:pt>
                <c:pt idx="5">
                  <c:v>0.5</c:v>
                </c:pt>
              </c:numCache>
            </c:numRef>
          </c:val>
          <c:extLst>
            <c:ext xmlns:c16="http://schemas.microsoft.com/office/drawing/2014/chart" uri="{C3380CC4-5D6E-409C-BE32-E72D297353CC}">
              <c16:uniqueId val="{00000000-9E11-4441-BD24-8D5A8E6190D0}"/>
            </c:ext>
          </c:extLst>
        </c:ser>
        <c:ser>
          <c:idx val="1"/>
          <c:order val="1"/>
          <c:tx>
            <c:v>Fahrrad</c:v>
          </c:tx>
          <c:spPr>
            <a:solidFill>
              <a:schemeClr val="bg1">
                <a:lumMod val="65000"/>
              </a:schemeClr>
            </a:solidFill>
            <a:ln>
              <a:noFill/>
            </a:ln>
            <a:effectLst/>
          </c:spPr>
          <c:invertIfNegative val="0"/>
          <c:val>
            <c:numRef>
              <c:f>sortiert_Altersklassen!$W$94:$W$99</c:f>
              <c:numCache>
                <c:formatCode>0%</c:formatCode>
                <c:ptCount val="6"/>
                <c:pt idx="0">
                  <c:v>1</c:v>
                </c:pt>
                <c:pt idx="1">
                  <c:v>0.52380952380952384</c:v>
                </c:pt>
                <c:pt idx="2">
                  <c:v>0.53846153846153844</c:v>
                </c:pt>
                <c:pt idx="3">
                  <c:v>0.42105263157894735</c:v>
                </c:pt>
                <c:pt idx="4">
                  <c:v>0.4</c:v>
                </c:pt>
                <c:pt idx="5">
                  <c:v>0.75</c:v>
                </c:pt>
              </c:numCache>
            </c:numRef>
          </c:val>
          <c:extLst>
            <c:ext xmlns:c16="http://schemas.microsoft.com/office/drawing/2014/chart" uri="{C3380CC4-5D6E-409C-BE32-E72D297353CC}">
              <c16:uniqueId val="{00000001-9E11-4441-BD24-8D5A8E6190D0}"/>
            </c:ext>
          </c:extLst>
        </c:ser>
        <c:ser>
          <c:idx val="2"/>
          <c:order val="2"/>
          <c:tx>
            <c:v>Auto</c:v>
          </c:tx>
          <c:spPr>
            <a:solidFill>
              <a:srgbClr val="00823C"/>
            </a:solidFill>
            <a:ln>
              <a:noFill/>
            </a:ln>
            <a:effectLst/>
          </c:spPr>
          <c:invertIfNegative val="0"/>
          <c:val>
            <c:numRef>
              <c:f>sortiert_Altersklassen!$X$94:$X$99</c:f>
              <c:numCache>
                <c:formatCode>0%</c:formatCode>
                <c:ptCount val="6"/>
                <c:pt idx="0">
                  <c:v>0</c:v>
                </c:pt>
                <c:pt idx="1">
                  <c:v>0.8571428571428571</c:v>
                </c:pt>
                <c:pt idx="2">
                  <c:v>1</c:v>
                </c:pt>
                <c:pt idx="3">
                  <c:v>0.94736842105263153</c:v>
                </c:pt>
                <c:pt idx="4">
                  <c:v>0.9</c:v>
                </c:pt>
                <c:pt idx="5">
                  <c:v>0.25</c:v>
                </c:pt>
              </c:numCache>
            </c:numRef>
          </c:val>
          <c:extLst>
            <c:ext xmlns:c16="http://schemas.microsoft.com/office/drawing/2014/chart" uri="{C3380CC4-5D6E-409C-BE32-E72D297353CC}">
              <c16:uniqueId val="{00000002-9E11-4441-BD24-8D5A8E6190D0}"/>
            </c:ext>
          </c:extLst>
        </c:ser>
        <c:dLbls>
          <c:showLegendKey val="0"/>
          <c:showVal val="0"/>
          <c:showCatName val="0"/>
          <c:showSerName val="0"/>
          <c:showPercent val="0"/>
          <c:showBubbleSize val="0"/>
        </c:dLbls>
        <c:gapWidth val="182"/>
        <c:axId val="666179984"/>
        <c:axId val="594719696"/>
      </c:barChart>
      <c:catAx>
        <c:axId val="666179984"/>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94719696"/>
        <c:crosses val="autoZero"/>
        <c:auto val="1"/>
        <c:lblAlgn val="ctr"/>
        <c:lblOffset val="100"/>
        <c:noMultiLvlLbl val="0"/>
      </c:catAx>
      <c:valAx>
        <c:axId val="594719696"/>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66179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Wichtigste POI nach Altersgruppen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bar"/>
        <c:grouping val="stacked"/>
        <c:varyColors val="0"/>
        <c:ser>
          <c:idx val="1"/>
          <c:order val="1"/>
          <c:tx>
            <c:strRef>
              <c:f>sortiert_Altersklassen!$N$147</c:f>
              <c:strCache>
                <c:ptCount val="1"/>
                <c:pt idx="0">
                  <c:v>1. AK</c:v>
                </c:pt>
              </c:strCache>
            </c:strRef>
          </c:tx>
          <c:spPr>
            <a:solidFill>
              <a:srgbClr val="CCFFCC"/>
            </a:solidFill>
            <a:ln>
              <a:noFill/>
            </a:ln>
            <a:effectLst/>
          </c:spPr>
          <c:invertIfNegative val="0"/>
          <c:cat>
            <c:strRef>
              <c:f>sortiert_Altersklassen!$L$148:$L$154</c:f>
              <c:strCache>
                <c:ptCount val="7"/>
                <c:pt idx="0">
                  <c:v>KiTa/Grundschule</c:v>
                </c:pt>
                <c:pt idx="1">
                  <c:v>weiterführende Schule</c:v>
                </c:pt>
                <c:pt idx="2">
                  <c:v>Arbeitsplatz</c:v>
                </c:pt>
                <c:pt idx="3">
                  <c:v>Gesundheitsversorgung</c:v>
                </c:pt>
                <c:pt idx="4">
                  <c:v>Einkaufsmöglichkeiten</c:v>
                </c:pt>
                <c:pt idx="5">
                  <c:v>Freizeitmöglichkeiten</c:v>
                </c:pt>
                <c:pt idx="6">
                  <c:v>ÖPNV-Haltestellen für die Regionalbahn</c:v>
                </c:pt>
              </c:strCache>
            </c:strRef>
          </c:cat>
          <c:val>
            <c:numRef>
              <c:f>sortiert_Altersklassen!$N$148:$N$154</c:f>
              <c:numCache>
                <c:formatCode>General</c:formatCode>
                <c:ptCount val="7"/>
                <c:pt idx="0">
                  <c:v>1</c:v>
                </c:pt>
                <c:pt idx="1">
                  <c:v>1</c:v>
                </c:pt>
              </c:numCache>
            </c:numRef>
          </c:val>
          <c:extLst>
            <c:ext xmlns:c16="http://schemas.microsoft.com/office/drawing/2014/chart" uri="{C3380CC4-5D6E-409C-BE32-E72D297353CC}">
              <c16:uniqueId val="{00000001-D25F-4C4A-B2C0-AF886D8B331B}"/>
            </c:ext>
          </c:extLst>
        </c:ser>
        <c:ser>
          <c:idx val="2"/>
          <c:order val="2"/>
          <c:tx>
            <c:strRef>
              <c:f>sortiert_Altersklassen!$O$147</c:f>
              <c:strCache>
                <c:ptCount val="1"/>
                <c:pt idx="0">
                  <c:v>2. AK</c:v>
                </c:pt>
              </c:strCache>
            </c:strRef>
          </c:tx>
          <c:spPr>
            <a:solidFill>
              <a:srgbClr val="00823C"/>
            </a:solidFill>
            <a:ln>
              <a:noFill/>
            </a:ln>
            <a:effectLst/>
          </c:spPr>
          <c:invertIfNegative val="0"/>
          <c:cat>
            <c:strRef>
              <c:f>sortiert_Altersklassen!$L$148:$L$154</c:f>
              <c:strCache>
                <c:ptCount val="7"/>
                <c:pt idx="0">
                  <c:v>KiTa/Grundschule</c:v>
                </c:pt>
                <c:pt idx="1">
                  <c:v>weiterführende Schule</c:v>
                </c:pt>
                <c:pt idx="2">
                  <c:v>Arbeitsplatz</c:v>
                </c:pt>
                <c:pt idx="3">
                  <c:v>Gesundheitsversorgung</c:v>
                </c:pt>
                <c:pt idx="4">
                  <c:v>Einkaufsmöglichkeiten</c:v>
                </c:pt>
                <c:pt idx="5">
                  <c:v>Freizeitmöglichkeiten</c:v>
                </c:pt>
                <c:pt idx="6">
                  <c:v>ÖPNV-Haltestellen für die Regionalbahn</c:v>
                </c:pt>
              </c:strCache>
            </c:strRef>
          </c:cat>
          <c:val>
            <c:numRef>
              <c:f>sortiert_Altersklassen!$O$148:$O$154</c:f>
              <c:numCache>
                <c:formatCode>General</c:formatCode>
                <c:ptCount val="7"/>
                <c:pt idx="1">
                  <c:v>7</c:v>
                </c:pt>
                <c:pt idx="2">
                  <c:v>11</c:v>
                </c:pt>
                <c:pt idx="3">
                  <c:v>1</c:v>
                </c:pt>
                <c:pt idx="4">
                  <c:v>1</c:v>
                </c:pt>
                <c:pt idx="5">
                  <c:v>1</c:v>
                </c:pt>
              </c:numCache>
            </c:numRef>
          </c:val>
          <c:extLst>
            <c:ext xmlns:c16="http://schemas.microsoft.com/office/drawing/2014/chart" uri="{C3380CC4-5D6E-409C-BE32-E72D297353CC}">
              <c16:uniqueId val="{00000002-D25F-4C4A-B2C0-AF886D8B331B}"/>
            </c:ext>
          </c:extLst>
        </c:ser>
        <c:ser>
          <c:idx val="3"/>
          <c:order val="3"/>
          <c:tx>
            <c:strRef>
              <c:f>sortiert_Altersklassen!$P$147</c:f>
              <c:strCache>
                <c:ptCount val="1"/>
                <c:pt idx="0">
                  <c:v>3. AK</c:v>
                </c:pt>
              </c:strCache>
            </c:strRef>
          </c:tx>
          <c:spPr>
            <a:solidFill>
              <a:schemeClr val="accent6">
                <a:lumMod val="50000"/>
              </a:schemeClr>
            </a:solidFill>
            <a:ln>
              <a:noFill/>
            </a:ln>
            <a:effectLst/>
          </c:spPr>
          <c:invertIfNegative val="0"/>
          <c:cat>
            <c:strRef>
              <c:f>sortiert_Altersklassen!$L$148:$L$154</c:f>
              <c:strCache>
                <c:ptCount val="7"/>
                <c:pt idx="0">
                  <c:v>KiTa/Grundschule</c:v>
                </c:pt>
                <c:pt idx="1">
                  <c:v>weiterführende Schule</c:v>
                </c:pt>
                <c:pt idx="2">
                  <c:v>Arbeitsplatz</c:v>
                </c:pt>
                <c:pt idx="3">
                  <c:v>Gesundheitsversorgung</c:v>
                </c:pt>
                <c:pt idx="4">
                  <c:v>Einkaufsmöglichkeiten</c:v>
                </c:pt>
                <c:pt idx="5">
                  <c:v>Freizeitmöglichkeiten</c:v>
                </c:pt>
                <c:pt idx="6">
                  <c:v>ÖPNV-Haltestellen für die Regionalbahn</c:v>
                </c:pt>
              </c:strCache>
            </c:strRef>
          </c:cat>
          <c:val>
            <c:numRef>
              <c:f>sortiert_Altersklassen!$P$148:$P$154</c:f>
              <c:numCache>
                <c:formatCode>General</c:formatCode>
                <c:ptCount val="7"/>
                <c:pt idx="0">
                  <c:v>1</c:v>
                </c:pt>
                <c:pt idx="2">
                  <c:v>9</c:v>
                </c:pt>
                <c:pt idx="3">
                  <c:v>1</c:v>
                </c:pt>
                <c:pt idx="4">
                  <c:v>1</c:v>
                </c:pt>
                <c:pt idx="6">
                  <c:v>1</c:v>
                </c:pt>
              </c:numCache>
            </c:numRef>
          </c:val>
          <c:extLst>
            <c:ext xmlns:c16="http://schemas.microsoft.com/office/drawing/2014/chart" uri="{C3380CC4-5D6E-409C-BE32-E72D297353CC}">
              <c16:uniqueId val="{00000003-D25F-4C4A-B2C0-AF886D8B331B}"/>
            </c:ext>
          </c:extLst>
        </c:ser>
        <c:ser>
          <c:idx val="4"/>
          <c:order val="4"/>
          <c:tx>
            <c:strRef>
              <c:f>sortiert_Altersklassen!$Q$147</c:f>
              <c:strCache>
                <c:ptCount val="1"/>
                <c:pt idx="0">
                  <c:v>4. AK</c:v>
                </c:pt>
              </c:strCache>
            </c:strRef>
          </c:tx>
          <c:spPr>
            <a:solidFill>
              <a:schemeClr val="tx2">
                <a:lumMod val="10000"/>
                <a:lumOff val="90000"/>
              </a:schemeClr>
            </a:solidFill>
            <a:ln>
              <a:noFill/>
            </a:ln>
            <a:effectLst/>
          </c:spPr>
          <c:invertIfNegative val="0"/>
          <c:cat>
            <c:strRef>
              <c:f>sortiert_Altersklassen!$L$148:$L$154</c:f>
              <c:strCache>
                <c:ptCount val="7"/>
                <c:pt idx="0">
                  <c:v>KiTa/Grundschule</c:v>
                </c:pt>
                <c:pt idx="1">
                  <c:v>weiterführende Schule</c:v>
                </c:pt>
                <c:pt idx="2">
                  <c:v>Arbeitsplatz</c:v>
                </c:pt>
                <c:pt idx="3">
                  <c:v>Gesundheitsversorgung</c:v>
                </c:pt>
                <c:pt idx="4">
                  <c:v>Einkaufsmöglichkeiten</c:v>
                </c:pt>
                <c:pt idx="5">
                  <c:v>Freizeitmöglichkeiten</c:v>
                </c:pt>
                <c:pt idx="6">
                  <c:v>ÖPNV-Haltestellen für die Regionalbahn</c:v>
                </c:pt>
              </c:strCache>
            </c:strRef>
          </c:cat>
          <c:val>
            <c:numRef>
              <c:f>sortiert_Altersklassen!$Q$148:$Q$154</c:f>
              <c:numCache>
                <c:formatCode>General</c:formatCode>
                <c:ptCount val="7"/>
                <c:pt idx="2">
                  <c:v>4</c:v>
                </c:pt>
                <c:pt idx="3">
                  <c:v>3</c:v>
                </c:pt>
                <c:pt idx="4">
                  <c:v>10</c:v>
                </c:pt>
                <c:pt idx="5">
                  <c:v>1</c:v>
                </c:pt>
                <c:pt idx="6">
                  <c:v>1</c:v>
                </c:pt>
              </c:numCache>
            </c:numRef>
          </c:val>
          <c:extLst>
            <c:ext xmlns:c16="http://schemas.microsoft.com/office/drawing/2014/chart" uri="{C3380CC4-5D6E-409C-BE32-E72D297353CC}">
              <c16:uniqueId val="{00000004-D25F-4C4A-B2C0-AF886D8B331B}"/>
            </c:ext>
          </c:extLst>
        </c:ser>
        <c:ser>
          <c:idx val="5"/>
          <c:order val="5"/>
          <c:tx>
            <c:strRef>
              <c:f>sortiert_Altersklassen!$R$147</c:f>
              <c:strCache>
                <c:ptCount val="1"/>
                <c:pt idx="0">
                  <c:v>5. AK</c:v>
                </c:pt>
              </c:strCache>
            </c:strRef>
          </c:tx>
          <c:spPr>
            <a:solidFill>
              <a:schemeClr val="tx2">
                <a:lumMod val="50000"/>
                <a:lumOff val="50000"/>
              </a:schemeClr>
            </a:solidFill>
            <a:ln>
              <a:noFill/>
            </a:ln>
            <a:effectLst/>
          </c:spPr>
          <c:invertIfNegative val="0"/>
          <c:cat>
            <c:strRef>
              <c:f>sortiert_Altersklassen!$L$148:$L$154</c:f>
              <c:strCache>
                <c:ptCount val="7"/>
                <c:pt idx="0">
                  <c:v>KiTa/Grundschule</c:v>
                </c:pt>
                <c:pt idx="1">
                  <c:v>weiterführende Schule</c:v>
                </c:pt>
                <c:pt idx="2">
                  <c:v>Arbeitsplatz</c:v>
                </c:pt>
                <c:pt idx="3">
                  <c:v>Gesundheitsversorgung</c:v>
                </c:pt>
                <c:pt idx="4">
                  <c:v>Einkaufsmöglichkeiten</c:v>
                </c:pt>
                <c:pt idx="5">
                  <c:v>Freizeitmöglichkeiten</c:v>
                </c:pt>
                <c:pt idx="6">
                  <c:v>ÖPNV-Haltestellen für die Regionalbahn</c:v>
                </c:pt>
              </c:strCache>
            </c:strRef>
          </c:cat>
          <c:val>
            <c:numRef>
              <c:f>sortiert_Altersklassen!$R$148:$R$154</c:f>
              <c:numCache>
                <c:formatCode>General</c:formatCode>
                <c:ptCount val="7"/>
                <c:pt idx="3">
                  <c:v>5</c:v>
                </c:pt>
                <c:pt idx="4">
                  <c:v>5</c:v>
                </c:pt>
              </c:numCache>
            </c:numRef>
          </c:val>
          <c:extLst>
            <c:ext xmlns:c16="http://schemas.microsoft.com/office/drawing/2014/chart" uri="{C3380CC4-5D6E-409C-BE32-E72D297353CC}">
              <c16:uniqueId val="{00000005-D25F-4C4A-B2C0-AF886D8B331B}"/>
            </c:ext>
          </c:extLst>
        </c:ser>
        <c:ser>
          <c:idx val="6"/>
          <c:order val="6"/>
          <c:tx>
            <c:strRef>
              <c:f>sortiert_Altersklassen!$S$147</c:f>
              <c:strCache>
                <c:ptCount val="1"/>
                <c:pt idx="0">
                  <c:v>6. AK</c:v>
                </c:pt>
              </c:strCache>
            </c:strRef>
          </c:tx>
          <c:spPr>
            <a:solidFill>
              <a:schemeClr val="tx2">
                <a:lumMod val="75000"/>
                <a:lumOff val="25000"/>
              </a:schemeClr>
            </a:solidFill>
            <a:ln>
              <a:noFill/>
            </a:ln>
            <a:effectLst/>
          </c:spPr>
          <c:invertIfNegative val="0"/>
          <c:cat>
            <c:strRef>
              <c:f>sortiert_Altersklassen!$L$148:$L$154</c:f>
              <c:strCache>
                <c:ptCount val="7"/>
                <c:pt idx="0">
                  <c:v>KiTa/Grundschule</c:v>
                </c:pt>
                <c:pt idx="1">
                  <c:v>weiterführende Schule</c:v>
                </c:pt>
                <c:pt idx="2">
                  <c:v>Arbeitsplatz</c:v>
                </c:pt>
                <c:pt idx="3">
                  <c:v>Gesundheitsversorgung</c:v>
                </c:pt>
                <c:pt idx="4">
                  <c:v>Einkaufsmöglichkeiten</c:v>
                </c:pt>
                <c:pt idx="5">
                  <c:v>Freizeitmöglichkeiten</c:v>
                </c:pt>
                <c:pt idx="6">
                  <c:v>ÖPNV-Haltestellen für die Regionalbahn</c:v>
                </c:pt>
              </c:strCache>
            </c:strRef>
          </c:cat>
          <c:val>
            <c:numRef>
              <c:f>sortiert_Altersklassen!$S$148:$S$154</c:f>
              <c:numCache>
                <c:formatCode>General</c:formatCode>
                <c:ptCount val="7"/>
                <c:pt idx="3">
                  <c:v>2</c:v>
                </c:pt>
                <c:pt idx="4">
                  <c:v>2</c:v>
                </c:pt>
              </c:numCache>
            </c:numRef>
          </c:val>
          <c:extLst>
            <c:ext xmlns:c16="http://schemas.microsoft.com/office/drawing/2014/chart" uri="{C3380CC4-5D6E-409C-BE32-E72D297353CC}">
              <c16:uniqueId val="{00000006-D25F-4C4A-B2C0-AF886D8B331B}"/>
            </c:ext>
          </c:extLst>
        </c:ser>
        <c:dLbls>
          <c:showLegendKey val="0"/>
          <c:showVal val="0"/>
          <c:showCatName val="0"/>
          <c:showSerName val="0"/>
          <c:showPercent val="0"/>
          <c:showBubbleSize val="0"/>
        </c:dLbls>
        <c:gapWidth val="150"/>
        <c:overlap val="100"/>
        <c:axId val="537497840"/>
        <c:axId val="537500240"/>
        <c:extLst>
          <c:ext xmlns:c15="http://schemas.microsoft.com/office/drawing/2012/chart" uri="{02D57815-91ED-43cb-92C2-25804820EDAC}">
            <c15:filteredBarSeries>
              <c15:ser>
                <c:idx val="0"/>
                <c:order val="0"/>
                <c:tx>
                  <c:strRef>
                    <c:extLst>
                      <c:ext uri="{02D57815-91ED-43cb-92C2-25804820EDAC}">
                        <c15:formulaRef>
                          <c15:sqref>sortiert_Altersklassen!$M$147</c15:sqref>
                        </c15:formulaRef>
                      </c:ext>
                    </c:extLst>
                    <c:strCache>
                      <c:ptCount val="1"/>
                    </c:strCache>
                  </c:strRef>
                </c:tx>
                <c:spPr>
                  <a:solidFill>
                    <a:schemeClr val="accent1"/>
                  </a:solidFill>
                  <a:ln>
                    <a:noFill/>
                  </a:ln>
                  <a:effectLst/>
                </c:spPr>
                <c:invertIfNegative val="0"/>
                <c:cat>
                  <c:strRef>
                    <c:extLst>
                      <c:ext uri="{02D57815-91ED-43cb-92C2-25804820EDAC}">
                        <c15:formulaRef>
                          <c15:sqref>sortiert_Altersklassen!$L$148:$L$154</c15:sqref>
                        </c15:formulaRef>
                      </c:ext>
                    </c:extLst>
                    <c:strCache>
                      <c:ptCount val="7"/>
                      <c:pt idx="0">
                        <c:v>KiTa/Grundschule</c:v>
                      </c:pt>
                      <c:pt idx="1">
                        <c:v>weiterführende Schule</c:v>
                      </c:pt>
                      <c:pt idx="2">
                        <c:v>Arbeitsplatz</c:v>
                      </c:pt>
                      <c:pt idx="3">
                        <c:v>Gesundheitsversorgung</c:v>
                      </c:pt>
                      <c:pt idx="4">
                        <c:v>Einkaufsmöglichkeiten</c:v>
                      </c:pt>
                      <c:pt idx="5">
                        <c:v>Freizeitmöglichkeiten</c:v>
                      </c:pt>
                      <c:pt idx="6">
                        <c:v>ÖPNV-Haltestellen für die Regionalbahn</c:v>
                      </c:pt>
                    </c:strCache>
                  </c:strRef>
                </c:cat>
                <c:val>
                  <c:numRef>
                    <c:extLst>
                      <c:ext uri="{02D57815-91ED-43cb-92C2-25804820EDAC}">
                        <c15:formulaRef>
                          <c15:sqref>sortiert_Altersklassen!$M$148:$M$154</c15:sqref>
                        </c15:formulaRef>
                      </c:ext>
                    </c:extLst>
                    <c:numCache>
                      <c:formatCode>@</c:formatCode>
                      <c:ptCount val="7"/>
                    </c:numCache>
                  </c:numRef>
                </c:val>
                <c:extLst>
                  <c:ext xmlns:c16="http://schemas.microsoft.com/office/drawing/2014/chart" uri="{C3380CC4-5D6E-409C-BE32-E72D297353CC}">
                    <c16:uniqueId val="{00000000-D25F-4C4A-B2C0-AF886D8B331B}"/>
                  </c:ext>
                </c:extLst>
              </c15:ser>
            </c15:filteredBarSeries>
          </c:ext>
        </c:extLst>
      </c:barChart>
      <c:catAx>
        <c:axId val="537497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37500240"/>
        <c:crosses val="autoZero"/>
        <c:auto val="1"/>
        <c:lblAlgn val="ctr"/>
        <c:lblOffset val="100"/>
        <c:noMultiLvlLbl val="0"/>
      </c:catAx>
      <c:valAx>
        <c:axId val="537500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37497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Anteil korrekter Zeiteinschätzungen pro </a:t>
            </a:r>
            <a:r>
              <a:rPr lang="de-DE" baseline="0"/>
              <a:t>POI</a:t>
            </a:r>
            <a:endParaRPr lang="de-DE"/>
          </a:p>
        </c:rich>
      </c:tx>
      <c:layout>
        <c:manualLayout>
          <c:xMode val="edge"/>
          <c:yMode val="edge"/>
          <c:x val="0.19983236318761124"/>
          <c:y val="2.49187827076541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1"/>
          <c:order val="0"/>
          <c:tx>
            <c:v>Schaidt</c:v>
          </c:tx>
          <c:spPr>
            <a:solidFill>
              <a:schemeClr val="accent2">
                <a:lumMod val="75000"/>
              </a:schemeClr>
            </a:solidFill>
            <a:ln>
              <a:noFill/>
            </a:ln>
            <a:effectLst/>
          </c:spPr>
          <c:invertIfNegative val="0"/>
          <c:cat>
            <c:strLit>
              <c:ptCount val="7"/>
              <c:pt idx="0">
                <c:v>KiTa/Grundschule</c:v>
              </c:pt>
              <c:pt idx="1">
                <c:v>weiterführende Schule</c:v>
              </c:pt>
              <c:pt idx="2">
                <c:v>Gesundheitsversorgung</c:v>
              </c:pt>
              <c:pt idx="3">
                <c:v>Einkaufsmöglichkeiten</c:v>
              </c:pt>
              <c:pt idx="4">
                <c:v>Freizeiteinrichtungen</c:v>
              </c:pt>
              <c:pt idx="5">
                <c:v>Bus-Haltestellen</c:v>
              </c:pt>
              <c:pt idx="6">
                <c:v>Bahn-Haltestellen</c:v>
              </c:pt>
            </c:strLit>
          </c:cat>
          <c:val>
            <c:numRef>
              <c:f>(Rasterbereiche!$AJ$78,Rasterbereiche!$BC$78,Rasterbereiche!$CG$78,Rasterbereiche!$CY$78,Rasterbereiche!$DQ$78,Rasterbereiche!$EI$78,Rasterbereiche!$EZ$78)</c:f>
              <c:numCache>
                <c:formatCode>0%</c:formatCode>
                <c:ptCount val="7"/>
                <c:pt idx="0">
                  <c:v>0.46153846153846156</c:v>
                </c:pt>
                <c:pt idx="1">
                  <c:v>0.91666666666666663</c:v>
                </c:pt>
                <c:pt idx="2">
                  <c:v>0.8</c:v>
                </c:pt>
                <c:pt idx="3">
                  <c:v>0.64</c:v>
                </c:pt>
                <c:pt idx="4">
                  <c:v>0.8</c:v>
                </c:pt>
                <c:pt idx="5">
                  <c:v>0.56000000000000005</c:v>
                </c:pt>
                <c:pt idx="6">
                  <c:v>0.625</c:v>
                </c:pt>
              </c:numCache>
            </c:numRef>
          </c:val>
          <c:extLst>
            <c:ext xmlns:c16="http://schemas.microsoft.com/office/drawing/2014/chart" uri="{C3380CC4-5D6E-409C-BE32-E72D297353CC}">
              <c16:uniqueId val="{00000001-4220-4CA6-8E26-AE5CEC08D5AD}"/>
            </c:ext>
          </c:extLst>
        </c:ser>
        <c:ser>
          <c:idx val="0"/>
          <c:order val="1"/>
          <c:tx>
            <c:v>Vollmersweiler</c:v>
          </c:tx>
          <c:spPr>
            <a:solidFill>
              <a:schemeClr val="accent5">
                <a:lumMod val="75000"/>
              </a:schemeClr>
            </a:solidFill>
            <a:ln>
              <a:noFill/>
            </a:ln>
            <a:effectLst/>
          </c:spPr>
          <c:invertIfNegative val="0"/>
          <c:cat>
            <c:strLit>
              <c:ptCount val="7"/>
              <c:pt idx="0">
                <c:v>KiTa/Grundschule</c:v>
              </c:pt>
              <c:pt idx="1">
                <c:v>weiterführende Schule</c:v>
              </c:pt>
              <c:pt idx="2">
                <c:v>Gesundheitsversorgung</c:v>
              </c:pt>
              <c:pt idx="3">
                <c:v>Einkaufsmöglichkeiten</c:v>
              </c:pt>
              <c:pt idx="4">
                <c:v>Freizeiteinrichtungen</c:v>
              </c:pt>
              <c:pt idx="5">
                <c:v>Bus-Haltestellen</c:v>
              </c:pt>
              <c:pt idx="6">
                <c:v>Bahn-Haltestellen</c:v>
              </c:pt>
            </c:strLit>
          </c:cat>
          <c:val>
            <c:numRef>
              <c:f>(Rasterbereiche!$AJ$57,Rasterbereiche!$BC$57,Rasterbereiche!$CG$57,Rasterbereiche!$CY$57,Rasterbereiche!$DQ$57,Rasterbereiche!$EI$57,Rasterbereiche!$EZ$57)</c:f>
              <c:numCache>
                <c:formatCode>0%</c:formatCode>
                <c:ptCount val="7"/>
                <c:pt idx="0">
                  <c:v>0.5</c:v>
                </c:pt>
                <c:pt idx="1">
                  <c:v>0.125</c:v>
                </c:pt>
                <c:pt idx="2">
                  <c:v>0.73333333333333328</c:v>
                </c:pt>
                <c:pt idx="3">
                  <c:v>0.5625</c:v>
                </c:pt>
                <c:pt idx="4">
                  <c:v>1</c:v>
                </c:pt>
                <c:pt idx="5">
                  <c:v>0.8125</c:v>
                </c:pt>
                <c:pt idx="6">
                  <c:v>0.27777777777777779</c:v>
                </c:pt>
              </c:numCache>
            </c:numRef>
          </c:val>
          <c:extLst>
            <c:ext xmlns:c16="http://schemas.microsoft.com/office/drawing/2014/chart" uri="{C3380CC4-5D6E-409C-BE32-E72D297353CC}">
              <c16:uniqueId val="{00000000-4220-4CA6-8E26-AE5CEC08D5AD}"/>
            </c:ext>
          </c:extLst>
        </c:ser>
        <c:dLbls>
          <c:showLegendKey val="0"/>
          <c:showVal val="0"/>
          <c:showCatName val="0"/>
          <c:showSerName val="0"/>
          <c:showPercent val="0"/>
          <c:showBubbleSize val="0"/>
        </c:dLbls>
        <c:gapWidth val="219"/>
        <c:overlap val="-27"/>
        <c:axId val="1110719407"/>
        <c:axId val="1152202799"/>
      </c:barChart>
      <c:catAx>
        <c:axId val="111071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52202799"/>
        <c:crosses val="autoZero"/>
        <c:auto val="1"/>
        <c:lblAlgn val="ctr"/>
        <c:lblOffset val="100"/>
        <c:noMultiLvlLbl val="0"/>
      </c:catAx>
      <c:valAx>
        <c:axId val="115220279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10719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Bewertung der Erreichbarkeit nach POI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v>Schaidt</c:v>
          </c:tx>
          <c:spPr>
            <a:solidFill>
              <a:schemeClr val="accent2">
                <a:lumMod val="75000"/>
              </a:schemeClr>
            </a:solidFill>
            <a:ln>
              <a:noFill/>
            </a:ln>
            <a:effectLst/>
          </c:spPr>
          <c:invertIfNegative val="0"/>
          <c:cat>
            <c:strLit>
              <c:ptCount val="8"/>
              <c:pt idx="0">
                <c:v>KiTa/Grundschule</c:v>
              </c:pt>
              <c:pt idx="1">
                <c:v>weiterführende Schule</c:v>
              </c:pt>
              <c:pt idx="2">
                <c:v>Arbeitsplatz</c:v>
              </c:pt>
              <c:pt idx="3">
                <c:v>Gesundheitsversorgung</c:v>
              </c:pt>
              <c:pt idx="4">
                <c:v>Einkaufsmöglichkeiten</c:v>
              </c:pt>
              <c:pt idx="5">
                <c:v>Freizeiteinrichtungen</c:v>
              </c:pt>
              <c:pt idx="6">
                <c:v>Bus-Haltestellen</c:v>
              </c:pt>
              <c:pt idx="7">
                <c:v>Bahn-Haltestellen</c:v>
              </c:pt>
            </c:strLit>
          </c:cat>
          <c:val>
            <c:numRef>
              <c:f>([1]Zahlen!$AD$49,[1]Zahlen!$AU$49,[1]Zahlen!$BH$49,[1]Zahlen!$BW$49,[1]Zahlen!$CM$49,[1]Zahlen!$DC$49,[1]Zahlen!$DS$49,[1]Zahlen!$EF$49)</c:f>
              <c:numCache>
                <c:formatCode>General</c:formatCode>
                <c:ptCount val="8"/>
                <c:pt idx="0">
                  <c:v>4.3499999999999996</c:v>
                </c:pt>
                <c:pt idx="1">
                  <c:v>3.3529411764705883</c:v>
                </c:pt>
                <c:pt idx="2">
                  <c:v>3.75</c:v>
                </c:pt>
                <c:pt idx="3">
                  <c:v>3.2903225806451615</c:v>
                </c:pt>
                <c:pt idx="4">
                  <c:v>4.2058823529411766</c:v>
                </c:pt>
                <c:pt idx="5">
                  <c:v>3.9090909090909092</c:v>
                </c:pt>
                <c:pt idx="6">
                  <c:v>4.5151515151515156</c:v>
                </c:pt>
                <c:pt idx="7">
                  <c:v>4.2121212121212119</c:v>
                </c:pt>
              </c:numCache>
            </c:numRef>
          </c:val>
          <c:extLst>
            <c:ext xmlns:c16="http://schemas.microsoft.com/office/drawing/2014/chart" uri="{C3380CC4-5D6E-409C-BE32-E72D297353CC}">
              <c16:uniqueId val="{00000000-FF02-4C61-BEF3-C4DB5A511BDE}"/>
            </c:ext>
          </c:extLst>
        </c:ser>
        <c:ser>
          <c:idx val="1"/>
          <c:order val="1"/>
          <c:tx>
            <c:v>Vollmersweiler</c:v>
          </c:tx>
          <c:spPr>
            <a:solidFill>
              <a:schemeClr val="accent5">
                <a:lumMod val="75000"/>
              </a:schemeClr>
            </a:solidFill>
            <a:ln>
              <a:noFill/>
            </a:ln>
            <a:effectLst/>
          </c:spPr>
          <c:invertIfNegative val="0"/>
          <c:cat>
            <c:strLit>
              <c:ptCount val="8"/>
              <c:pt idx="0">
                <c:v>KiTa/Grundschule</c:v>
              </c:pt>
              <c:pt idx="1">
                <c:v>weiterführende Schule</c:v>
              </c:pt>
              <c:pt idx="2">
                <c:v>Arbeitsplatz</c:v>
              </c:pt>
              <c:pt idx="3">
                <c:v>Gesundheitsversorgung</c:v>
              </c:pt>
              <c:pt idx="4">
                <c:v>Einkaufsmöglichkeiten</c:v>
              </c:pt>
              <c:pt idx="5">
                <c:v>Freizeiteinrichtungen</c:v>
              </c:pt>
              <c:pt idx="6">
                <c:v>Bus-Haltestellen</c:v>
              </c:pt>
              <c:pt idx="7">
                <c:v>Bahn-Haltestellen</c:v>
              </c:pt>
            </c:strLit>
          </c:cat>
          <c:val>
            <c:numRef>
              <c:f>([1]Zahlen!$AD$73,[1]Zahlen!$AU$73,[1]Zahlen!$BH$73,[1]Zahlen!$BW$73,[1]Zahlen!$CM$73,[1]Zahlen!$DC$73,[1]Zahlen!$DS$73,[1]Zahlen!$EF$73)</c:f>
              <c:numCache>
                <c:formatCode>General</c:formatCode>
                <c:ptCount val="8"/>
                <c:pt idx="0">
                  <c:v>3.6666666666666665</c:v>
                </c:pt>
                <c:pt idx="1">
                  <c:v>4</c:v>
                </c:pt>
                <c:pt idx="2">
                  <c:v>3.8571428571428572</c:v>
                </c:pt>
                <c:pt idx="3">
                  <c:v>4.3888888888888893</c:v>
                </c:pt>
                <c:pt idx="4">
                  <c:v>4.5555555555555554</c:v>
                </c:pt>
                <c:pt idx="5">
                  <c:v>4.1333333333333337</c:v>
                </c:pt>
                <c:pt idx="6">
                  <c:v>5</c:v>
                </c:pt>
                <c:pt idx="7">
                  <c:v>4.4444444444444446</c:v>
                </c:pt>
              </c:numCache>
            </c:numRef>
          </c:val>
          <c:extLst>
            <c:ext xmlns:c16="http://schemas.microsoft.com/office/drawing/2014/chart" uri="{C3380CC4-5D6E-409C-BE32-E72D297353CC}">
              <c16:uniqueId val="{00000001-FF02-4C61-BEF3-C4DB5A511BDE}"/>
            </c:ext>
          </c:extLst>
        </c:ser>
        <c:dLbls>
          <c:showLegendKey val="0"/>
          <c:showVal val="0"/>
          <c:showCatName val="0"/>
          <c:showSerName val="0"/>
          <c:showPercent val="0"/>
          <c:showBubbleSize val="0"/>
        </c:dLbls>
        <c:gapWidth val="75"/>
        <c:overlap val="-25"/>
        <c:axId val="1133342847"/>
        <c:axId val="1152177359"/>
      </c:barChart>
      <c:catAx>
        <c:axId val="113334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52177359"/>
        <c:crosses val="autoZero"/>
        <c:auto val="1"/>
        <c:lblAlgn val="ctr"/>
        <c:lblOffset val="100"/>
        <c:noMultiLvlLbl val="0"/>
      </c:catAx>
      <c:valAx>
        <c:axId val="115217735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33342847"/>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Bewertung der Erreichbarkeit nach POI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v>Schaidt</c:v>
          </c:tx>
          <c:spPr>
            <a:solidFill>
              <a:srgbClr val="00823C"/>
            </a:solidFill>
            <a:ln>
              <a:noFill/>
            </a:ln>
            <a:effectLst/>
          </c:spPr>
          <c:invertIfNegative val="0"/>
          <c:cat>
            <c:strLit>
              <c:ptCount val="8"/>
              <c:pt idx="0">
                <c:v>KiTa/Grundschule</c:v>
              </c:pt>
              <c:pt idx="1">
                <c:v>weiterführende Schule</c:v>
              </c:pt>
              <c:pt idx="2">
                <c:v>Arbeitsplatz</c:v>
              </c:pt>
              <c:pt idx="3">
                <c:v>Gesundheitsversorgung</c:v>
              </c:pt>
              <c:pt idx="4">
                <c:v>Einkaufsmöglichkeiten</c:v>
              </c:pt>
              <c:pt idx="5">
                <c:v>Freizeiteinrichtungen</c:v>
              </c:pt>
              <c:pt idx="6">
                <c:v>Bus-Haltestellen</c:v>
              </c:pt>
              <c:pt idx="7">
                <c:v>Bahn-Haltestellen</c:v>
              </c:pt>
            </c:strLit>
          </c:cat>
          <c:val>
            <c:numRef>
              <c:f>([1]Zahlen!$AD$49,[1]Zahlen!$AU$49,[1]Zahlen!$BH$49,[1]Zahlen!$BW$49,[1]Zahlen!$CM$49,[1]Zahlen!$DC$49,[1]Zahlen!$DS$49,[1]Zahlen!$EF$49)</c:f>
              <c:numCache>
                <c:formatCode>General</c:formatCode>
                <c:ptCount val="8"/>
                <c:pt idx="0">
                  <c:v>4.3499999999999996</c:v>
                </c:pt>
                <c:pt idx="1">
                  <c:v>3.3529411764705883</c:v>
                </c:pt>
                <c:pt idx="2">
                  <c:v>3.75</c:v>
                </c:pt>
                <c:pt idx="3">
                  <c:v>3.2903225806451615</c:v>
                </c:pt>
                <c:pt idx="4">
                  <c:v>4.2058823529411766</c:v>
                </c:pt>
                <c:pt idx="5">
                  <c:v>3.9090909090909092</c:v>
                </c:pt>
                <c:pt idx="6">
                  <c:v>4.5151515151515156</c:v>
                </c:pt>
                <c:pt idx="7">
                  <c:v>4.2121212121212119</c:v>
                </c:pt>
              </c:numCache>
            </c:numRef>
          </c:val>
          <c:extLst>
            <c:ext xmlns:c16="http://schemas.microsoft.com/office/drawing/2014/chart" uri="{C3380CC4-5D6E-409C-BE32-E72D297353CC}">
              <c16:uniqueId val="{00000000-48BC-4E0D-AE9E-E67B2F9720FD}"/>
            </c:ext>
          </c:extLst>
        </c:ser>
        <c:ser>
          <c:idx val="1"/>
          <c:order val="1"/>
          <c:tx>
            <c:v>Vollmersweiler</c:v>
          </c:tx>
          <c:spPr>
            <a:solidFill>
              <a:schemeClr val="accent6">
                <a:lumMod val="40000"/>
                <a:lumOff val="60000"/>
              </a:schemeClr>
            </a:solidFill>
            <a:ln>
              <a:noFill/>
            </a:ln>
            <a:effectLst/>
          </c:spPr>
          <c:invertIfNegative val="0"/>
          <c:cat>
            <c:strLit>
              <c:ptCount val="8"/>
              <c:pt idx="0">
                <c:v>KiTa/Grundschule</c:v>
              </c:pt>
              <c:pt idx="1">
                <c:v>weiterführende Schule</c:v>
              </c:pt>
              <c:pt idx="2">
                <c:v>Arbeitsplatz</c:v>
              </c:pt>
              <c:pt idx="3">
                <c:v>Gesundheitsversorgung</c:v>
              </c:pt>
              <c:pt idx="4">
                <c:v>Einkaufsmöglichkeiten</c:v>
              </c:pt>
              <c:pt idx="5">
                <c:v>Freizeiteinrichtungen</c:v>
              </c:pt>
              <c:pt idx="6">
                <c:v>Bus-Haltestellen</c:v>
              </c:pt>
              <c:pt idx="7">
                <c:v>Bahn-Haltestellen</c:v>
              </c:pt>
            </c:strLit>
          </c:cat>
          <c:val>
            <c:numRef>
              <c:f>([1]Zahlen!$AD$73,[1]Zahlen!$AU$73,[1]Zahlen!$BH$73,[1]Zahlen!$BW$73,[1]Zahlen!$CM$73,[1]Zahlen!$DC$73,[1]Zahlen!$DS$73,[1]Zahlen!$EF$73)</c:f>
              <c:numCache>
                <c:formatCode>General</c:formatCode>
                <c:ptCount val="8"/>
                <c:pt idx="0">
                  <c:v>3.6666666666666665</c:v>
                </c:pt>
                <c:pt idx="1">
                  <c:v>4</c:v>
                </c:pt>
                <c:pt idx="2">
                  <c:v>3.8571428571428572</c:v>
                </c:pt>
                <c:pt idx="3">
                  <c:v>4.3888888888888893</c:v>
                </c:pt>
                <c:pt idx="4">
                  <c:v>4.5555555555555554</c:v>
                </c:pt>
                <c:pt idx="5">
                  <c:v>4.1333333333333337</c:v>
                </c:pt>
                <c:pt idx="6">
                  <c:v>5</c:v>
                </c:pt>
                <c:pt idx="7">
                  <c:v>4.4444444444444446</c:v>
                </c:pt>
              </c:numCache>
            </c:numRef>
          </c:val>
          <c:extLst>
            <c:ext xmlns:c16="http://schemas.microsoft.com/office/drawing/2014/chart" uri="{C3380CC4-5D6E-409C-BE32-E72D297353CC}">
              <c16:uniqueId val="{00000001-48BC-4E0D-AE9E-E67B2F9720FD}"/>
            </c:ext>
          </c:extLst>
        </c:ser>
        <c:dLbls>
          <c:showLegendKey val="0"/>
          <c:showVal val="0"/>
          <c:showCatName val="0"/>
          <c:showSerName val="0"/>
          <c:showPercent val="0"/>
          <c:showBubbleSize val="0"/>
        </c:dLbls>
        <c:gapWidth val="75"/>
        <c:overlap val="-25"/>
        <c:axId val="1133342847"/>
        <c:axId val="1152177359"/>
      </c:barChart>
      <c:catAx>
        <c:axId val="113334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52177359"/>
        <c:crosses val="autoZero"/>
        <c:auto val="1"/>
        <c:lblAlgn val="ctr"/>
        <c:lblOffset val="100"/>
        <c:noMultiLvlLbl val="0"/>
      </c:catAx>
      <c:valAx>
        <c:axId val="115217735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33342847"/>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Anteil korrekter</a:t>
            </a:r>
            <a:r>
              <a:rPr lang="de-DE" baseline="0"/>
              <a:t> Reisezeiteinschätzungen nach Altersklasse</a:t>
            </a:r>
          </a:p>
        </c:rich>
      </c:tx>
      <c:overlay val="0"/>
      <c:spPr>
        <a:noFill/>
        <a:ln>
          <a:noFill/>
        </a:ln>
        <a:effectLst/>
      </c:spPr>
    </c:title>
    <c:autoTitleDeleted val="0"/>
    <c:plotArea>
      <c:layout/>
      <c:barChart>
        <c:barDir val="col"/>
        <c:grouping val="clustered"/>
        <c:varyColors val="0"/>
        <c:ser>
          <c:idx val="6"/>
          <c:order val="0"/>
          <c:tx>
            <c:strRef>
              <c:f>'Rasterbereiche (2)'!$AQ$149</c:f>
              <c:strCache>
                <c:ptCount val="1"/>
                <c:pt idx="0">
                  <c:v>1. AK</c:v>
                </c:pt>
              </c:strCache>
            </c:strRef>
          </c:tx>
          <c:invertIfNegative val="0"/>
          <c:dPt>
            <c:idx val="0"/>
            <c:invertIfNegative val="0"/>
            <c:bubble3D val="0"/>
            <c:spPr>
              <a:solidFill>
                <a:srgbClr val="CCFFCC"/>
              </a:solidFill>
              <a:ln>
                <a:noFill/>
              </a:ln>
              <a:effectLst/>
            </c:spPr>
            <c:extLst>
              <c:ext xmlns:c16="http://schemas.microsoft.com/office/drawing/2014/chart" uri="{C3380CC4-5D6E-409C-BE32-E72D297353CC}">
                <c16:uniqueId val="{00000011-0FF6-4515-A7F8-D3BAC1A5871B}"/>
              </c:ext>
            </c:extLst>
          </c:dPt>
          <c:cat>
            <c:strRef>
              <c:f>'Rasterbereiche (2)'!$AP$150:$AP$156</c:f>
              <c:strCache>
                <c:ptCount val="7"/>
                <c:pt idx="0">
                  <c:v>Grundschule</c:v>
                </c:pt>
                <c:pt idx="1">
                  <c:v>weiterführende Schule</c:v>
                </c:pt>
                <c:pt idx="2">
                  <c:v>Gesundheitsversorgung</c:v>
                </c:pt>
                <c:pt idx="3">
                  <c:v>Einkaufsmöglichekiten</c:v>
                </c:pt>
                <c:pt idx="4">
                  <c:v>Freizeitmöglichkeiten</c:v>
                </c:pt>
                <c:pt idx="5">
                  <c:v>Bushaltestelle</c:v>
                </c:pt>
                <c:pt idx="6">
                  <c:v>Bahnhaltepunkt</c:v>
                </c:pt>
              </c:strCache>
            </c:strRef>
          </c:cat>
          <c:val>
            <c:numRef>
              <c:f>'Rasterbereiche (2)'!$AQ$150:$AQ$156</c:f>
              <c:numCache>
                <c:formatCode>0%</c:formatCode>
                <c:ptCount val="7"/>
                <c:pt idx="0">
                  <c:v>0.5</c:v>
                </c:pt>
                <c:pt idx="1">
                  <c:v>1</c:v>
                </c:pt>
                <c:pt idx="2">
                  <c:v>1</c:v>
                </c:pt>
                <c:pt idx="4">
                  <c:v>0.5</c:v>
                </c:pt>
              </c:numCache>
            </c:numRef>
          </c:val>
          <c:extLst>
            <c:ext xmlns:c16="http://schemas.microsoft.com/office/drawing/2014/chart" uri="{C3380CC4-5D6E-409C-BE32-E72D297353CC}">
              <c16:uniqueId val="{00000010-0FF6-4515-A7F8-D3BAC1A5871B}"/>
            </c:ext>
          </c:extLst>
        </c:ser>
        <c:ser>
          <c:idx val="7"/>
          <c:order val="1"/>
          <c:tx>
            <c:strRef>
              <c:f>'Rasterbereiche (2)'!$AR$149</c:f>
              <c:strCache>
                <c:ptCount val="1"/>
                <c:pt idx="0">
                  <c:v>2. AK</c:v>
                </c:pt>
              </c:strCache>
            </c:strRef>
          </c:tx>
          <c:spPr>
            <a:solidFill>
              <a:srgbClr val="00823C"/>
            </a:solidFill>
          </c:spPr>
          <c:invertIfNegative val="0"/>
          <c:cat>
            <c:strRef>
              <c:f>'Rasterbereiche (2)'!$AP$150:$AP$156</c:f>
              <c:strCache>
                <c:ptCount val="7"/>
                <c:pt idx="0">
                  <c:v>Grundschule</c:v>
                </c:pt>
                <c:pt idx="1">
                  <c:v>weiterführende Schule</c:v>
                </c:pt>
                <c:pt idx="2">
                  <c:v>Gesundheitsversorgung</c:v>
                </c:pt>
                <c:pt idx="3">
                  <c:v>Einkaufsmöglichekiten</c:v>
                </c:pt>
                <c:pt idx="4">
                  <c:v>Freizeitmöglichkeiten</c:v>
                </c:pt>
                <c:pt idx="5">
                  <c:v>Bushaltestelle</c:v>
                </c:pt>
                <c:pt idx="6">
                  <c:v>Bahnhaltepunkt</c:v>
                </c:pt>
              </c:strCache>
            </c:strRef>
          </c:cat>
          <c:val>
            <c:numRef>
              <c:f>'Rasterbereiche (2)'!$AR$150:$AR$156</c:f>
              <c:numCache>
                <c:formatCode>0%</c:formatCode>
                <c:ptCount val="7"/>
                <c:pt idx="0">
                  <c:v>0.33333333333333331</c:v>
                </c:pt>
                <c:pt idx="1">
                  <c:v>0.81818181818181823</c:v>
                </c:pt>
                <c:pt idx="2">
                  <c:v>1</c:v>
                </c:pt>
                <c:pt idx="3">
                  <c:v>0.7</c:v>
                </c:pt>
                <c:pt idx="4">
                  <c:v>0.88888888888888884</c:v>
                </c:pt>
                <c:pt idx="5">
                  <c:v>0.7</c:v>
                </c:pt>
                <c:pt idx="6">
                  <c:v>0.76923076923076927</c:v>
                </c:pt>
              </c:numCache>
            </c:numRef>
          </c:val>
          <c:extLst>
            <c:ext xmlns:c16="http://schemas.microsoft.com/office/drawing/2014/chart" uri="{C3380CC4-5D6E-409C-BE32-E72D297353CC}">
              <c16:uniqueId val="{00000012-0FF6-4515-A7F8-D3BAC1A5871B}"/>
            </c:ext>
          </c:extLst>
        </c:ser>
        <c:ser>
          <c:idx val="8"/>
          <c:order val="2"/>
          <c:tx>
            <c:strRef>
              <c:f>'Rasterbereiche (2)'!$AS$149</c:f>
              <c:strCache>
                <c:ptCount val="1"/>
                <c:pt idx="0">
                  <c:v>3. AK</c:v>
                </c:pt>
              </c:strCache>
            </c:strRef>
          </c:tx>
          <c:spPr>
            <a:solidFill>
              <a:schemeClr val="accent6">
                <a:lumMod val="50000"/>
              </a:schemeClr>
            </a:solidFill>
          </c:spPr>
          <c:invertIfNegative val="0"/>
          <c:cat>
            <c:strRef>
              <c:f>'Rasterbereiche (2)'!$AP$150:$AP$156</c:f>
              <c:strCache>
                <c:ptCount val="7"/>
                <c:pt idx="0">
                  <c:v>Grundschule</c:v>
                </c:pt>
                <c:pt idx="1">
                  <c:v>weiterführende Schule</c:v>
                </c:pt>
                <c:pt idx="2">
                  <c:v>Gesundheitsversorgung</c:v>
                </c:pt>
                <c:pt idx="3">
                  <c:v>Einkaufsmöglichekiten</c:v>
                </c:pt>
                <c:pt idx="4">
                  <c:v>Freizeitmöglichkeiten</c:v>
                </c:pt>
                <c:pt idx="5">
                  <c:v>Bushaltestelle</c:v>
                </c:pt>
                <c:pt idx="6">
                  <c:v>Bahnhaltepunkt</c:v>
                </c:pt>
              </c:strCache>
            </c:strRef>
          </c:cat>
          <c:val>
            <c:numRef>
              <c:f>'Rasterbereiche (2)'!$AS$150:$AS$156</c:f>
              <c:numCache>
                <c:formatCode>0%</c:formatCode>
                <c:ptCount val="7"/>
                <c:pt idx="0">
                  <c:v>0.55555555555555558</c:v>
                </c:pt>
                <c:pt idx="1">
                  <c:v>1</c:v>
                </c:pt>
                <c:pt idx="2">
                  <c:v>0.83333333333333337</c:v>
                </c:pt>
                <c:pt idx="3">
                  <c:v>0.66666666666666663</c:v>
                </c:pt>
                <c:pt idx="4">
                  <c:v>1</c:v>
                </c:pt>
                <c:pt idx="5">
                  <c:v>0.875</c:v>
                </c:pt>
                <c:pt idx="6">
                  <c:v>0.625</c:v>
                </c:pt>
              </c:numCache>
            </c:numRef>
          </c:val>
          <c:extLst>
            <c:ext xmlns:c16="http://schemas.microsoft.com/office/drawing/2014/chart" uri="{C3380CC4-5D6E-409C-BE32-E72D297353CC}">
              <c16:uniqueId val="{00000013-0FF6-4515-A7F8-D3BAC1A5871B}"/>
            </c:ext>
          </c:extLst>
        </c:ser>
        <c:ser>
          <c:idx val="9"/>
          <c:order val="3"/>
          <c:tx>
            <c:strRef>
              <c:f>'Rasterbereiche (2)'!$AT$149</c:f>
              <c:strCache>
                <c:ptCount val="1"/>
                <c:pt idx="0">
                  <c:v>4. AK</c:v>
                </c:pt>
              </c:strCache>
            </c:strRef>
          </c:tx>
          <c:spPr>
            <a:solidFill>
              <a:schemeClr val="tx2">
                <a:lumMod val="10000"/>
                <a:lumOff val="90000"/>
              </a:schemeClr>
            </a:solidFill>
          </c:spPr>
          <c:invertIfNegative val="0"/>
          <c:cat>
            <c:strRef>
              <c:f>'Rasterbereiche (2)'!$AP$150:$AP$156</c:f>
              <c:strCache>
                <c:ptCount val="7"/>
                <c:pt idx="0">
                  <c:v>Grundschule</c:v>
                </c:pt>
                <c:pt idx="1">
                  <c:v>weiterführende Schule</c:v>
                </c:pt>
                <c:pt idx="2">
                  <c:v>Gesundheitsversorgung</c:v>
                </c:pt>
                <c:pt idx="3">
                  <c:v>Einkaufsmöglichekiten</c:v>
                </c:pt>
                <c:pt idx="4">
                  <c:v>Freizeitmöglichkeiten</c:v>
                </c:pt>
                <c:pt idx="5">
                  <c:v>Bushaltestelle</c:v>
                </c:pt>
                <c:pt idx="6">
                  <c:v>Bahnhaltepunkt</c:v>
                </c:pt>
              </c:strCache>
            </c:strRef>
          </c:cat>
          <c:val>
            <c:numRef>
              <c:f>'Rasterbereiche (2)'!$AT$150:$AT$156</c:f>
              <c:numCache>
                <c:formatCode>0%</c:formatCode>
                <c:ptCount val="7"/>
                <c:pt idx="0">
                  <c:v>0.53333333333333333</c:v>
                </c:pt>
                <c:pt idx="1">
                  <c:v>0.625</c:v>
                </c:pt>
                <c:pt idx="2">
                  <c:v>0.7142857142857143</c:v>
                </c:pt>
                <c:pt idx="3">
                  <c:v>0.77777777777777779</c:v>
                </c:pt>
                <c:pt idx="4">
                  <c:v>1</c:v>
                </c:pt>
                <c:pt idx="5">
                  <c:v>0.5</c:v>
                </c:pt>
                <c:pt idx="6">
                  <c:v>0.46666666666666667</c:v>
                </c:pt>
              </c:numCache>
            </c:numRef>
          </c:val>
          <c:extLst>
            <c:ext xmlns:c16="http://schemas.microsoft.com/office/drawing/2014/chart" uri="{C3380CC4-5D6E-409C-BE32-E72D297353CC}">
              <c16:uniqueId val="{00000014-0FF6-4515-A7F8-D3BAC1A5871B}"/>
            </c:ext>
          </c:extLst>
        </c:ser>
        <c:ser>
          <c:idx val="10"/>
          <c:order val="4"/>
          <c:tx>
            <c:strRef>
              <c:f>'Rasterbereiche (2)'!$AU$149</c:f>
              <c:strCache>
                <c:ptCount val="1"/>
                <c:pt idx="0">
                  <c:v>5. AK</c:v>
                </c:pt>
              </c:strCache>
            </c:strRef>
          </c:tx>
          <c:spPr>
            <a:solidFill>
              <a:schemeClr val="tx2">
                <a:lumMod val="50000"/>
                <a:lumOff val="50000"/>
              </a:schemeClr>
            </a:solidFill>
          </c:spPr>
          <c:invertIfNegative val="0"/>
          <c:cat>
            <c:strRef>
              <c:f>'Rasterbereiche (2)'!$AP$150:$AP$156</c:f>
              <c:strCache>
                <c:ptCount val="7"/>
                <c:pt idx="0">
                  <c:v>Grundschule</c:v>
                </c:pt>
                <c:pt idx="1">
                  <c:v>weiterführende Schule</c:v>
                </c:pt>
                <c:pt idx="2">
                  <c:v>Gesundheitsversorgung</c:v>
                </c:pt>
                <c:pt idx="3">
                  <c:v>Einkaufsmöglichekiten</c:v>
                </c:pt>
                <c:pt idx="4">
                  <c:v>Freizeitmöglichkeiten</c:v>
                </c:pt>
                <c:pt idx="5">
                  <c:v>Bushaltestelle</c:v>
                </c:pt>
                <c:pt idx="6">
                  <c:v>Bahnhaltepunkt</c:v>
                </c:pt>
              </c:strCache>
            </c:strRef>
          </c:cat>
          <c:val>
            <c:numRef>
              <c:f>'Rasterbereiche (2)'!$AU$150:$AU$156</c:f>
              <c:numCache>
                <c:formatCode>0%</c:formatCode>
                <c:ptCount val="7"/>
                <c:pt idx="0">
                  <c:v>0.375</c:v>
                </c:pt>
                <c:pt idx="1">
                  <c:v>1</c:v>
                </c:pt>
                <c:pt idx="2">
                  <c:v>0.7142857142857143</c:v>
                </c:pt>
                <c:pt idx="3">
                  <c:v>0.33333333333333331</c:v>
                </c:pt>
                <c:pt idx="4">
                  <c:v>1</c:v>
                </c:pt>
                <c:pt idx="5">
                  <c:v>0.66666666666666663</c:v>
                </c:pt>
                <c:pt idx="6">
                  <c:v>0.1</c:v>
                </c:pt>
              </c:numCache>
            </c:numRef>
          </c:val>
          <c:extLst>
            <c:ext xmlns:c16="http://schemas.microsoft.com/office/drawing/2014/chart" uri="{C3380CC4-5D6E-409C-BE32-E72D297353CC}">
              <c16:uniqueId val="{00000015-0FF6-4515-A7F8-D3BAC1A5871B}"/>
            </c:ext>
          </c:extLst>
        </c:ser>
        <c:ser>
          <c:idx val="11"/>
          <c:order val="5"/>
          <c:tx>
            <c:strRef>
              <c:f>'Rasterbereiche (2)'!$AV$149</c:f>
              <c:strCache>
                <c:ptCount val="1"/>
                <c:pt idx="0">
                  <c:v>6. AK</c:v>
                </c:pt>
              </c:strCache>
            </c:strRef>
          </c:tx>
          <c:spPr>
            <a:solidFill>
              <a:schemeClr val="tx2">
                <a:lumMod val="75000"/>
                <a:lumOff val="25000"/>
              </a:schemeClr>
            </a:solidFill>
          </c:spPr>
          <c:invertIfNegative val="0"/>
          <c:cat>
            <c:strRef>
              <c:f>'Rasterbereiche (2)'!$AP$150:$AP$156</c:f>
              <c:strCache>
                <c:ptCount val="7"/>
                <c:pt idx="0">
                  <c:v>Grundschule</c:v>
                </c:pt>
                <c:pt idx="1">
                  <c:v>weiterführende Schule</c:v>
                </c:pt>
                <c:pt idx="2">
                  <c:v>Gesundheitsversorgung</c:v>
                </c:pt>
                <c:pt idx="3">
                  <c:v>Einkaufsmöglichekiten</c:v>
                </c:pt>
                <c:pt idx="4">
                  <c:v>Freizeitmöglichkeiten</c:v>
                </c:pt>
                <c:pt idx="5">
                  <c:v>Bushaltestelle</c:v>
                </c:pt>
                <c:pt idx="6">
                  <c:v>Bahnhaltepunkt</c:v>
                </c:pt>
              </c:strCache>
            </c:strRef>
          </c:cat>
          <c:val>
            <c:numRef>
              <c:f>'Rasterbereiche (2)'!$AV$150:$AV$156</c:f>
              <c:numCache>
                <c:formatCode>0%</c:formatCode>
                <c:ptCount val="7"/>
                <c:pt idx="0">
                  <c:v>0.75</c:v>
                </c:pt>
                <c:pt idx="1">
                  <c:v>0.5</c:v>
                </c:pt>
                <c:pt idx="2">
                  <c:v>0.33333333333333331</c:v>
                </c:pt>
                <c:pt idx="3">
                  <c:v>0.5</c:v>
                </c:pt>
                <c:pt idx="4">
                  <c:v>0.66666666666666663</c:v>
                </c:pt>
                <c:pt idx="5">
                  <c:v>0.5</c:v>
                </c:pt>
                <c:pt idx="6">
                  <c:v>0.5</c:v>
                </c:pt>
              </c:numCache>
            </c:numRef>
          </c:val>
          <c:extLst>
            <c:ext xmlns:c16="http://schemas.microsoft.com/office/drawing/2014/chart" uri="{C3380CC4-5D6E-409C-BE32-E72D297353CC}">
              <c16:uniqueId val="{00000016-0FF6-4515-A7F8-D3BAC1A5871B}"/>
            </c:ext>
          </c:extLst>
        </c:ser>
        <c:dLbls>
          <c:showLegendKey val="0"/>
          <c:showVal val="0"/>
          <c:showCatName val="0"/>
          <c:showSerName val="0"/>
          <c:showPercent val="0"/>
          <c:showBubbleSize val="0"/>
        </c:dLbls>
        <c:gapWidth val="219"/>
        <c:overlap val="-27"/>
        <c:axId val="680264304"/>
        <c:axId val="680265264"/>
      </c:barChart>
      <c:catAx>
        <c:axId val="68026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80265264"/>
        <c:crosses val="autoZero"/>
        <c:auto val="1"/>
        <c:lblAlgn val="ctr"/>
        <c:lblOffset val="100"/>
        <c:noMultiLvlLbl val="0"/>
      </c:catAx>
      <c:valAx>
        <c:axId val="68026526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80264304"/>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txPr>
    <a:bodyPr/>
    <a:lstStyle/>
    <a:p>
      <a:pPr>
        <a:defRPr/>
      </a:pPr>
      <a:endParaRPr lang="de-DE"/>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200">
                <a:latin typeface="Times New Roman" panose="02020603050405020304" pitchFamily="18" charset="0"/>
                <a:cs typeface="Times New Roman" panose="02020603050405020304" pitchFamily="18" charset="0"/>
              </a:rPr>
              <a:t>Anteil korrekter Zeiteinschätzungen nach Altersklassen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strRef>
              <c:f>'Rasterbereiche (2)'!$AQ$149</c:f>
              <c:strCache>
                <c:ptCount val="1"/>
                <c:pt idx="0">
                  <c:v>1. AK</c:v>
                </c:pt>
              </c:strCache>
            </c:strRef>
          </c:tx>
          <c:spPr>
            <a:ln w="28575" cap="rnd">
              <a:solidFill>
                <a:schemeClr val="accent3">
                  <a:lumMod val="40000"/>
                  <a:lumOff val="60000"/>
                </a:schemeClr>
              </a:solidFill>
              <a:round/>
            </a:ln>
            <a:effectLst/>
          </c:spPr>
          <c:marker>
            <c:symbol val="circle"/>
            <c:size val="5"/>
            <c:spPr>
              <a:solidFill>
                <a:schemeClr val="accent3">
                  <a:lumMod val="40000"/>
                  <a:lumOff val="60000"/>
                </a:schemeClr>
              </a:solidFill>
              <a:ln w="9525">
                <a:solidFill>
                  <a:schemeClr val="accent3">
                    <a:lumMod val="40000"/>
                    <a:lumOff val="60000"/>
                  </a:schemeClr>
                </a:solidFill>
              </a:ln>
              <a:effectLst/>
            </c:spPr>
          </c:marker>
          <c:cat>
            <c:strRef>
              <c:f>'Rasterbereiche (2)'!$AP$150:$AP$156</c:f>
              <c:strCache>
                <c:ptCount val="7"/>
                <c:pt idx="0">
                  <c:v>Grundschule</c:v>
                </c:pt>
                <c:pt idx="1">
                  <c:v>weiterführende Schule</c:v>
                </c:pt>
                <c:pt idx="2">
                  <c:v>Gesundheitsversorgung</c:v>
                </c:pt>
                <c:pt idx="3">
                  <c:v>Einkaufsmöglichekiten</c:v>
                </c:pt>
                <c:pt idx="4">
                  <c:v>Freizeitmöglichkeiten</c:v>
                </c:pt>
                <c:pt idx="5">
                  <c:v>Bushaltestelle</c:v>
                </c:pt>
                <c:pt idx="6">
                  <c:v>Bahnhaltepunkt</c:v>
                </c:pt>
              </c:strCache>
            </c:strRef>
          </c:cat>
          <c:val>
            <c:numRef>
              <c:f>'Rasterbereiche (2)'!$AQ$150:$AQ$156</c:f>
              <c:numCache>
                <c:formatCode>0%</c:formatCode>
                <c:ptCount val="7"/>
                <c:pt idx="0">
                  <c:v>0.5</c:v>
                </c:pt>
                <c:pt idx="1">
                  <c:v>1</c:v>
                </c:pt>
                <c:pt idx="2">
                  <c:v>1</c:v>
                </c:pt>
                <c:pt idx="4">
                  <c:v>0.5</c:v>
                </c:pt>
              </c:numCache>
            </c:numRef>
          </c:val>
          <c:smooth val="0"/>
          <c:extLst>
            <c:ext xmlns:c16="http://schemas.microsoft.com/office/drawing/2014/chart" uri="{C3380CC4-5D6E-409C-BE32-E72D297353CC}">
              <c16:uniqueId val="{00000000-8921-4998-8EAE-A999CD43404E}"/>
            </c:ext>
          </c:extLst>
        </c:ser>
        <c:ser>
          <c:idx val="1"/>
          <c:order val="1"/>
          <c:tx>
            <c:strRef>
              <c:f>'Rasterbereiche (2)'!$AR$149</c:f>
              <c:strCache>
                <c:ptCount val="1"/>
                <c:pt idx="0">
                  <c:v>2. AK</c:v>
                </c:pt>
              </c:strCache>
            </c:strRef>
          </c:tx>
          <c:spPr>
            <a:ln w="28575" cap="rnd">
              <a:solidFill>
                <a:srgbClr val="00823C"/>
              </a:solidFill>
              <a:round/>
            </a:ln>
            <a:effectLst/>
          </c:spPr>
          <c:marker>
            <c:symbol val="circle"/>
            <c:size val="5"/>
            <c:spPr>
              <a:solidFill>
                <a:srgbClr val="00823C"/>
              </a:solidFill>
              <a:ln w="9525">
                <a:solidFill>
                  <a:srgbClr val="00823C"/>
                </a:solidFill>
              </a:ln>
              <a:effectLst/>
            </c:spPr>
          </c:marker>
          <c:cat>
            <c:strRef>
              <c:f>'Rasterbereiche (2)'!$AP$150:$AP$156</c:f>
              <c:strCache>
                <c:ptCount val="7"/>
                <c:pt idx="0">
                  <c:v>Grundschule</c:v>
                </c:pt>
                <c:pt idx="1">
                  <c:v>weiterführende Schule</c:v>
                </c:pt>
                <c:pt idx="2">
                  <c:v>Gesundheitsversorgung</c:v>
                </c:pt>
                <c:pt idx="3">
                  <c:v>Einkaufsmöglichekiten</c:v>
                </c:pt>
                <c:pt idx="4">
                  <c:v>Freizeitmöglichkeiten</c:v>
                </c:pt>
                <c:pt idx="5">
                  <c:v>Bushaltestelle</c:v>
                </c:pt>
                <c:pt idx="6">
                  <c:v>Bahnhaltepunkt</c:v>
                </c:pt>
              </c:strCache>
            </c:strRef>
          </c:cat>
          <c:val>
            <c:numRef>
              <c:f>'Rasterbereiche (2)'!$AR$150:$AR$156</c:f>
              <c:numCache>
                <c:formatCode>0%</c:formatCode>
                <c:ptCount val="7"/>
                <c:pt idx="0">
                  <c:v>0.33333333333333331</c:v>
                </c:pt>
                <c:pt idx="1">
                  <c:v>0.81818181818181823</c:v>
                </c:pt>
                <c:pt idx="2">
                  <c:v>1</c:v>
                </c:pt>
                <c:pt idx="3">
                  <c:v>0.7</c:v>
                </c:pt>
                <c:pt idx="4">
                  <c:v>0.88888888888888884</c:v>
                </c:pt>
                <c:pt idx="5">
                  <c:v>0.7</c:v>
                </c:pt>
                <c:pt idx="6">
                  <c:v>0.76923076923076927</c:v>
                </c:pt>
              </c:numCache>
            </c:numRef>
          </c:val>
          <c:smooth val="0"/>
          <c:extLst>
            <c:ext xmlns:c16="http://schemas.microsoft.com/office/drawing/2014/chart" uri="{C3380CC4-5D6E-409C-BE32-E72D297353CC}">
              <c16:uniqueId val="{00000001-8921-4998-8EAE-A999CD43404E}"/>
            </c:ext>
          </c:extLst>
        </c:ser>
        <c:ser>
          <c:idx val="2"/>
          <c:order val="2"/>
          <c:tx>
            <c:strRef>
              <c:f>'Rasterbereiche (2)'!$AS$149</c:f>
              <c:strCache>
                <c:ptCount val="1"/>
                <c:pt idx="0">
                  <c:v>3. AK</c:v>
                </c:pt>
              </c:strCache>
            </c:strRef>
          </c:tx>
          <c:spPr>
            <a:ln w="28575" cap="rnd">
              <a:solidFill>
                <a:schemeClr val="accent3">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cat>
            <c:strRef>
              <c:f>'Rasterbereiche (2)'!$AP$150:$AP$156</c:f>
              <c:strCache>
                <c:ptCount val="7"/>
                <c:pt idx="0">
                  <c:v>Grundschule</c:v>
                </c:pt>
                <c:pt idx="1">
                  <c:v>weiterführende Schule</c:v>
                </c:pt>
                <c:pt idx="2">
                  <c:v>Gesundheitsversorgung</c:v>
                </c:pt>
                <c:pt idx="3">
                  <c:v>Einkaufsmöglichekiten</c:v>
                </c:pt>
                <c:pt idx="4">
                  <c:v>Freizeitmöglichkeiten</c:v>
                </c:pt>
                <c:pt idx="5">
                  <c:v>Bushaltestelle</c:v>
                </c:pt>
                <c:pt idx="6">
                  <c:v>Bahnhaltepunkt</c:v>
                </c:pt>
              </c:strCache>
            </c:strRef>
          </c:cat>
          <c:val>
            <c:numRef>
              <c:f>'Rasterbereiche (2)'!$AS$150:$AS$156</c:f>
              <c:numCache>
                <c:formatCode>0%</c:formatCode>
                <c:ptCount val="7"/>
                <c:pt idx="0">
                  <c:v>0.55555555555555558</c:v>
                </c:pt>
                <c:pt idx="1">
                  <c:v>1</c:v>
                </c:pt>
                <c:pt idx="2">
                  <c:v>0.83333333333333337</c:v>
                </c:pt>
                <c:pt idx="3">
                  <c:v>0.66666666666666663</c:v>
                </c:pt>
                <c:pt idx="4">
                  <c:v>1</c:v>
                </c:pt>
                <c:pt idx="5">
                  <c:v>0.875</c:v>
                </c:pt>
                <c:pt idx="6">
                  <c:v>0.625</c:v>
                </c:pt>
              </c:numCache>
            </c:numRef>
          </c:val>
          <c:smooth val="0"/>
          <c:extLst>
            <c:ext xmlns:c16="http://schemas.microsoft.com/office/drawing/2014/chart" uri="{C3380CC4-5D6E-409C-BE32-E72D297353CC}">
              <c16:uniqueId val="{00000002-8921-4998-8EAE-A999CD43404E}"/>
            </c:ext>
          </c:extLst>
        </c:ser>
        <c:ser>
          <c:idx val="3"/>
          <c:order val="3"/>
          <c:tx>
            <c:strRef>
              <c:f>'Rasterbereiche (2)'!$AT$149</c:f>
              <c:strCache>
                <c:ptCount val="1"/>
                <c:pt idx="0">
                  <c:v>4. AK</c:v>
                </c:pt>
              </c:strCache>
            </c:strRef>
          </c:tx>
          <c:spPr>
            <a:ln w="28575" cap="rnd">
              <a:solidFill>
                <a:schemeClr val="bg2">
                  <a:lumMod val="75000"/>
                </a:schemeClr>
              </a:solidFill>
              <a:round/>
            </a:ln>
            <a:effectLst/>
          </c:spPr>
          <c:marker>
            <c:symbol val="circle"/>
            <c:size val="5"/>
            <c:spPr>
              <a:solidFill>
                <a:schemeClr val="bg2">
                  <a:lumMod val="75000"/>
                </a:schemeClr>
              </a:solidFill>
              <a:ln w="9525">
                <a:solidFill>
                  <a:schemeClr val="bg2">
                    <a:lumMod val="75000"/>
                  </a:schemeClr>
                </a:solidFill>
              </a:ln>
              <a:effectLst/>
            </c:spPr>
          </c:marker>
          <c:cat>
            <c:strRef>
              <c:f>'Rasterbereiche (2)'!$AP$150:$AP$156</c:f>
              <c:strCache>
                <c:ptCount val="7"/>
                <c:pt idx="0">
                  <c:v>Grundschule</c:v>
                </c:pt>
                <c:pt idx="1">
                  <c:v>weiterführende Schule</c:v>
                </c:pt>
                <c:pt idx="2">
                  <c:v>Gesundheitsversorgung</c:v>
                </c:pt>
                <c:pt idx="3">
                  <c:v>Einkaufsmöglichekiten</c:v>
                </c:pt>
                <c:pt idx="4">
                  <c:v>Freizeitmöglichkeiten</c:v>
                </c:pt>
                <c:pt idx="5">
                  <c:v>Bushaltestelle</c:v>
                </c:pt>
                <c:pt idx="6">
                  <c:v>Bahnhaltepunkt</c:v>
                </c:pt>
              </c:strCache>
            </c:strRef>
          </c:cat>
          <c:val>
            <c:numRef>
              <c:f>'Rasterbereiche (2)'!$AT$150:$AT$156</c:f>
              <c:numCache>
                <c:formatCode>0%</c:formatCode>
                <c:ptCount val="7"/>
                <c:pt idx="0">
                  <c:v>0.53333333333333333</c:v>
                </c:pt>
                <c:pt idx="1">
                  <c:v>0.625</c:v>
                </c:pt>
                <c:pt idx="2">
                  <c:v>0.7142857142857143</c:v>
                </c:pt>
                <c:pt idx="3">
                  <c:v>0.77777777777777779</c:v>
                </c:pt>
                <c:pt idx="4">
                  <c:v>1</c:v>
                </c:pt>
                <c:pt idx="5">
                  <c:v>0.5</c:v>
                </c:pt>
                <c:pt idx="6">
                  <c:v>0.46666666666666667</c:v>
                </c:pt>
              </c:numCache>
            </c:numRef>
          </c:val>
          <c:smooth val="0"/>
          <c:extLst>
            <c:ext xmlns:c16="http://schemas.microsoft.com/office/drawing/2014/chart" uri="{C3380CC4-5D6E-409C-BE32-E72D297353CC}">
              <c16:uniqueId val="{00000003-8921-4998-8EAE-A999CD43404E}"/>
            </c:ext>
          </c:extLst>
        </c:ser>
        <c:ser>
          <c:idx val="4"/>
          <c:order val="4"/>
          <c:tx>
            <c:strRef>
              <c:f>'Rasterbereiche (2)'!$AU$149</c:f>
              <c:strCache>
                <c:ptCount val="1"/>
                <c:pt idx="0">
                  <c:v>5. AK</c:v>
                </c:pt>
              </c:strCache>
            </c:strRef>
          </c:tx>
          <c:spPr>
            <a:ln w="28575" cap="rnd">
              <a:solidFill>
                <a:schemeClr val="tx2">
                  <a:lumMod val="25000"/>
                  <a:lumOff val="75000"/>
                </a:schemeClr>
              </a:solidFill>
              <a:round/>
            </a:ln>
            <a:effectLst/>
          </c:spPr>
          <c:marker>
            <c:symbol val="circle"/>
            <c:size val="5"/>
            <c:spPr>
              <a:solidFill>
                <a:schemeClr val="tx2">
                  <a:lumMod val="25000"/>
                  <a:lumOff val="75000"/>
                </a:schemeClr>
              </a:solidFill>
              <a:ln w="9525">
                <a:solidFill>
                  <a:schemeClr val="tx2">
                    <a:lumMod val="25000"/>
                    <a:lumOff val="75000"/>
                  </a:schemeClr>
                </a:solidFill>
              </a:ln>
              <a:effectLst/>
            </c:spPr>
          </c:marker>
          <c:cat>
            <c:strRef>
              <c:f>'Rasterbereiche (2)'!$AP$150:$AP$156</c:f>
              <c:strCache>
                <c:ptCount val="7"/>
                <c:pt idx="0">
                  <c:v>Grundschule</c:v>
                </c:pt>
                <c:pt idx="1">
                  <c:v>weiterführende Schule</c:v>
                </c:pt>
                <c:pt idx="2">
                  <c:v>Gesundheitsversorgung</c:v>
                </c:pt>
                <c:pt idx="3">
                  <c:v>Einkaufsmöglichekiten</c:v>
                </c:pt>
                <c:pt idx="4">
                  <c:v>Freizeitmöglichkeiten</c:v>
                </c:pt>
                <c:pt idx="5">
                  <c:v>Bushaltestelle</c:v>
                </c:pt>
                <c:pt idx="6">
                  <c:v>Bahnhaltepunkt</c:v>
                </c:pt>
              </c:strCache>
            </c:strRef>
          </c:cat>
          <c:val>
            <c:numRef>
              <c:f>'Rasterbereiche (2)'!$AU$150:$AU$156</c:f>
              <c:numCache>
                <c:formatCode>0%</c:formatCode>
                <c:ptCount val="7"/>
                <c:pt idx="0">
                  <c:v>0.375</c:v>
                </c:pt>
                <c:pt idx="1">
                  <c:v>1</c:v>
                </c:pt>
                <c:pt idx="2">
                  <c:v>0.7142857142857143</c:v>
                </c:pt>
                <c:pt idx="3">
                  <c:v>0.33333333333333331</c:v>
                </c:pt>
                <c:pt idx="4">
                  <c:v>1</c:v>
                </c:pt>
                <c:pt idx="5">
                  <c:v>0.66666666666666663</c:v>
                </c:pt>
                <c:pt idx="6">
                  <c:v>0.1</c:v>
                </c:pt>
              </c:numCache>
            </c:numRef>
          </c:val>
          <c:smooth val="0"/>
          <c:extLst>
            <c:ext xmlns:c16="http://schemas.microsoft.com/office/drawing/2014/chart" uri="{C3380CC4-5D6E-409C-BE32-E72D297353CC}">
              <c16:uniqueId val="{00000004-8921-4998-8EAE-A999CD43404E}"/>
            </c:ext>
          </c:extLst>
        </c:ser>
        <c:ser>
          <c:idx val="5"/>
          <c:order val="5"/>
          <c:tx>
            <c:strRef>
              <c:f>'Rasterbereiche (2)'!$AV$149</c:f>
              <c:strCache>
                <c:ptCount val="1"/>
                <c:pt idx="0">
                  <c:v>6. AK</c:v>
                </c:pt>
              </c:strCache>
            </c:strRef>
          </c:tx>
          <c:spPr>
            <a:ln w="28575" cap="rnd">
              <a:solidFill>
                <a:srgbClr val="0070C0"/>
              </a:solidFill>
              <a:round/>
            </a:ln>
            <a:effectLst/>
          </c:spPr>
          <c:marker>
            <c:symbol val="circle"/>
            <c:size val="5"/>
            <c:spPr>
              <a:solidFill>
                <a:srgbClr val="0070C0"/>
              </a:solidFill>
              <a:ln w="9525">
                <a:solidFill>
                  <a:srgbClr val="0070C0"/>
                </a:solidFill>
              </a:ln>
              <a:effectLst/>
            </c:spPr>
          </c:marker>
          <c:cat>
            <c:strRef>
              <c:f>'Rasterbereiche (2)'!$AP$150:$AP$156</c:f>
              <c:strCache>
                <c:ptCount val="7"/>
                <c:pt idx="0">
                  <c:v>Grundschule</c:v>
                </c:pt>
                <c:pt idx="1">
                  <c:v>weiterführende Schule</c:v>
                </c:pt>
                <c:pt idx="2">
                  <c:v>Gesundheitsversorgung</c:v>
                </c:pt>
                <c:pt idx="3">
                  <c:v>Einkaufsmöglichekiten</c:v>
                </c:pt>
                <c:pt idx="4">
                  <c:v>Freizeitmöglichkeiten</c:v>
                </c:pt>
                <c:pt idx="5">
                  <c:v>Bushaltestelle</c:v>
                </c:pt>
                <c:pt idx="6">
                  <c:v>Bahnhaltepunkt</c:v>
                </c:pt>
              </c:strCache>
            </c:strRef>
          </c:cat>
          <c:val>
            <c:numRef>
              <c:f>'Rasterbereiche (2)'!$AV$150:$AV$156</c:f>
              <c:numCache>
                <c:formatCode>0%</c:formatCode>
                <c:ptCount val="7"/>
                <c:pt idx="0">
                  <c:v>0.75</c:v>
                </c:pt>
                <c:pt idx="1">
                  <c:v>0.5</c:v>
                </c:pt>
                <c:pt idx="2">
                  <c:v>0.33333333333333331</c:v>
                </c:pt>
                <c:pt idx="3">
                  <c:v>0.5</c:v>
                </c:pt>
                <c:pt idx="4">
                  <c:v>0.66666666666666663</c:v>
                </c:pt>
                <c:pt idx="5">
                  <c:v>0.5</c:v>
                </c:pt>
                <c:pt idx="6">
                  <c:v>0.5</c:v>
                </c:pt>
              </c:numCache>
            </c:numRef>
          </c:val>
          <c:smooth val="0"/>
          <c:extLst>
            <c:ext xmlns:c16="http://schemas.microsoft.com/office/drawing/2014/chart" uri="{C3380CC4-5D6E-409C-BE32-E72D297353CC}">
              <c16:uniqueId val="{00000005-8921-4998-8EAE-A999CD43404E}"/>
            </c:ext>
          </c:extLst>
        </c:ser>
        <c:dLbls>
          <c:showLegendKey val="0"/>
          <c:showVal val="0"/>
          <c:showCatName val="0"/>
          <c:showSerName val="0"/>
          <c:showPercent val="0"/>
          <c:showBubbleSize val="0"/>
        </c:dLbls>
        <c:marker val="1"/>
        <c:smooth val="0"/>
        <c:axId val="868119535"/>
        <c:axId val="868109935"/>
      </c:lineChart>
      <c:catAx>
        <c:axId val="86811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68109935"/>
        <c:crosses val="autoZero"/>
        <c:auto val="1"/>
        <c:lblAlgn val="ctr"/>
        <c:lblOffset val="100"/>
        <c:noMultiLvlLbl val="0"/>
      </c:catAx>
      <c:valAx>
        <c:axId val="86810993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68119535"/>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42450</xdr:colOff>
      <xdr:row>103</xdr:row>
      <xdr:rowOff>16277</xdr:rowOff>
    </xdr:from>
    <xdr:to>
      <xdr:col>5</xdr:col>
      <xdr:colOff>849131</xdr:colOff>
      <xdr:row>119</xdr:row>
      <xdr:rowOff>98972</xdr:rowOff>
    </xdr:to>
    <xdr:graphicFrame macro="">
      <xdr:nvGraphicFramePr>
        <xdr:cNvPr id="5" name="Diagramm 4">
          <a:extLst>
            <a:ext uri="{FF2B5EF4-FFF2-40B4-BE49-F238E27FC236}">
              <a16:creationId xmlns:a16="http://schemas.microsoft.com/office/drawing/2014/main" id="{DF36F757-9A0F-0FC8-1549-112F7748E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408446</xdr:colOff>
      <xdr:row>101</xdr:row>
      <xdr:rowOff>93617</xdr:rowOff>
    </xdr:from>
    <xdr:to>
      <xdr:col>23</xdr:col>
      <xdr:colOff>1329995</xdr:colOff>
      <xdr:row>121</xdr:row>
      <xdr:rowOff>115215</xdr:rowOff>
    </xdr:to>
    <xdr:graphicFrame macro="">
      <xdr:nvGraphicFramePr>
        <xdr:cNvPr id="2" name="Diagramm 1">
          <a:extLst>
            <a:ext uri="{FF2B5EF4-FFF2-40B4-BE49-F238E27FC236}">
              <a16:creationId xmlns:a16="http://schemas.microsoft.com/office/drawing/2014/main" id="{398DE266-C140-8580-D198-00672DE785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884464</xdr:colOff>
      <xdr:row>154</xdr:row>
      <xdr:rowOff>116476</xdr:rowOff>
    </xdr:from>
    <xdr:to>
      <xdr:col>14</xdr:col>
      <xdr:colOff>1918607</xdr:colOff>
      <xdr:row>177</xdr:row>
      <xdr:rowOff>54428</xdr:rowOff>
    </xdr:to>
    <xdr:graphicFrame macro="">
      <xdr:nvGraphicFramePr>
        <xdr:cNvPr id="3" name="Diagramm 2">
          <a:extLst>
            <a:ext uri="{FF2B5EF4-FFF2-40B4-BE49-F238E27FC236}">
              <a16:creationId xmlns:a16="http://schemas.microsoft.com/office/drawing/2014/main" id="{A84E647B-74F5-4910-BD48-F8D910F01B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51</xdr:col>
      <xdr:colOff>5716</xdr:colOff>
      <xdr:row>101</xdr:row>
      <xdr:rowOff>28704</xdr:rowOff>
    </xdr:from>
    <xdr:to>
      <xdr:col>57</xdr:col>
      <xdr:colOff>1575954</xdr:colOff>
      <xdr:row>134</xdr:row>
      <xdr:rowOff>138545</xdr:rowOff>
    </xdr:to>
    <xdr:graphicFrame macro="">
      <xdr:nvGraphicFramePr>
        <xdr:cNvPr id="3" name="Diagramm 2">
          <a:extLst>
            <a:ext uri="{FF2B5EF4-FFF2-40B4-BE49-F238E27FC236}">
              <a16:creationId xmlns:a16="http://schemas.microsoft.com/office/drawing/2014/main" id="{E851D3B5-8054-267A-8C75-A655C83F4E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27365</xdr:colOff>
      <xdr:row>101</xdr:row>
      <xdr:rowOff>30135</xdr:rowOff>
    </xdr:from>
    <xdr:to>
      <xdr:col>48</xdr:col>
      <xdr:colOff>467591</xdr:colOff>
      <xdr:row>125</xdr:row>
      <xdr:rowOff>103910</xdr:rowOff>
    </xdr:to>
    <xdr:graphicFrame macro="">
      <xdr:nvGraphicFramePr>
        <xdr:cNvPr id="4" name="Diagramm 3">
          <a:extLst>
            <a:ext uri="{FF2B5EF4-FFF2-40B4-BE49-F238E27FC236}">
              <a16:creationId xmlns:a16="http://schemas.microsoft.com/office/drawing/2014/main" id="{63B8B121-F48E-43F3-B400-5A9DAC095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40</xdr:col>
      <xdr:colOff>27365</xdr:colOff>
      <xdr:row>106</xdr:row>
      <xdr:rowOff>30135</xdr:rowOff>
    </xdr:from>
    <xdr:to>
      <xdr:col>48</xdr:col>
      <xdr:colOff>467591</xdr:colOff>
      <xdr:row>130</xdr:row>
      <xdr:rowOff>103910</xdr:rowOff>
    </xdr:to>
    <xdr:graphicFrame macro="">
      <xdr:nvGraphicFramePr>
        <xdr:cNvPr id="3" name="Diagramm 2">
          <a:extLst>
            <a:ext uri="{FF2B5EF4-FFF2-40B4-BE49-F238E27FC236}">
              <a16:creationId xmlns:a16="http://schemas.microsoft.com/office/drawing/2014/main" id="{5829A4DC-0CAC-4C2A-AAFF-F084E84F7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1816800</xdr:colOff>
      <xdr:row>158</xdr:row>
      <xdr:rowOff>17144</xdr:rowOff>
    </xdr:from>
    <xdr:to>
      <xdr:col>47</xdr:col>
      <xdr:colOff>267764</xdr:colOff>
      <xdr:row>180</xdr:row>
      <xdr:rowOff>3090</xdr:rowOff>
    </xdr:to>
    <xdr:graphicFrame macro="">
      <xdr:nvGraphicFramePr>
        <xdr:cNvPr id="6" name="Diagramm 5">
          <a:extLst>
            <a:ext uri="{FF2B5EF4-FFF2-40B4-BE49-F238E27FC236}">
              <a16:creationId xmlns:a16="http://schemas.microsoft.com/office/drawing/2014/main" id="{659FA0DE-A5F5-3C93-8B57-5CA4C1A16B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49</xdr:col>
      <xdr:colOff>84043</xdr:colOff>
      <xdr:row>159</xdr:row>
      <xdr:rowOff>146796</xdr:rowOff>
    </xdr:from>
    <xdr:to>
      <xdr:col>53</xdr:col>
      <xdr:colOff>635036</xdr:colOff>
      <xdr:row>175</xdr:row>
      <xdr:rowOff>88526</xdr:rowOff>
    </xdr:to>
    <xdr:graphicFrame macro="">
      <xdr:nvGraphicFramePr>
        <xdr:cNvPr id="4" name="Diagramm 3">
          <a:extLst>
            <a:ext uri="{FF2B5EF4-FFF2-40B4-BE49-F238E27FC236}">
              <a16:creationId xmlns:a16="http://schemas.microsoft.com/office/drawing/2014/main" id="{388BDBE9-576C-FF44-F75F-F33ED8A8CE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E:\Bachelorarbeit\4_Ergebnisse\Ergebnisse%20Umfrage\Daten_Umfrage__Zahlen.xlsx" TargetMode="External"/><Relationship Id="rId1" Type="http://schemas.openxmlformats.org/officeDocument/2006/relationships/externalLinkPath" Target="Daten_Umfrage__Zahle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Zahlen"/>
    </sheetNames>
    <sheetDataSet>
      <sheetData sheetId="0">
        <row r="49">
          <cell r="AD49">
            <v>4.3499999999999996</v>
          </cell>
          <cell r="AU49">
            <v>3.3529411764705883</v>
          </cell>
          <cell r="BH49">
            <v>3.75</v>
          </cell>
          <cell r="BW49">
            <v>3.2903225806451615</v>
          </cell>
          <cell r="CM49">
            <v>4.2058823529411766</v>
          </cell>
          <cell r="DC49">
            <v>3.9090909090909092</v>
          </cell>
          <cell r="DS49">
            <v>4.5151515151515156</v>
          </cell>
          <cell r="EF49">
            <v>4.2121212121212119</v>
          </cell>
        </row>
        <row r="73">
          <cell r="AD73">
            <v>3.6666666666666665</v>
          </cell>
          <cell r="AU73">
            <v>4</v>
          </cell>
          <cell r="BH73">
            <v>3.8571428571428572</v>
          </cell>
          <cell r="BW73">
            <v>4.3888888888888893</v>
          </cell>
          <cell r="CM73">
            <v>4.5555555555555554</v>
          </cell>
          <cell r="DC73">
            <v>4.1333333333333337</v>
          </cell>
          <cell r="DS73">
            <v>5</v>
          </cell>
          <cell r="EF73">
            <v>4.4444444444444446</v>
          </cell>
        </row>
        <row r="82">
          <cell r="AU82">
            <v>3.5</v>
          </cell>
        </row>
        <row r="83">
          <cell r="AU83">
            <v>3.9347826086956523</v>
          </cell>
        </row>
        <row r="84">
          <cell r="AU84">
            <v>4.4523809523809526</v>
          </cell>
        </row>
        <row r="85">
          <cell r="AU85">
            <v>4.145833333333333</v>
          </cell>
        </row>
        <row r="86">
          <cell r="AU86">
            <v>4.1372549019607847</v>
          </cell>
        </row>
        <row r="87">
          <cell r="AU87">
            <v>4.0625</v>
          </cell>
        </row>
        <row r="89">
          <cell r="AU89">
            <v>3.9583333333333335</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H115"/>
  <sheetViews>
    <sheetView zoomScale="70" zoomScaleNormal="70" workbookViewId="0">
      <pane ySplit="2" topLeftCell="A63" activePane="bottomLeft" state="frozen"/>
      <selection pane="bottomLeft" activeCell="H115" sqref="H115"/>
    </sheetView>
  </sheetViews>
  <sheetFormatPr baseColWidth="10" defaultRowHeight="13.2" x14ac:dyDescent="0.25"/>
  <cols>
    <col min="1" max="1" width="8" customWidth="1"/>
    <col min="2" max="2" width="16.6640625" bestFit="1" customWidth="1"/>
    <col min="3" max="3" width="10.109375" bestFit="1" customWidth="1"/>
    <col min="4" max="4" width="13.5546875" customWidth="1"/>
    <col min="5" max="5" width="14.6640625" bestFit="1" customWidth="1"/>
    <col min="6" max="6" width="15.109375" bestFit="1" customWidth="1"/>
    <col min="7" max="7" width="21.6640625" bestFit="1" customWidth="1"/>
    <col min="8" max="8" width="15.21875" customWidth="1"/>
    <col min="9" max="9" width="20.6640625" bestFit="1" customWidth="1"/>
    <col min="10" max="10" width="12.6640625" bestFit="1" customWidth="1"/>
    <col min="11" max="11" width="12.109375" bestFit="1" customWidth="1"/>
    <col min="12" max="12" width="13" bestFit="1" customWidth="1"/>
    <col min="13" max="13" width="23.44140625" bestFit="1" customWidth="1"/>
    <col min="14" max="14" width="40.21875" bestFit="1" customWidth="1"/>
    <col min="15" max="16" width="30.44140625" bestFit="1" customWidth="1"/>
    <col min="17" max="17" width="31.5546875" bestFit="1" customWidth="1"/>
    <col min="18" max="18" width="13.77734375" bestFit="1" customWidth="1"/>
    <col min="19" max="19" width="14.77734375" bestFit="1" customWidth="1"/>
    <col min="20" max="20" width="13.21875" bestFit="1" customWidth="1"/>
    <col min="21" max="21" width="20.21875" bestFit="1" customWidth="1"/>
    <col min="22" max="22" width="37.88671875" bestFit="1" customWidth="1"/>
    <col min="23" max="23" width="34.88671875" bestFit="1" customWidth="1"/>
    <col min="24" max="24" width="32" customWidth="1"/>
    <col min="25" max="27" width="8" customWidth="1"/>
    <col min="28" max="29" width="32" customWidth="1"/>
    <col min="30" max="32" width="8" customWidth="1"/>
    <col min="33" max="34" width="32" customWidth="1"/>
    <col min="35" max="35" width="8" customWidth="1"/>
    <col min="36" max="37" width="32" customWidth="1"/>
    <col min="38" max="39" width="8" customWidth="1"/>
    <col min="40" max="41" width="32" customWidth="1"/>
    <col min="42" max="44" width="8" customWidth="1"/>
    <col min="45" max="46" width="32" customWidth="1"/>
    <col min="47" max="49" width="8" customWidth="1"/>
    <col min="50" max="51" width="32" customWidth="1"/>
    <col min="52" max="52" width="8" customWidth="1"/>
    <col min="53" max="53" width="32" customWidth="1"/>
    <col min="54" max="57" width="8" customWidth="1"/>
    <col min="58" max="59" width="32" customWidth="1"/>
    <col min="60" max="62" width="8" customWidth="1"/>
    <col min="63" max="64" width="32" customWidth="1"/>
    <col min="65" max="65" width="8" customWidth="1"/>
    <col min="66" max="66" width="32" customWidth="1"/>
    <col min="67" max="68" width="8" customWidth="1"/>
    <col min="69" max="69" width="32" customWidth="1"/>
    <col min="70" max="72" width="8" customWidth="1"/>
    <col min="73" max="74" width="32" customWidth="1"/>
    <col min="75" max="77" width="8" customWidth="1"/>
    <col min="78" max="79" width="32" customWidth="1"/>
    <col min="80" max="80" width="8" customWidth="1"/>
    <col min="81" max="81" width="32" customWidth="1"/>
    <col min="82" max="83" width="8" customWidth="1"/>
    <col min="84" max="85" width="32" customWidth="1"/>
    <col min="86" max="88" width="8" customWidth="1"/>
    <col min="89" max="90" width="32" customWidth="1"/>
    <col min="91" max="93" width="8" customWidth="1"/>
    <col min="94" max="95" width="32" customWidth="1"/>
    <col min="96" max="96" width="8" customWidth="1"/>
    <col min="97" max="97" width="32" customWidth="1"/>
    <col min="98" max="99" width="8" customWidth="1"/>
    <col min="100" max="101" width="32" customWidth="1"/>
    <col min="102" max="104" width="8" customWidth="1"/>
    <col min="105" max="106" width="32" customWidth="1"/>
    <col min="107" max="109" width="8" customWidth="1"/>
    <col min="110" max="111" width="32" customWidth="1"/>
    <col min="112" max="112" width="8" customWidth="1"/>
    <col min="113" max="113" width="32" customWidth="1"/>
    <col min="114" max="115" width="8" customWidth="1"/>
    <col min="116" max="117" width="32" customWidth="1"/>
    <col min="118" max="120" width="8" customWidth="1"/>
    <col min="121" max="122" width="32" customWidth="1"/>
    <col min="123" max="125" width="8" customWidth="1"/>
    <col min="126" max="128" width="32" customWidth="1"/>
    <col min="129" max="129" width="8" customWidth="1"/>
    <col min="130" max="130" width="32" customWidth="1"/>
    <col min="131" max="133" width="8" customWidth="1"/>
    <col min="134" max="135" width="32" customWidth="1"/>
    <col min="136" max="138" width="8" customWidth="1"/>
    <col min="139" max="141" width="32" customWidth="1"/>
    <col min="142" max="142" width="8" customWidth="1"/>
    <col min="143" max="143" width="32" customWidth="1"/>
    <col min="144" max="144" width="8" customWidth="1"/>
    <col min="145" max="145" width="32" customWidth="1"/>
    <col min="146" max="148" width="8" customWidth="1"/>
    <col min="149" max="156" width="32" customWidth="1"/>
    <col min="157" max="157" width="8" customWidth="1"/>
    <col min="158" max="160" width="32" customWidth="1"/>
    <col min="161" max="162" width="8" customWidth="1"/>
    <col min="163" max="164" width="32" customWidth="1"/>
    <col min="165" max="180" width="5" customWidth="1"/>
    <col min="181" max="182" width="20" customWidth="1"/>
    <col min="183" max="183" width="16" customWidth="1"/>
    <col min="184" max="190" width="8" customWidth="1"/>
    <col min="191" max="1019" width="11.44140625"/>
  </cols>
  <sheetData>
    <row r="1" spans="1:19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row>
    <row r="2" spans="1:190" x14ac:dyDescent="0.25">
      <c r="A2" s="1" t="s">
        <v>190</v>
      </c>
      <c r="B2" s="2" t="s">
        <v>191</v>
      </c>
      <c r="C2" s="2" t="s">
        <v>192</v>
      </c>
      <c r="D2" s="2" t="s">
        <v>193</v>
      </c>
      <c r="E2" s="2" t="s">
        <v>194</v>
      </c>
      <c r="F2" s="2" t="s">
        <v>195</v>
      </c>
      <c r="G2" s="2" t="s">
        <v>196</v>
      </c>
      <c r="H2" s="2" t="s">
        <v>197</v>
      </c>
      <c r="I2" s="2" t="s">
        <v>198</v>
      </c>
      <c r="J2" s="2" t="s">
        <v>199</v>
      </c>
      <c r="K2" s="2" t="s">
        <v>200</v>
      </c>
      <c r="L2" s="2" t="s">
        <v>201</v>
      </c>
      <c r="M2" s="2" t="s">
        <v>202</v>
      </c>
      <c r="N2" s="1" t="s">
        <v>203</v>
      </c>
      <c r="O2" s="2" t="s">
        <v>204</v>
      </c>
      <c r="P2" s="2" t="s">
        <v>205</v>
      </c>
      <c r="Q2" s="2" t="s">
        <v>206</v>
      </c>
      <c r="R2" s="2" t="s">
        <v>207</v>
      </c>
      <c r="S2" s="2" t="s">
        <v>208</v>
      </c>
      <c r="T2" s="2" t="s">
        <v>209</v>
      </c>
      <c r="U2" s="2" t="s">
        <v>210</v>
      </c>
      <c r="V2" s="1" t="s">
        <v>211</v>
      </c>
      <c r="W2" s="2" t="s">
        <v>212</v>
      </c>
      <c r="X2" s="2" t="s">
        <v>213</v>
      </c>
      <c r="Y2" s="2" t="s">
        <v>214</v>
      </c>
      <c r="Z2" s="2" t="s">
        <v>215</v>
      </c>
      <c r="AA2" s="1" t="s">
        <v>203</v>
      </c>
      <c r="AB2" s="2" t="s">
        <v>204</v>
      </c>
      <c r="AC2" s="2" t="s">
        <v>205</v>
      </c>
      <c r="AD2" s="2" t="s">
        <v>216</v>
      </c>
      <c r="AE2" s="2" t="s">
        <v>217</v>
      </c>
      <c r="AF2" s="1" t="s">
        <v>203</v>
      </c>
      <c r="AG2" s="2" t="s">
        <v>204</v>
      </c>
      <c r="AH2" s="2" t="s">
        <v>205</v>
      </c>
      <c r="AI2" s="1" t="s">
        <v>218</v>
      </c>
      <c r="AJ2" s="2" t="s">
        <v>219</v>
      </c>
      <c r="AK2" s="2" t="s">
        <v>220</v>
      </c>
      <c r="AL2" s="2" t="s">
        <v>221</v>
      </c>
      <c r="AM2" s="1" t="s">
        <v>211</v>
      </c>
      <c r="AN2" s="2" t="s">
        <v>212</v>
      </c>
      <c r="AO2" s="2" t="s">
        <v>213</v>
      </c>
      <c r="AP2" s="2" t="s">
        <v>214</v>
      </c>
      <c r="AQ2" s="2" t="s">
        <v>215</v>
      </c>
      <c r="AR2" s="1" t="s">
        <v>203</v>
      </c>
      <c r="AS2" s="2" t="s">
        <v>204</v>
      </c>
      <c r="AT2" s="2" t="s">
        <v>205</v>
      </c>
      <c r="AU2" s="2" t="s">
        <v>216</v>
      </c>
      <c r="AV2" s="2" t="s">
        <v>217</v>
      </c>
      <c r="AW2" s="1" t="s">
        <v>203</v>
      </c>
      <c r="AX2" s="2" t="s">
        <v>204</v>
      </c>
      <c r="AY2" s="2" t="s">
        <v>205</v>
      </c>
      <c r="AZ2" s="1" t="s">
        <v>218</v>
      </c>
      <c r="BA2" s="2" t="s">
        <v>219</v>
      </c>
      <c r="BB2" s="2" t="s">
        <v>221</v>
      </c>
      <c r="BC2" s="2" t="s">
        <v>214</v>
      </c>
      <c r="BD2" s="2" t="s">
        <v>215</v>
      </c>
      <c r="BE2" s="1" t="s">
        <v>203</v>
      </c>
      <c r="BF2" s="2" t="s">
        <v>204</v>
      </c>
      <c r="BG2" s="2" t="s">
        <v>205</v>
      </c>
      <c r="BH2" s="2" t="s">
        <v>216</v>
      </c>
      <c r="BI2" s="2" t="s">
        <v>217</v>
      </c>
      <c r="BJ2" s="1" t="s">
        <v>203</v>
      </c>
      <c r="BK2" s="2" t="s">
        <v>204</v>
      </c>
      <c r="BL2" s="2" t="s">
        <v>205</v>
      </c>
      <c r="BM2" s="1" t="s">
        <v>218</v>
      </c>
      <c r="BN2" s="2" t="s">
        <v>219</v>
      </c>
      <c r="BO2" s="2" t="s">
        <v>221</v>
      </c>
      <c r="BP2" s="1" t="s">
        <v>222</v>
      </c>
      <c r="BQ2" s="2" t="s">
        <v>223</v>
      </c>
      <c r="BR2" s="2" t="s">
        <v>214</v>
      </c>
      <c r="BS2" s="2" t="s">
        <v>215</v>
      </c>
      <c r="BT2" s="1" t="s">
        <v>203</v>
      </c>
      <c r="BU2" s="2" t="s">
        <v>204</v>
      </c>
      <c r="BV2" s="2" t="s">
        <v>205</v>
      </c>
      <c r="BW2" s="2" t="s">
        <v>216</v>
      </c>
      <c r="BX2" s="2" t="s">
        <v>217</v>
      </c>
      <c r="BY2" s="1" t="s">
        <v>203</v>
      </c>
      <c r="BZ2" s="2" t="s">
        <v>204</v>
      </c>
      <c r="CA2" s="2" t="s">
        <v>205</v>
      </c>
      <c r="CB2" s="1" t="s">
        <v>218</v>
      </c>
      <c r="CC2" s="2" t="s">
        <v>219</v>
      </c>
      <c r="CD2" s="2" t="s">
        <v>221</v>
      </c>
      <c r="CE2" s="1" t="s">
        <v>224</v>
      </c>
      <c r="CF2" s="2" t="s">
        <v>225</v>
      </c>
      <c r="CG2" s="2" t="s">
        <v>226</v>
      </c>
      <c r="CH2" s="2" t="s">
        <v>214</v>
      </c>
      <c r="CI2" s="2" t="s">
        <v>215</v>
      </c>
      <c r="CJ2" s="1" t="s">
        <v>203</v>
      </c>
      <c r="CK2" s="2" t="s">
        <v>204</v>
      </c>
      <c r="CL2" s="2" t="s">
        <v>205</v>
      </c>
      <c r="CM2" s="2" t="s">
        <v>216</v>
      </c>
      <c r="CN2" s="2" t="s">
        <v>217</v>
      </c>
      <c r="CO2" s="1" t="s">
        <v>203</v>
      </c>
      <c r="CP2" s="2" t="s">
        <v>204</v>
      </c>
      <c r="CQ2" s="2" t="s">
        <v>205</v>
      </c>
      <c r="CR2" s="1" t="s">
        <v>218</v>
      </c>
      <c r="CS2" s="2" t="s">
        <v>219</v>
      </c>
      <c r="CT2" s="2" t="s">
        <v>221</v>
      </c>
      <c r="CU2" s="1" t="s">
        <v>227</v>
      </c>
      <c r="CV2" s="2" t="s">
        <v>228</v>
      </c>
      <c r="CW2" s="2" t="s">
        <v>229</v>
      </c>
      <c r="CX2" s="2" t="s">
        <v>214</v>
      </c>
      <c r="CY2" s="2" t="s">
        <v>215</v>
      </c>
      <c r="CZ2" s="1" t="s">
        <v>203</v>
      </c>
      <c r="DA2" s="2" t="s">
        <v>204</v>
      </c>
      <c r="DB2" s="2" t="s">
        <v>205</v>
      </c>
      <c r="DC2" s="2" t="s">
        <v>216</v>
      </c>
      <c r="DD2" s="2" t="s">
        <v>217</v>
      </c>
      <c r="DE2" s="1" t="s">
        <v>203</v>
      </c>
      <c r="DF2" s="2" t="s">
        <v>204</v>
      </c>
      <c r="DG2" s="2" t="s">
        <v>205</v>
      </c>
      <c r="DH2" s="1" t="s">
        <v>218</v>
      </c>
      <c r="DI2" s="2" t="s">
        <v>219</v>
      </c>
      <c r="DJ2" s="2" t="s">
        <v>221</v>
      </c>
      <c r="DK2" s="1" t="s">
        <v>230</v>
      </c>
      <c r="DL2" s="2" t="s">
        <v>231</v>
      </c>
      <c r="DM2" s="2" t="s">
        <v>232</v>
      </c>
      <c r="DN2" s="2" t="s">
        <v>214</v>
      </c>
      <c r="DO2" s="2" t="s">
        <v>215</v>
      </c>
      <c r="DP2" s="1" t="s">
        <v>203</v>
      </c>
      <c r="DQ2" s="2" t="s">
        <v>204</v>
      </c>
      <c r="DR2" s="2" t="s">
        <v>205</v>
      </c>
      <c r="DS2" s="2" t="s">
        <v>216</v>
      </c>
      <c r="DT2" s="2" t="s">
        <v>217</v>
      </c>
      <c r="DU2" s="1" t="s">
        <v>203</v>
      </c>
      <c r="DV2" s="2" t="s">
        <v>204</v>
      </c>
      <c r="DW2" s="2" t="s">
        <v>205</v>
      </c>
      <c r="DX2" s="2" t="s">
        <v>233</v>
      </c>
      <c r="DY2" s="1" t="s">
        <v>234</v>
      </c>
      <c r="DZ2" s="2" t="s">
        <v>235</v>
      </c>
      <c r="EA2" s="2" t="s">
        <v>214</v>
      </c>
      <c r="EB2" s="2" t="s">
        <v>215</v>
      </c>
      <c r="EC2" s="1" t="s">
        <v>203</v>
      </c>
      <c r="ED2" s="2" t="s">
        <v>204</v>
      </c>
      <c r="EE2" s="2" t="s">
        <v>205</v>
      </c>
      <c r="EF2" s="2" t="s">
        <v>216</v>
      </c>
      <c r="EG2" s="2" t="s">
        <v>217</v>
      </c>
      <c r="EH2" s="1" t="s">
        <v>203</v>
      </c>
      <c r="EI2" s="2" t="s">
        <v>204</v>
      </c>
      <c r="EJ2" s="2" t="s">
        <v>205</v>
      </c>
      <c r="EK2" s="2" t="s">
        <v>233</v>
      </c>
      <c r="EL2" s="1" t="s">
        <v>218</v>
      </c>
      <c r="EM2" s="2" t="s">
        <v>219</v>
      </c>
      <c r="EN2" s="1" t="s">
        <v>218</v>
      </c>
      <c r="EO2" s="2" t="s">
        <v>219</v>
      </c>
      <c r="EP2" s="2" t="s">
        <v>221</v>
      </c>
      <c r="EQ2" s="2" t="s">
        <v>221</v>
      </c>
      <c r="ER2" s="1" t="s">
        <v>236</v>
      </c>
      <c r="ES2" s="2" t="s">
        <v>237</v>
      </c>
      <c r="ET2" s="2" t="s">
        <v>238</v>
      </c>
      <c r="EU2" s="2" t="s">
        <v>239</v>
      </c>
      <c r="EV2" s="2" t="s">
        <v>240</v>
      </c>
      <c r="EW2" s="2" t="s">
        <v>241</v>
      </c>
      <c r="EX2" s="2" t="s">
        <v>242</v>
      </c>
      <c r="EY2" s="2" t="s">
        <v>241</v>
      </c>
      <c r="EZ2" s="2" t="s">
        <v>242</v>
      </c>
      <c r="FA2" s="1" t="s">
        <v>243</v>
      </c>
      <c r="FB2" s="2" t="s">
        <v>244</v>
      </c>
      <c r="FC2" s="2" t="s">
        <v>245</v>
      </c>
      <c r="FD2" s="2" t="s">
        <v>246</v>
      </c>
      <c r="FE2" s="2" t="s">
        <v>247</v>
      </c>
      <c r="FF2" s="2" t="s">
        <v>248</v>
      </c>
      <c r="FG2" s="2" t="s">
        <v>249</v>
      </c>
      <c r="FH2" s="2" t="s">
        <v>250</v>
      </c>
      <c r="FI2" s="1" t="s">
        <v>251</v>
      </c>
      <c r="FJ2" s="1" t="s">
        <v>252</v>
      </c>
      <c r="FK2" s="1" t="s">
        <v>253</v>
      </c>
      <c r="FL2" s="1" t="s">
        <v>254</v>
      </c>
      <c r="FM2" s="1" t="s">
        <v>255</v>
      </c>
      <c r="FN2" s="1" t="s">
        <v>256</v>
      </c>
      <c r="FO2" s="1" t="s">
        <v>257</v>
      </c>
      <c r="FP2" s="1" t="s">
        <v>258</v>
      </c>
      <c r="FQ2" s="1" t="s">
        <v>259</v>
      </c>
      <c r="FR2" s="1" t="s">
        <v>260</v>
      </c>
      <c r="FS2" s="1" t="s">
        <v>261</v>
      </c>
      <c r="FT2" s="1" t="s">
        <v>262</v>
      </c>
      <c r="FU2" s="1" t="s">
        <v>263</v>
      </c>
      <c r="FV2" s="1" t="s">
        <v>264</v>
      </c>
      <c r="FW2" s="1" t="s">
        <v>265</v>
      </c>
      <c r="FX2" s="1" t="s">
        <v>266</v>
      </c>
      <c r="FY2" s="3" t="s">
        <v>267</v>
      </c>
      <c r="FZ2" s="3" t="s">
        <v>268</v>
      </c>
      <c r="GA2" s="2" t="s">
        <v>269</v>
      </c>
      <c r="GB2" s="2" t="s">
        <v>270</v>
      </c>
      <c r="GC2" s="2" t="s">
        <v>271</v>
      </c>
      <c r="GD2" s="1" t="s">
        <v>272</v>
      </c>
      <c r="GE2" s="1" t="s">
        <v>273</v>
      </c>
      <c r="GF2" s="1" t="s">
        <v>274</v>
      </c>
      <c r="GG2" s="1" t="s">
        <v>275</v>
      </c>
      <c r="GH2" s="4" t="s">
        <v>276</v>
      </c>
    </row>
    <row r="3" spans="1:190" x14ac:dyDescent="0.25">
      <c r="A3" s="1">
        <v>117</v>
      </c>
      <c r="B3" s="2" t="s">
        <v>278</v>
      </c>
      <c r="C3" s="2" t="s">
        <v>279</v>
      </c>
      <c r="D3" s="2" t="s">
        <v>280</v>
      </c>
      <c r="E3" s="2" t="s">
        <v>281</v>
      </c>
      <c r="F3" s="2" t="s">
        <v>281</v>
      </c>
      <c r="G3" s="2" t="s">
        <v>282</v>
      </c>
      <c r="H3" s="2" t="s">
        <v>281</v>
      </c>
      <c r="I3" s="2" t="s">
        <v>282</v>
      </c>
      <c r="J3" s="2" t="s">
        <v>282</v>
      </c>
      <c r="K3" s="2" t="s">
        <v>281</v>
      </c>
      <c r="L3" s="2" t="s">
        <v>282</v>
      </c>
      <c r="M3" s="2" t="s">
        <v>282</v>
      </c>
      <c r="N3" s="1">
        <v>0</v>
      </c>
      <c r="O3" s="2"/>
      <c r="P3" s="2"/>
      <c r="Q3" s="2" t="s">
        <v>283</v>
      </c>
      <c r="R3" s="2" t="s">
        <v>284</v>
      </c>
      <c r="S3" s="2"/>
      <c r="T3" s="2"/>
      <c r="U3" s="2"/>
      <c r="V3" s="1">
        <v>1</v>
      </c>
      <c r="W3" s="2" t="s">
        <v>285</v>
      </c>
      <c r="X3" s="2"/>
      <c r="Y3" s="2" t="s">
        <v>286</v>
      </c>
      <c r="Z3" s="2" t="s">
        <v>287</v>
      </c>
      <c r="AA3" s="1">
        <v>0</v>
      </c>
      <c r="AB3" s="2"/>
      <c r="AC3" s="2"/>
      <c r="AD3" s="2" t="s">
        <v>288</v>
      </c>
      <c r="AE3" s="2" t="s">
        <v>289</v>
      </c>
      <c r="AF3" s="1">
        <v>0</v>
      </c>
      <c r="AG3" s="2"/>
      <c r="AH3" s="2"/>
      <c r="AI3" s="1">
        <v>2</v>
      </c>
      <c r="AJ3" s="2" t="s">
        <v>290</v>
      </c>
      <c r="AK3" s="2" t="s">
        <v>291</v>
      </c>
      <c r="AL3" s="2" t="s">
        <v>292</v>
      </c>
      <c r="AM3" s="1">
        <v>1</v>
      </c>
      <c r="AN3" s="2" t="s">
        <v>293</v>
      </c>
      <c r="AO3" s="2"/>
      <c r="AP3" s="2" t="s">
        <v>294</v>
      </c>
      <c r="AQ3" s="2" t="s">
        <v>287</v>
      </c>
      <c r="AR3" s="1">
        <v>0</v>
      </c>
      <c r="AS3" s="2"/>
      <c r="AT3" s="2"/>
      <c r="AU3" s="2" t="s">
        <v>288</v>
      </c>
      <c r="AV3" s="2" t="s">
        <v>289</v>
      </c>
      <c r="AW3" s="1">
        <v>1</v>
      </c>
      <c r="AX3" s="2" t="s">
        <v>295</v>
      </c>
      <c r="AY3" s="2"/>
      <c r="AZ3" s="1">
        <v>0</v>
      </c>
      <c r="BA3" s="2"/>
      <c r="BB3" s="2" t="s">
        <v>296</v>
      </c>
      <c r="BC3" s="2" t="s">
        <v>294</v>
      </c>
      <c r="BD3" s="2" t="s">
        <v>297</v>
      </c>
      <c r="BE3" s="1">
        <v>0</v>
      </c>
      <c r="BF3" s="2"/>
      <c r="BG3" s="2"/>
      <c r="BH3" s="2" t="s">
        <v>298</v>
      </c>
      <c r="BI3" s="2" t="s">
        <v>289</v>
      </c>
      <c r="BJ3" s="1">
        <v>1</v>
      </c>
      <c r="BK3" s="2" t="s">
        <v>295</v>
      </c>
      <c r="BL3" s="2"/>
      <c r="BM3" s="1">
        <v>0</v>
      </c>
      <c r="BN3" s="2"/>
      <c r="BO3" s="2" t="s">
        <v>299</v>
      </c>
      <c r="BP3" s="1">
        <v>1</v>
      </c>
      <c r="BQ3" s="2" t="s">
        <v>300</v>
      </c>
      <c r="BR3" s="2" t="s">
        <v>301</v>
      </c>
      <c r="BS3" s="2" t="s">
        <v>302</v>
      </c>
      <c r="BT3" s="1">
        <v>0</v>
      </c>
      <c r="BU3" s="2"/>
      <c r="BV3" s="2"/>
      <c r="BW3" s="2" t="s">
        <v>298</v>
      </c>
      <c r="BX3" s="2" t="s">
        <v>289</v>
      </c>
      <c r="BY3" s="1">
        <v>0</v>
      </c>
      <c r="BZ3" s="2"/>
      <c r="CA3" s="2"/>
      <c r="CB3" s="1">
        <v>0</v>
      </c>
      <c r="CC3" s="2"/>
      <c r="CD3" s="2" t="s">
        <v>296</v>
      </c>
      <c r="CE3" s="1">
        <v>0</v>
      </c>
      <c r="CF3" s="2"/>
      <c r="CG3" s="2"/>
      <c r="CH3" s="2" t="s">
        <v>303</v>
      </c>
      <c r="CI3" s="2" t="s">
        <v>304</v>
      </c>
      <c r="CJ3" s="1">
        <v>0</v>
      </c>
      <c r="CK3" s="2"/>
      <c r="CL3" s="2"/>
      <c r="CM3" s="2" t="s">
        <v>305</v>
      </c>
      <c r="CN3" s="2" t="s">
        <v>304</v>
      </c>
      <c r="CO3" s="1">
        <v>0</v>
      </c>
      <c r="CP3" s="2"/>
      <c r="CQ3" s="2"/>
      <c r="CR3" s="1">
        <v>0</v>
      </c>
      <c r="CS3" s="2"/>
      <c r="CT3" s="2" t="s">
        <v>296</v>
      </c>
      <c r="CU3" s="1">
        <v>1</v>
      </c>
      <c r="CV3" s="2" t="s">
        <v>306</v>
      </c>
      <c r="CW3" s="2"/>
      <c r="CX3" s="2" t="s">
        <v>303</v>
      </c>
      <c r="CY3" s="2" t="s">
        <v>304</v>
      </c>
      <c r="CZ3" s="1">
        <v>0</v>
      </c>
      <c r="DA3" s="2"/>
      <c r="DB3" s="2"/>
      <c r="DC3" s="2" t="s">
        <v>298</v>
      </c>
      <c r="DD3" s="2" t="s">
        <v>304</v>
      </c>
      <c r="DE3" s="1">
        <v>0</v>
      </c>
      <c r="DF3" s="2"/>
      <c r="DG3" s="2"/>
      <c r="DH3" s="1">
        <v>0</v>
      </c>
      <c r="DI3" s="2"/>
      <c r="DJ3" s="2" t="s">
        <v>296</v>
      </c>
      <c r="DK3" s="1">
        <v>2</v>
      </c>
      <c r="DL3" s="2" t="s">
        <v>307</v>
      </c>
      <c r="DM3" s="2" t="s">
        <v>308</v>
      </c>
      <c r="DN3" s="2" t="s">
        <v>303</v>
      </c>
      <c r="DO3" s="2" t="s">
        <v>287</v>
      </c>
      <c r="DP3" s="1">
        <v>0</v>
      </c>
      <c r="DQ3" s="2"/>
      <c r="DR3" s="2"/>
      <c r="DS3" s="2"/>
      <c r="DT3" s="2"/>
      <c r="DU3" s="1">
        <v>0</v>
      </c>
      <c r="DV3" s="2"/>
      <c r="DW3" s="2"/>
      <c r="DX3" s="2"/>
      <c r="DY3" s="1">
        <v>1</v>
      </c>
      <c r="DZ3" s="2" t="s">
        <v>309</v>
      </c>
      <c r="EA3" s="2" t="s">
        <v>310</v>
      </c>
      <c r="EB3" s="2"/>
      <c r="EC3" s="1">
        <v>0</v>
      </c>
      <c r="ED3" s="2"/>
      <c r="EE3" s="2"/>
      <c r="EF3" s="2"/>
      <c r="EG3" s="2"/>
      <c r="EH3" s="1">
        <v>0</v>
      </c>
      <c r="EI3" s="2"/>
      <c r="EJ3" s="2"/>
      <c r="EK3" s="2"/>
      <c r="EL3" s="1">
        <v>0</v>
      </c>
      <c r="EM3" s="2"/>
      <c r="EN3" s="1">
        <v>0</v>
      </c>
      <c r="EO3" s="2"/>
      <c r="EP3" s="2"/>
      <c r="EQ3" s="2"/>
      <c r="ER3" s="1">
        <v>0</v>
      </c>
      <c r="ES3" s="2"/>
      <c r="ET3" s="2"/>
      <c r="EU3" s="2"/>
      <c r="EV3" s="2"/>
      <c r="EW3" s="2" t="s">
        <v>311</v>
      </c>
      <c r="EX3" s="2" t="s">
        <v>312</v>
      </c>
      <c r="EY3" s="2"/>
      <c r="EZ3" s="2"/>
      <c r="FA3" s="1">
        <v>3</v>
      </c>
      <c r="FB3" s="2" t="s">
        <v>313</v>
      </c>
      <c r="FC3" s="2" t="s">
        <v>314</v>
      </c>
      <c r="FD3" s="2" t="s">
        <v>315</v>
      </c>
      <c r="FE3" s="2" t="s">
        <v>316</v>
      </c>
      <c r="FF3" s="2" t="s">
        <v>317</v>
      </c>
      <c r="FG3" s="2"/>
      <c r="FH3" s="2" t="s">
        <v>318</v>
      </c>
      <c r="FI3" s="1">
        <v>-1</v>
      </c>
      <c r="FJ3" s="1">
        <v>-1</v>
      </c>
      <c r="FK3" s="1">
        <v>-1</v>
      </c>
      <c r="FL3" s="1">
        <v>-1</v>
      </c>
      <c r="FM3" s="1">
        <v>-1</v>
      </c>
      <c r="FN3" s="1">
        <v>-1</v>
      </c>
      <c r="FO3" s="1">
        <v>-1</v>
      </c>
      <c r="FP3" s="1">
        <v>-1</v>
      </c>
      <c r="FQ3" s="1">
        <v>-1</v>
      </c>
      <c r="FR3" s="1">
        <v>-1</v>
      </c>
      <c r="FS3" s="1">
        <v>-1</v>
      </c>
      <c r="FT3" s="1">
        <v>-1</v>
      </c>
      <c r="FU3" s="1">
        <v>-1</v>
      </c>
      <c r="FV3" s="1">
        <v>-1</v>
      </c>
      <c r="FW3" s="1">
        <v>-1</v>
      </c>
      <c r="FX3" s="1">
        <v>-15</v>
      </c>
      <c r="FY3" s="3"/>
      <c r="FZ3" s="3"/>
      <c r="GA3" s="2" t="s">
        <v>319</v>
      </c>
      <c r="GB3" s="2" t="s">
        <v>320</v>
      </c>
      <c r="GC3" s="2" t="s">
        <v>277</v>
      </c>
      <c r="GD3" s="1">
        <v>15</v>
      </c>
      <c r="GE3" s="1">
        <v>15</v>
      </c>
      <c r="GF3" s="1">
        <v>39</v>
      </c>
      <c r="GG3" s="1">
        <v>20</v>
      </c>
      <c r="GH3" s="4"/>
    </row>
    <row r="4" spans="1:190" x14ac:dyDescent="0.25">
      <c r="A4" s="1">
        <v>119</v>
      </c>
      <c r="B4" s="2" t="s">
        <v>321</v>
      </c>
      <c r="C4" s="2" t="s">
        <v>279</v>
      </c>
      <c r="D4" s="2" t="s">
        <v>280</v>
      </c>
      <c r="E4" s="2" t="s">
        <v>281</v>
      </c>
      <c r="F4" s="2" t="s">
        <v>281</v>
      </c>
      <c r="G4" s="2" t="s">
        <v>282</v>
      </c>
      <c r="H4" s="2" t="s">
        <v>282</v>
      </c>
      <c r="I4" s="2" t="s">
        <v>282</v>
      </c>
      <c r="J4" s="2" t="s">
        <v>282</v>
      </c>
      <c r="K4" s="2" t="s">
        <v>281</v>
      </c>
      <c r="L4" s="2" t="s">
        <v>281</v>
      </c>
      <c r="M4" s="2" t="s">
        <v>282</v>
      </c>
      <c r="N4" s="1">
        <v>0</v>
      </c>
      <c r="O4" s="2"/>
      <c r="P4" s="2"/>
      <c r="Q4" s="2" t="s">
        <v>283</v>
      </c>
      <c r="R4" s="11" t="s">
        <v>322</v>
      </c>
      <c r="S4" s="2"/>
      <c r="T4" s="2"/>
      <c r="U4" s="2"/>
      <c r="V4" s="1">
        <v>0</v>
      </c>
      <c r="W4" s="2"/>
      <c r="X4" s="2"/>
      <c r="Y4" s="2" t="s">
        <v>303</v>
      </c>
      <c r="Z4" s="2" t="s">
        <v>302</v>
      </c>
      <c r="AA4" s="1">
        <v>0</v>
      </c>
      <c r="AB4" s="2"/>
      <c r="AC4" s="2"/>
      <c r="AD4" s="2" t="s">
        <v>305</v>
      </c>
      <c r="AE4" s="2" t="s">
        <v>302</v>
      </c>
      <c r="AF4" s="1">
        <v>0</v>
      </c>
      <c r="AG4" s="2"/>
      <c r="AH4" s="2"/>
      <c r="AI4" s="1">
        <v>0</v>
      </c>
      <c r="AJ4" s="2"/>
      <c r="AK4" s="2"/>
      <c r="AL4" s="2" t="s">
        <v>299</v>
      </c>
      <c r="AM4" s="1">
        <v>1</v>
      </c>
      <c r="AN4" s="2" t="s">
        <v>323</v>
      </c>
      <c r="AO4" s="2"/>
      <c r="AP4" s="2" t="s">
        <v>301</v>
      </c>
      <c r="AQ4" s="2" t="s">
        <v>287</v>
      </c>
      <c r="AR4" s="1">
        <v>0</v>
      </c>
      <c r="AS4" s="2"/>
      <c r="AT4" s="2"/>
      <c r="AU4" s="2" t="s">
        <v>324</v>
      </c>
      <c r="AV4" s="2" t="s">
        <v>287</v>
      </c>
      <c r="AW4" s="1">
        <v>0</v>
      </c>
      <c r="AX4" s="2"/>
      <c r="AY4" s="2"/>
      <c r="AZ4" s="1">
        <v>1</v>
      </c>
      <c r="BA4" s="2" t="s">
        <v>325</v>
      </c>
      <c r="BB4" s="2" t="s">
        <v>299</v>
      </c>
      <c r="BC4" s="2"/>
      <c r="BD4" s="2"/>
      <c r="BE4" s="1">
        <v>0</v>
      </c>
      <c r="BF4" s="2"/>
      <c r="BG4" s="2"/>
      <c r="BH4" s="2"/>
      <c r="BI4" s="2"/>
      <c r="BJ4" s="1">
        <v>0</v>
      </c>
      <c r="BK4" s="2"/>
      <c r="BL4" s="2"/>
      <c r="BM4" s="1">
        <v>0</v>
      </c>
      <c r="BN4" s="2"/>
      <c r="BO4" s="2"/>
      <c r="BP4" s="1">
        <v>0</v>
      </c>
      <c r="BQ4" s="2"/>
      <c r="BR4" s="2"/>
      <c r="BS4" s="2"/>
      <c r="BT4" s="1">
        <v>0</v>
      </c>
      <c r="BU4" s="2"/>
      <c r="BV4" s="2"/>
      <c r="BW4" s="2"/>
      <c r="BX4" s="2"/>
      <c r="BY4" s="1">
        <v>0</v>
      </c>
      <c r="BZ4" s="2"/>
      <c r="CA4" s="2"/>
      <c r="CB4" s="1">
        <v>0</v>
      </c>
      <c r="CC4" s="2"/>
      <c r="CD4" s="2"/>
      <c r="CE4" s="1">
        <v>1</v>
      </c>
      <c r="CF4" s="2" t="s">
        <v>326</v>
      </c>
      <c r="CG4" s="2"/>
      <c r="CH4" s="2" t="s">
        <v>303</v>
      </c>
      <c r="CI4" s="2" t="s">
        <v>302</v>
      </c>
      <c r="CJ4" s="1">
        <v>0</v>
      </c>
      <c r="CK4" s="2"/>
      <c r="CL4" s="2"/>
      <c r="CM4" s="2" t="s">
        <v>305</v>
      </c>
      <c r="CN4" s="2" t="s">
        <v>302</v>
      </c>
      <c r="CO4" s="1">
        <v>0</v>
      </c>
      <c r="CP4" s="2"/>
      <c r="CQ4" s="2"/>
      <c r="CR4" s="1">
        <v>1</v>
      </c>
      <c r="CS4" s="2" t="s">
        <v>327</v>
      </c>
      <c r="CT4" s="2" t="s">
        <v>328</v>
      </c>
      <c r="CU4" s="1">
        <v>1</v>
      </c>
      <c r="CV4" s="2" t="s">
        <v>329</v>
      </c>
      <c r="CW4" s="2"/>
      <c r="CX4" s="2" t="s">
        <v>294</v>
      </c>
      <c r="CY4" s="2" t="s">
        <v>302</v>
      </c>
      <c r="CZ4" s="1">
        <v>0</v>
      </c>
      <c r="DA4" s="2"/>
      <c r="DB4" s="2"/>
      <c r="DC4" s="2" t="s">
        <v>305</v>
      </c>
      <c r="DD4" s="2" t="s">
        <v>302</v>
      </c>
      <c r="DE4" s="1">
        <v>0</v>
      </c>
      <c r="DF4" s="2"/>
      <c r="DG4" s="2"/>
      <c r="DH4" s="1">
        <v>1</v>
      </c>
      <c r="DI4" s="2" t="s">
        <v>330</v>
      </c>
      <c r="DJ4" s="2" t="s">
        <v>299</v>
      </c>
      <c r="DK4" s="1">
        <v>1</v>
      </c>
      <c r="DL4" s="2" t="s">
        <v>308</v>
      </c>
      <c r="DM4" s="2"/>
      <c r="DN4" s="2" t="s">
        <v>294</v>
      </c>
      <c r="DO4" s="2" t="s">
        <v>331</v>
      </c>
      <c r="DP4" s="1">
        <v>0</v>
      </c>
      <c r="DQ4" s="2"/>
      <c r="DR4" s="2"/>
      <c r="DS4" s="2" t="s">
        <v>298</v>
      </c>
      <c r="DT4" s="2" t="s">
        <v>331</v>
      </c>
      <c r="DU4" s="1">
        <v>0</v>
      </c>
      <c r="DV4" s="2"/>
      <c r="DW4" s="2"/>
      <c r="DX4" s="2" t="s">
        <v>332</v>
      </c>
      <c r="DY4" s="1">
        <v>1</v>
      </c>
      <c r="DZ4" s="2" t="s">
        <v>333</v>
      </c>
      <c r="EA4" s="2" t="s">
        <v>294</v>
      </c>
      <c r="EB4" s="2" t="s">
        <v>331</v>
      </c>
      <c r="EC4" s="1">
        <v>0</v>
      </c>
      <c r="ED4" s="2"/>
      <c r="EE4" s="2"/>
      <c r="EF4" s="2" t="s">
        <v>305</v>
      </c>
      <c r="EG4" s="2" t="s">
        <v>331</v>
      </c>
      <c r="EH4" s="1">
        <v>0</v>
      </c>
      <c r="EI4" s="2"/>
      <c r="EJ4" s="2"/>
      <c r="EK4" s="2" t="s">
        <v>334</v>
      </c>
      <c r="EL4" s="1">
        <v>0</v>
      </c>
      <c r="EM4" s="2"/>
      <c r="EN4" s="1">
        <v>0</v>
      </c>
      <c r="EO4" s="2"/>
      <c r="EP4" s="2" t="s">
        <v>299</v>
      </c>
      <c r="EQ4" s="2" t="s">
        <v>299</v>
      </c>
      <c r="ER4" s="1">
        <v>0</v>
      </c>
      <c r="ES4" s="2"/>
      <c r="ET4" s="2"/>
      <c r="EU4" s="2"/>
      <c r="EV4" s="2"/>
      <c r="EW4" s="2"/>
      <c r="EX4" s="2"/>
      <c r="EY4" s="2"/>
      <c r="EZ4" s="2"/>
      <c r="FA4" s="1">
        <v>0</v>
      </c>
      <c r="FB4" s="2"/>
      <c r="FC4" s="2"/>
      <c r="FD4" s="2"/>
      <c r="FE4" s="2" t="s">
        <v>316</v>
      </c>
      <c r="FF4" s="2" t="s">
        <v>335</v>
      </c>
      <c r="FG4" s="2" t="s">
        <v>336</v>
      </c>
      <c r="FH4" s="2"/>
      <c r="FI4" s="1">
        <v>-1</v>
      </c>
      <c r="FJ4" s="1">
        <v>-1</v>
      </c>
      <c r="FK4" s="1">
        <v>-1</v>
      </c>
      <c r="FL4" s="1">
        <v>-1</v>
      </c>
      <c r="FM4" s="1">
        <v>-1</v>
      </c>
      <c r="FN4" s="1">
        <v>-1</v>
      </c>
      <c r="FO4" s="1">
        <v>-1</v>
      </c>
      <c r="FP4" s="1">
        <v>-1</v>
      </c>
      <c r="FQ4" s="1">
        <v>-1</v>
      </c>
      <c r="FR4" s="1">
        <v>-1</v>
      </c>
      <c r="FS4" s="1">
        <v>-1</v>
      </c>
      <c r="FT4" s="1">
        <v>-1</v>
      </c>
      <c r="FU4" s="1">
        <v>-1</v>
      </c>
      <c r="FV4" s="1">
        <v>-1</v>
      </c>
      <c r="FW4" s="1">
        <v>-1</v>
      </c>
      <c r="FX4" s="1">
        <v>-15</v>
      </c>
      <c r="FY4" s="3"/>
      <c r="FZ4" s="3"/>
      <c r="GA4" s="2" t="s">
        <v>319</v>
      </c>
      <c r="GB4" s="2" t="s">
        <v>320</v>
      </c>
      <c r="GC4" s="2" t="s">
        <v>277</v>
      </c>
      <c r="GD4" s="1">
        <v>15</v>
      </c>
      <c r="GE4" s="1">
        <v>15</v>
      </c>
      <c r="GF4" s="1">
        <v>47</v>
      </c>
      <c r="GG4" s="1">
        <v>25</v>
      </c>
      <c r="GH4" s="4"/>
    </row>
    <row r="5" spans="1:190" x14ac:dyDescent="0.25">
      <c r="A5" s="1">
        <v>120</v>
      </c>
      <c r="B5" s="2" t="s">
        <v>321</v>
      </c>
      <c r="C5" s="2" t="s">
        <v>279</v>
      </c>
      <c r="D5" s="2" t="s">
        <v>320</v>
      </c>
      <c r="E5" s="2" t="s">
        <v>282</v>
      </c>
      <c r="F5" s="2" t="s">
        <v>282</v>
      </c>
      <c r="G5" s="2" t="s">
        <v>282</v>
      </c>
      <c r="H5" s="2" t="s">
        <v>282</v>
      </c>
      <c r="I5" s="2" t="s">
        <v>282</v>
      </c>
      <c r="J5" s="2" t="s">
        <v>281</v>
      </c>
      <c r="K5" s="2" t="s">
        <v>282</v>
      </c>
      <c r="L5" s="2" t="s">
        <v>282</v>
      </c>
      <c r="M5" s="2" t="s">
        <v>282</v>
      </c>
      <c r="N5" s="1">
        <v>0</v>
      </c>
      <c r="O5" s="2"/>
      <c r="P5" s="2"/>
      <c r="Q5" s="2" t="s">
        <v>337</v>
      </c>
      <c r="R5" s="2"/>
      <c r="S5" s="2" t="s">
        <v>338</v>
      </c>
      <c r="T5" s="2"/>
      <c r="U5" s="2"/>
      <c r="V5" s="1">
        <v>0</v>
      </c>
      <c r="W5" s="2"/>
      <c r="X5" s="2"/>
      <c r="Y5" s="2" t="s">
        <v>294</v>
      </c>
      <c r="Z5" s="2" t="s">
        <v>331</v>
      </c>
      <c r="AA5" s="1">
        <v>0</v>
      </c>
      <c r="AB5" s="2"/>
      <c r="AC5" s="2"/>
      <c r="AD5" s="2" t="s">
        <v>298</v>
      </c>
      <c r="AE5" s="2" t="s">
        <v>339</v>
      </c>
      <c r="AF5" s="1">
        <v>0</v>
      </c>
      <c r="AG5" s="2"/>
      <c r="AH5" s="2"/>
      <c r="AI5" s="1">
        <v>0</v>
      </c>
      <c r="AJ5" s="2"/>
      <c r="AK5" s="2"/>
      <c r="AL5" s="2" t="s">
        <v>328</v>
      </c>
      <c r="AM5" s="1">
        <v>2</v>
      </c>
      <c r="AN5" s="2" t="s">
        <v>340</v>
      </c>
      <c r="AO5" s="2" t="s">
        <v>341</v>
      </c>
      <c r="AP5" s="2" t="s">
        <v>301</v>
      </c>
      <c r="AQ5" s="2" t="s">
        <v>297</v>
      </c>
      <c r="AR5" s="1">
        <v>0</v>
      </c>
      <c r="AS5" s="2"/>
      <c r="AT5" s="2"/>
      <c r="AU5" s="2" t="s">
        <v>288</v>
      </c>
      <c r="AV5" s="2" t="s">
        <v>339</v>
      </c>
      <c r="AW5" s="1">
        <v>0</v>
      </c>
      <c r="AX5" s="2"/>
      <c r="AY5" s="2"/>
      <c r="AZ5" s="1">
        <v>0</v>
      </c>
      <c r="BA5" s="2"/>
      <c r="BB5" s="2" t="s">
        <v>299</v>
      </c>
      <c r="BC5" s="2" t="s">
        <v>294</v>
      </c>
      <c r="BD5" s="2" t="s">
        <v>297</v>
      </c>
      <c r="BE5" s="1">
        <v>0</v>
      </c>
      <c r="BF5" s="2"/>
      <c r="BG5" s="2"/>
      <c r="BH5" s="2" t="s">
        <v>288</v>
      </c>
      <c r="BI5" s="2" t="s">
        <v>339</v>
      </c>
      <c r="BJ5" s="1">
        <v>0</v>
      </c>
      <c r="BK5" s="2"/>
      <c r="BL5" s="2"/>
      <c r="BM5" s="1">
        <v>0</v>
      </c>
      <c r="BN5" s="2"/>
      <c r="BO5" s="2" t="s">
        <v>296</v>
      </c>
      <c r="BP5" s="1">
        <v>0</v>
      </c>
      <c r="BQ5" s="2"/>
      <c r="BR5" s="2" t="s">
        <v>294</v>
      </c>
      <c r="BS5" s="2" t="s">
        <v>297</v>
      </c>
      <c r="BT5" s="1">
        <v>0</v>
      </c>
      <c r="BU5" s="2"/>
      <c r="BV5" s="2"/>
      <c r="BW5" s="2" t="s">
        <v>288</v>
      </c>
      <c r="BX5" s="2" t="s">
        <v>297</v>
      </c>
      <c r="BY5" s="1">
        <v>0</v>
      </c>
      <c r="BZ5" s="2"/>
      <c r="CA5" s="2"/>
      <c r="CB5" s="1">
        <v>0</v>
      </c>
      <c r="CC5" s="2"/>
      <c r="CD5" s="2" t="s">
        <v>299</v>
      </c>
      <c r="CE5" s="1">
        <v>2</v>
      </c>
      <c r="CF5" s="2" t="s">
        <v>342</v>
      </c>
      <c r="CG5" s="2" t="s">
        <v>343</v>
      </c>
      <c r="CH5" s="2" t="s">
        <v>294</v>
      </c>
      <c r="CI5" s="2" t="s">
        <v>297</v>
      </c>
      <c r="CJ5" s="1">
        <v>0</v>
      </c>
      <c r="CK5" s="2"/>
      <c r="CL5" s="2"/>
      <c r="CM5" s="2" t="s">
        <v>298</v>
      </c>
      <c r="CN5" s="2" t="s">
        <v>339</v>
      </c>
      <c r="CO5" s="1">
        <v>0</v>
      </c>
      <c r="CP5" s="2"/>
      <c r="CQ5" s="2"/>
      <c r="CR5" s="1">
        <v>0</v>
      </c>
      <c r="CS5" s="2"/>
      <c r="CT5" s="2" t="s">
        <v>299</v>
      </c>
      <c r="CU5" s="1">
        <v>1</v>
      </c>
      <c r="CV5" s="2" t="s">
        <v>344</v>
      </c>
      <c r="CW5" s="2"/>
      <c r="CX5" s="2" t="s">
        <v>294</v>
      </c>
      <c r="CY5" s="2" t="s">
        <v>297</v>
      </c>
      <c r="CZ5" s="1">
        <v>0</v>
      </c>
      <c r="DA5" s="2"/>
      <c r="DB5" s="2"/>
      <c r="DC5" s="2" t="s">
        <v>288</v>
      </c>
      <c r="DD5" s="2" t="s">
        <v>339</v>
      </c>
      <c r="DE5" s="1">
        <v>0</v>
      </c>
      <c r="DF5" s="2"/>
      <c r="DG5" s="2"/>
      <c r="DH5" s="1">
        <v>0</v>
      </c>
      <c r="DI5" s="2"/>
      <c r="DJ5" s="2" t="s">
        <v>299</v>
      </c>
      <c r="DK5" s="1">
        <v>1</v>
      </c>
      <c r="DL5" s="2" t="s">
        <v>345</v>
      </c>
      <c r="DM5" s="2"/>
      <c r="DN5" s="2" t="s">
        <v>303</v>
      </c>
      <c r="DO5" s="2" t="s">
        <v>331</v>
      </c>
      <c r="DP5" s="1">
        <v>0</v>
      </c>
      <c r="DQ5" s="2"/>
      <c r="DR5" s="2"/>
      <c r="DS5" s="2" t="s">
        <v>298</v>
      </c>
      <c r="DT5" s="2" t="s">
        <v>331</v>
      </c>
      <c r="DU5" s="1">
        <v>0</v>
      </c>
      <c r="DV5" s="2"/>
      <c r="DW5" s="2"/>
      <c r="DX5" s="2"/>
      <c r="DY5" s="1">
        <v>1</v>
      </c>
      <c r="DZ5" s="2" t="s">
        <v>345</v>
      </c>
      <c r="EA5" s="2" t="s">
        <v>303</v>
      </c>
      <c r="EB5" s="2" t="s">
        <v>331</v>
      </c>
      <c r="EC5" s="1">
        <v>0</v>
      </c>
      <c r="ED5" s="2"/>
      <c r="EE5" s="2"/>
      <c r="EF5" s="2" t="s">
        <v>298</v>
      </c>
      <c r="EG5" s="2" t="s">
        <v>331</v>
      </c>
      <c r="EH5" s="1">
        <v>0</v>
      </c>
      <c r="EI5" s="2"/>
      <c r="EJ5" s="2"/>
      <c r="EK5" s="2"/>
      <c r="EL5" s="1">
        <v>0</v>
      </c>
      <c r="EM5" s="2"/>
      <c r="EN5" s="1">
        <v>0</v>
      </c>
      <c r="EO5" s="2"/>
      <c r="EP5" s="2" t="s">
        <v>328</v>
      </c>
      <c r="EQ5" s="2" t="s">
        <v>328</v>
      </c>
      <c r="ER5" s="1">
        <v>0</v>
      </c>
      <c r="ES5" s="2"/>
      <c r="ET5" s="2"/>
      <c r="EU5" s="2"/>
      <c r="EV5" s="2"/>
      <c r="EW5" s="2"/>
      <c r="EX5" s="2"/>
      <c r="EY5" s="2"/>
      <c r="EZ5" s="2"/>
      <c r="FA5" s="1">
        <v>0</v>
      </c>
      <c r="FB5" s="2"/>
      <c r="FC5" s="2"/>
      <c r="FD5" s="2"/>
      <c r="FE5" s="2" t="s">
        <v>346</v>
      </c>
      <c r="FF5" s="2" t="s">
        <v>335</v>
      </c>
      <c r="FG5" s="2"/>
      <c r="FH5" s="2"/>
      <c r="FI5" s="1">
        <v>-1</v>
      </c>
      <c r="FJ5" s="1">
        <v>-1</v>
      </c>
      <c r="FK5" s="1">
        <v>-1</v>
      </c>
      <c r="FL5" s="1">
        <v>-1</v>
      </c>
      <c r="FM5" s="1">
        <v>-1</v>
      </c>
      <c r="FN5" s="1">
        <v>-1</v>
      </c>
      <c r="FO5" s="1">
        <v>-1</v>
      </c>
      <c r="FP5" s="1">
        <v>-1</v>
      </c>
      <c r="FQ5" s="1">
        <v>-1</v>
      </c>
      <c r="FR5" s="1">
        <v>-1</v>
      </c>
      <c r="FS5" s="1">
        <v>-1</v>
      </c>
      <c r="FT5" s="1">
        <v>-1</v>
      </c>
      <c r="FU5" s="1">
        <v>-1</v>
      </c>
      <c r="FV5" s="1">
        <v>-1</v>
      </c>
      <c r="FW5" s="1">
        <v>-1</v>
      </c>
      <c r="FX5" s="1">
        <v>-15</v>
      </c>
      <c r="FY5" s="3"/>
      <c r="FZ5" s="3"/>
      <c r="GA5" s="2" t="s">
        <v>319</v>
      </c>
      <c r="GB5" s="2" t="s">
        <v>320</v>
      </c>
      <c r="GC5" s="2" t="s">
        <v>277</v>
      </c>
      <c r="GD5" s="1">
        <v>15</v>
      </c>
      <c r="GE5" s="1">
        <v>15</v>
      </c>
      <c r="GF5" s="1">
        <v>42</v>
      </c>
      <c r="GG5" s="1">
        <v>14</v>
      </c>
      <c r="GH5" s="4"/>
    </row>
    <row r="6" spans="1:190" x14ac:dyDescent="0.25">
      <c r="A6" s="1">
        <v>128</v>
      </c>
      <c r="B6" s="2" t="s">
        <v>347</v>
      </c>
      <c r="C6" s="2" t="s">
        <v>279</v>
      </c>
      <c r="D6" s="2" t="s">
        <v>348</v>
      </c>
      <c r="E6" s="2" t="s">
        <v>281</v>
      </c>
      <c r="F6" s="2" t="s">
        <v>281</v>
      </c>
      <c r="G6" s="2" t="s">
        <v>281</v>
      </c>
      <c r="H6" s="2" t="s">
        <v>282</v>
      </c>
      <c r="I6" s="2" t="s">
        <v>282</v>
      </c>
      <c r="J6" s="2" t="s">
        <v>281</v>
      </c>
      <c r="K6" s="2" t="s">
        <v>282</v>
      </c>
      <c r="L6" s="2" t="s">
        <v>282</v>
      </c>
      <c r="M6" s="2" t="s">
        <v>281</v>
      </c>
      <c r="N6" s="1">
        <v>0</v>
      </c>
      <c r="O6" s="2"/>
      <c r="P6" s="2"/>
      <c r="Q6" s="2" t="s">
        <v>283</v>
      </c>
      <c r="R6" s="11" t="s">
        <v>322</v>
      </c>
      <c r="S6" s="2"/>
      <c r="T6" s="2"/>
      <c r="U6" s="2"/>
      <c r="V6" s="1">
        <v>0</v>
      </c>
      <c r="W6" s="2"/>
      <c r="X6" s="2"/>
      <c r="Y6" s="2" t="s">
        <v>303</v>
      </c>
      <c r="Z6" s="2" t="s">
        <v>302</v>
      </c>
      <c r="AA6" s="1">
        <v>0</v>
      </c>
      <c r="AB6" s="2"/>
      <c r="AC6" s="2"/>
      <c r="AD6" s="2" t="s">
        <v>298</v>
      </c>
      <c r="AE6" s="2" t="s">
        <v>302</v>
      </c>
      <c r="AF6" s="1">
        <v>0</v>
      </c>
      <c r="AG6" s="2"/>
      <c r="AH6" s="2"/>
      <c r="AI6" s="1">
        <v>0</v>
      </c>
      <c r="AJ6" s="2"/>
      <c r="AK6" s="2"/>
      <c r="AL6" s="2" t="s">
        <v>296</v>
      </c>
      <c r="AM6" s="1">
        <v>0</v>
      </c>
      <c r="AN6" s="2"/>
      <c r="AO6" s="2"/>
      <c r="AP6" s="2" t="s">
        <v>301</v>
      </c>
      <c r="AQ6" s="2" t="s">
        <v>287</v>
      </c>
      <c r="AR6" s="1">
        <v>0</v>
      </c>
      <c r="AS6" s="2"/>
      <c r="AT6" s="2"/>
      <c r="AU6" s="2" t="s">
        <v>324</v>
      </c>
      <c r="AV6" s="2" t="s">
        <v>287</v>
      </c>
      <c r="AW6" s="1">
        <v>0</v>
      </c>
      <c r="AX6" s="2"/>
      <c r="AY6" s="2"/>
      <c r="AZ6" s="1">
        <v>0</v>
      </c>
      <c r="BA6" s="2"/>
      <c r="BB6" s="2" t="s">
        <v>292</v>
      </c>
      <c r="BC6" s="2" t="s">
        <v>294</v>
      </c>
      <c r="BD6" s="2" t="s">
        <v>297</v>
      </c>
      <c r="BE6" s="1">
        <v>0</v>
      </c>
      <c r="BF6" s="2"/>
      <c r="BG6" s="2"/>
      <c r="BH6" s="2" t="s">
        <v>324</v>
      </c>
      <c r="BI6" s="2" t="s">
        <v>297</v>
      </c>
      <c r="BJ6" s="1">
        <v>0</v>
      </c>
      <c r="BK6" s="2"/>
      <c r="BL6" s="2"/>
      <c r="BM6" s="1">
        <v>0</v>
      </c>
      <c r="BN6" s="2"/>
      <c r="BO6" s="2" t="s">
        <v>296</v>
      </c>
      <c r="BP6" s="1">
        <v>0</v>
      </c>
      <c r="BQ6" s="2"/>
      <c r="BR6" s="2" t="s">
        <v>301</v>
      </c>
      <c r="BS6" s="2" t="s">
        <v>297</v>
      </c>
      <c r="BT6" s="1">
        <v>0</v>
      </c>
      <c r="BU6" s="2"/>
      <c r="BV6" s="2"/>
      <c r="BW6" s="2" t="s">
        <v>288</v>
      </c>
      <c r="BX6" s="2" t="s">
        <v>297</v>
      </c>
      <c r="BY6" s="1">
        <v>0</v>
      </c>
      <c r="BZ6" s="2"/>
      <c r="CA6" s="2"/>
      <c r="CB6" s="1">
        <v>0</v>
      </c>
      <c r="CC6" s="2"/>
      <c r="CD6" s="2" t="s">
        <v>296</v>
      </c>
      <c r="CE6" s="1">
        <v>0</v>
      </c>
      <c r="CF6" s="2"/>
      <c r="CG6" s="2"/>
      <c r="CH6" s="2" t="s">
        <v>294</v>
      </c>
      <c r="CI6" s="2" t="s">
        <v>302</v>
      </c>
      <c r="CJ6" s="1">
        <v>0</v>
      </c>
      <c r="CK6" s="2"/>
      <c r="CL6" s="2"/>
      <c r="CM6" s="2" t="s">
        <v>305</v>
      </c>
      <c r="CN6" s="2" t="s">
        <v>302</v>
      </c>
      <c r="CO6" s="1">
        <v>0</v>
      </c>
      <c r="CP6" s="2"/>
      <c r="CQ6" s="2"/>
      <c r="CR6" s="1">
        <v>0</v>
      </c>
      <c r="CS6" s="2"/>
      <c r="CT6" s="2" t="s">
        <v>296</v>
      </c>
      <c r="CU6" s="1">
        <v>0</v>
      </c>
      <c r="CV6" s="2"/>
      <c r="CW6" s="2"/>
      <c r="CX6" s="2" t="s">
        <v>294</v>
      </c>
      <c r="CY6" s="2" t="s">
        <v>302</v>
      </c>
      <c r="CZ6" s="1">
        <v>0</v>
      </c>
      <c r="DA6" s="2"/>
      <c r="DB6" s="2"/>
      <c r="DC6" s="2" t="s">
        <v>298</v>
      </c>
      <c r="DD6" s="2" t="s">
        <v>302</v>
      </c>
      <c r="DE6" s="1">
        <v>0</v>
      </c>
      <c r="DF6" s="2"/>
      <c r="DG6" s="2"/>
      <c r="DH6" s="1">
        <v>0</v>
      </c>
      <c r="DI6" s="2"/>
      <c r="DJ6" s="2" t="s">
        <v>296</v>
      </c>
      <c r="DK6" s="1">
        <v>1</v>
      </c>
      <c r="DL6" s="2" t="s">
        <v>349</v>
      </c>
      <c r="DM6" s="2"/>
      <c r="DN6" s="2" t="s">
        <v>303</v>
      </c>
      <c r="DO6" s="2" t="s">
        <v>331</v>
      </c>
      <c r="DP6" s="1">
        <v>0</v>
      </c>
      <c r="DQ6" s="2"/>
      <c r="DR6" s="2"/>
      <c r="DS6" s="2"/>
      <c r="DT6" s="2" t="s">
        <v>331</v>
      </c>
      <c r="DU6" s="1">
        <v>0</v>
      </c>
      <c r="DV6" s="2"/>
      <c r="DW6" s="2"/>
      <c r="DX6" s="2"/>
      <c r="DY6" s="1">
        <v>0</v>
      </c>
      <c r="DZ6" s="2"/>
      <c r="EA6" s="2" t="s">
        <v>303</v>
      </c>
      <c r="EB6" s="2" t="s">
        <v>331</v>
      </c>
      <c r="EC6" s="1">
        <v>0</v>
      </c>
      <c r="ED6" s="2"/>
      <c r="EE6" s="2"/>
      <c r="EF6" s="2" t="s">
        <v>324</v>
      </c>
      <c r="EG6" s="2" t="s">
        <v>331</v>
      </c>
      <c r="EH6" s="1">
        <v>0</v>
      </c>
      <c r="EI6" s="2"/>
      <c r="EJ6" s="2"/>
      <c r="EK6" s="2"/>
      <c r="EL6" s="1">
        <v>0</v>
      </c>
      <c r="EM6" s="2"/>
      <c r="EN6" s="1">
        <v>0</v>
      </c>
      <c r="EO6" s="2"/>
      <c r="EP6" s="2" t="s">
        <v>296</v>
      </c>
      <c r="EQ6" s="2"/>
      <c r="ER6" s="1">
        <v>0</v>
      </c>
      <c r="ES6" s="2"/>
      <c r="ET6" s="2"/>
      <c r="EU6" s="2"/>
      <c r="EV6" s="2"/>
      <c r="EW6" s="2"/>
      <c r="EX6" s="2"/>
      <c r="EY6" s="2"/>
      <c r="EZ6" s="2"/>
      <c r="FA6" s="1">
        <v>0</v>
      </c>
      <c r="FB6" s="2"/>
      <c r="FC6" s="2"/>
      <c r="FD6" s="2"/>
      <c r="FE6" s="2" t="s">
        <v>350</v>
      </c>
      <c r="FF6" s="2" t="s">
        <v>351</v>
      </c>
      <c r="FG6" s="2" t="s">
        <v>352</v>
      </c>
      <c r="FH6" s="2"/>
      <c r="FI6" s="1">
        <v>-1</v>
      </c>
      <c r="FJ6" s="1">
        <v>-1</v>
      </c>
      <c r="FK6" s="1">
        <v>-1</v>
      </c>
      <c r="FL6" s="1">
        <v>-1</v>
      </c>
      <c r="FM6" s="1">
        <v>-1</v>
      </c>
      <c r="FN6" s="1">
        <v>-1</v>
      </c>
      <c r="FO6" s="1">
        <v>-1</v>
      </c>
      <c r="FP6" s="1">
        <v>-1</v>
      </c>
      <c r="FQ6" s="1">
        <v>-1</v>
      </c>
      <c r="FR6" s="1">
        <v>-1</v>
      </c>
      <c r="FS6" s="1">
        <v>-1</v>
      </c>
      <c r="FT6" s="1">
        <v>-1</v>
      </c>
      <c r="FU6" s="1">
        <v>-1</v>
      </c>
      <c r="FV6" s="1">
        <v>-1</v>
      </c>
      <c r="FW6" s="1">
        <v>-1</v>
      </c>
      <c r="FX6" s="1">
        <v>-15</v>
      </c>
      <c r="FY6" s="3"/>
      <c r="FZ6" s="3"/>
      <c r="GA6" s="2"/>
      <c r="GB6" s="2" t="s">
        <v>320</v>
      </c>
      <c r="GC6" s="2" t="s">
        <v>277</v>
      </c>
      <c r="GD6" s="1">
        <v>15</v>
      </c>
      <c r="GE6" s="1">
        <v>15</v>
      </c>
      <c r="GF6" s="1">
        <v>51</v>
      </c>
      <c r="GG6" s="1">
        <v>22</v>
      </c>
      <c r="GH6" s="4"/>
    </row>
    <row r="7" spans="1:190" x14ac:dyDescent="0.25">
      <c r="A7" s="1">
        <v>130</v>
      </c>
      <c r="B7" s="2" t="s">
        <v>321</v>
      </c>
      <c r="C7" s="2" t="s">
        <v>353</v>
      </c>
      <c r="D7" s="2" t="s">
        <v>354</v>
      </c>
      <c r="E7" s="2" t="s">
        <v>281</v>
      </c>
      <c r="F7" s="2" t="s">
        <v>281</v>
      </c>
      <c r="G7" s="2" t="s">
        <v>281</v>
      </c>
      <c r="H7" s="2" t="s">
        <v>282</v>
      </c>
      <c r="I7" s="2" t="s">
        <v>282</v>
      </c>
      <c r="J7" s="2" t="s">
        <v>281</v>
      </c>
      <c r="K7" s="2" t="s">
        <v>281</v>
      </c>
      <c r="L7" s="2" t="s">
        <v>281</v>
      </c>
      <c r="M7" s="2" t="s">
        <v>282</v>
      </c>
      <c r="N7" s="1">
        <v>0</v>
      </c>
      <c r="O7" s="2"/>
      <c r="P7" s="2"/>
      <c r="Q7" s="2" t="s">
        <v>355</v>
      </c>
      <c r="R7" s="2"/>
      <c r="S7" s="2"/>
      <c r="T7" s="11" t="s">
        <v>284</v>
      </c>
      <c r="U7" s="2"/>
      <c r="V7" s="1">
        <v>0</v>
      </c>
      <c r="W7" s="2"/>
      <c r="X7" s="2"/>
      <c r="Y7" s="2" t="s">
        <v>303</v>
      </c>
      <c r="Z7" s="2" t="s">
        <v>331</v>
      </c>
      <c r="AA7" s="1">
        <v>1</v>
      </c>
      <c r="AB7" s="2" t="s">
        <v>356</v>
      </c>
      <c r="AC7" s="2"/>
      <c r="AD7" s="2" t="s">
        <v>298</v>
      </c>
      <c r="AE7" s="2" t="s">
        <v>331</v>
      </c>
      <c r="AF7" s="1">
        <v>0</v>
      </c>
      <c r="AG7" s="2"/>
      <c r="AH7" s="2"/>
      <c r="AI7" s="1">
        <v>0</v>
      </c>
      <c r="AJ7" s="2"/>
      <c r="AK7" s="2"/>
      <c r="AL7" s="2" t="s">
        <v>328</v>
      </c>
      <c r="AM7" s="1">
        <v>1</v>
      </c>
      <c r="AN7" s="2" t="s">
        <v>357</v>
      </c>
      <c r="AO7" s="2"/>
      <c r="AP7" s="2" t="s">
        <v>294</v>
      </c>
      <c r="AQ7" s="2" t="s">
        <v>287</v>
      </c>
      <c r="AR7" s="1">
        <v>0</v>
      </c>
      <c r="AS7" s="2"/>
      <c r="AT7" s="2"/>
      <c r="AU7" s="2" t="s">
        <v>288</v>
      </c>
      <c r="AV7" s="2" t="s">
        <v>287</v>
      </c>
      <c r="AW7" s="1">
        <v>0</v>
      </c>
      <c r="AX7" s="2"/>
      <c r="AY7" s="2"/>
      <c r="AZ7" s="1">
        <v>0</v>
      </c>
      <c r="BA7" s="2"/>
      <c r="BB7" s="2" t="s">
        <v>299</v>
      </c>
      <c r="BC7" s="2"/>
      <c r="BD7" s="2"/>
      <c r="BE7" s="1">
        <v>0</v>
      </c>
      <c r="BF7" s="2"/>
      <c r="BG7" s="2"/>
      <c r="BH7" s="2"/>
      <c r="BI7" s="2"/>
      <c r="BJ7" s="1">
        <v>0</v>
      </c>
      <c r="BK7" s="2"/>
      <c r="BL7" s="2"/>
      <c r="BM7" s="1">
        <v>0</v>
      </c>
      <c r="BN7" s="2"/>
      <c r="BO7" s="2"/>
      <c r="BP7" s="1">
        <v>0</v>
      </c>
      <c r="BQ7" s="2"/>
      <c r="BR7" s="2"/>
      <c r="BS7" s="2"/>
      <c r="BT7" s="1">
        <v>0</v>
      </c>
      <c r="BU7" s="2"/>
      <c r="BV7" s="2"/>
      <c r="BW7" s="2"/>
      <c r="BX7" s="2"/>
      <c r="BY7" s="1">
        <v>0</v>
      </c>
      <c r="BZ7" s="2"/>
      <c r="CA7" s="2"/>
      <c r="CB7" s="1">
        <v>0</v>
      </c>
      <c r="CC7" s="2"/>
      <c r="CD7" s="2"/>
      <c r="CE7" s="1">
        <v>2</v>
      </c>
      <c r="CF7" s="2" t="s">
        <v>358</v>
      </c>
      <c r="CG7" s="2" t="s">
        <v>359</v>
      </c>
      <c r="CH7" s="2" t="s">
        <v>303</v>
      </c>
      <c r="CI7" s="2" t="s">
        <v>297</v>
      </c>
      <c r="CJ7" s="1">
        <v>0</v>
      </c>
      <c r="CK7" s="2"/>
      <c r="CL7" s="2"/>
      <c r="CM7" s="2" t="s">
        <v>305</v>
      </c>
      <c r="CN7" s="2" t="s">
        <v>339</v>
      </c>
      <c r="CO7" s="1">
        <v>0</v>
      </c>
      <c r="CP7" s="2"/>
      <c r="CQ7" s="2"/>
      <c r="CR7" s="1">
        <v>0</v>
      </c>
      <c r="CS7" s="2"/>
      <c r="CT7" s="2" t="s">
        <v>299</v>
      </c>
      <c r="CU7" s="1">
        <v>1</v>
      </c>
      <c r="CV7" s="2" t="s">
        <v>360</v>
      </c>
      <c r="CW7" s="2"/>
      <c r="CX7" s="2" t="s">
        <v>301</v>
      </c>
      <c r="CY7" s="2" t="s">
        <v>339</v>
      </c>
      <c r="CZ7" s="1">
        <v>0</v>
      </c>
      <c r="DA7" s="2"/>
      <c r="DB7" s="2"/>
      <c r="DC7" s="2" t="s">
        <v>324</v>
      </c>
      <c r="DD7" s="2" t="s">
        <v>287</v>
      </c>
      <c r="DE7" s="1">
        <v>0</v>
      </c>
      <c r="DF7" s="2"/>
      <c r="DG7" s="2"/>
      <c r="DH7" s="1">
        <v>1</v>
      </c>
      <c r="DI7" s="2" t="s">
        <v>361</v>
      </c>
      <c r="DJ7" s="2" t="s">
        <v>299</v>
      </c>
      <c r="DK7" s="1">
        <v>1</v>
      </c>
      <c r="DL7" s="2" t="s">
        <v>362</v>
      </c>
      <c r="DM7" s="2"/>
      <c r="DN7" s="2" t="s">
        <v>303</v>
      </c>
      <c r="DO7" s="2" t="s">
        <v>331</v>
      </c>
      <c r="DP7" s="1">
        <v>0</v>
      </c>
      <c r="DQ7" s="2"/>
      <c r="DR7" s="2"/>
      <c r="DS7" s="2" t="s">
        <v>298</v>
      </c>
      <c r="DT7" s="2" t="s">
        <v>331</v>
      </c>
      <c r="DU7" s="1">
        <v>0</v>
      </c>
      <c r="DV7" s="2"/>
      <c r="DW7" s="2"/>
      <c r="DX7" s="2"/>
      <c r="DY7" s="1">
        <v>0</v>
      </c>
      <c r="DZ7" s="2"/>
      <c r="EA7" s="2" t="s">
        <v>294</v>
      </c>
      <c r="EB7" s="2" t="s">
        <v>331</v>
      </c>
      <c r="EC7" s="1">
        <v>0</v>
      </c>
      <c r="ED7" s="2"/>
      <c r="EE7" s="2"/>
      <c r="EF7" s="2" t="s">
        <v>298</v>
      </c>
      <c r="EG7" s="2" t="s">
        <v>331</v>
      </c>
      <c r="EH7" s="1">
        <v>0</v>
      </c>
      <c r="EI7" s="2"/>
      <c r="EJ7" s="2"/>
      <c r="EK7" s="2"/>
      <c r="EL7" s="1">
        <v>0</v>
      </c>
      <c r="EM7" s="2"/>
      <c r="EN7" s="1">
        <v>0</v>
      </c>
      <c r="EO7" s="2"/>
      <c r="EP7" s="2" t="s">
        <v>299</v>
      </c>
      <c r="EQ7" s="2" t="s">
        <v>299</v>
      </c>
      <c r="ER7" s="1">
        <v>0</v>
      </c>
      <c r="ES7" s="2"/>
      <c r="ET7" s="2"/>
      <c r="EU7" s="2"/>
      <c r="EV7" s="2"/>
      <c r="EW7" s="2"/>
      <c r="EX7" s="2"/>
      <c r="EY7" s="2"/>
      <c r="EZ7" s="2"/>
      <c r="FA7" s="1">
        <v>1</v>
      </c>
      <c r="FB7" s="2" t="s">
        <v>363</v>
      </c>
      <c r="FC7" s="2"/>
      <c r="FD7" s="2"/>
      <c r="FE7" s="2" t="s">
        <v>316</v>
      </c>
      <c r="FF7" s="2" t="s">
        <v>317</v>
      </c>
      <c r="FG7" s="2" t="s">
        <v>364</v>
      </c>
      <c r="FH7" s="2"/>
      <c r="FI7" s="1">
        <v>-1</v>
      </c>
      <c r="FJ7" s="1">
        <v>-1</v>
      </c>
      <c r="FK7" s="1">
        <v>-1</v>
      </c>
      <c r="FL7" s="1">
        <v>-1</v>
      </c>
      <c r="FM7" s="1">
        <v>-1</v>
      </c>
      <c r="FN7" s="1">
        <v>-1</v>
      </c>
      <c r="FO7" s="1">
        <v>-1</v>
      </c>
      <c r="FP7" s="1">
        <v>-1</v>
      </c>
      <c r="FQ7" s="1">
        <v>-1</v>
      </c>
      <c r="FR7" s="1">
        <v>-1</v>
      </c>
      <c r="FS7" s="1">
        <v>-1</v>
      </c>
      <c r="FT7" s="1">
        <v>-1</v>
      </c>
      <c r="FU7" s="1">
        <v>-1</v>
      </c>
      <c r="FV7" s="1">
        <v>-1</v>
      </c>
      <c r="FW7" s="1">
        <v>-1</v>
      </c>
      <c r="FX7" s="1">
        <v>-15</v>
      </c>
      <c r="FY7" s="3"/>
      <c r="FZ7" s="3"/>
      <c r="GA7" s="2"/>
      <c r="GB7" s="2" t="s">
        <v>320</v>
      </c>
      <c r="GC7" s="2" t="s">
        <v>277</v>
      </c>
      <c r="GD7" s="1">
        <v>15</v>
      </c>
      <c r="GE7" s="1">
        <v>15</v>
      </c>
      <c r="GF7" s="1">
        <v>51</v>
      </c>
      <c r="GG7" s="1">
        <v>28</v>
      </c>
      <c r="GH7" s="4"/>
    </row>
    <row r="8" spans="1:190" x14ac:dyDescent="0.25">
      <c r="A8" s="1">
        <v>131</v>
      </c>
      <c r="B8" s="2" t="s">
        <v>321</v>
      </c>
      <c r="C8" s="2" t="s">
        <v>279</v>
      </c>
      <c r="D8" s="2" t="s">
        <v>348</v>
      </c>
      <c r="E8" s="2" t="s">
        <v>281</v>
      </c>
      <c r="F8" s="2" t="s">
        <v>281</v>
      </c>
      <c r="G8" s="2" t="s">
        <v>282</v>
      </c>
      <c r="H8" s="2" t="s">
        <v>282</v>
      </c>
      <c r="I8" s="2" t="s">
        <v>282</v>
      </c>
      <c r="J8" s="2" t="s">
        <v>281</v>
      </c>
      <c r="K8" s="2" t="s">
        <v>281</v>
      </c>
      <c r="L8" s="2" t="s">
        <v>281</v>
      </c>
      <c r="M8" s="2" t="s">
        <v>282</v>
      </c>
      <c r="N8" s="1">
        <v>0</v>
      </c>
      <c r="O8" s="2"/>
      <c r="P8" s="2"/>
      <c r="Q8" s="2" t="s">
        <v>355</v>
      </c>
      <c r="R8" s="2"/>
      <c r="S8" s="2"/>
      <c r="T8" s="11" t="s">
        <v>322</v>
      </c>
      <c r="U8" s="2"/>
      <c r="V8" s="1">
        <v>1</v>
      </c>
      <c r="W8" s="2" t="s">
        <v>365</v>
      </c>
      <c r="X8" s="2"/>
      <c r="Y8" s="2" t="s">
        <v>294</v>
      </c>
      <c r="Z8" s="2" t="s">
        <v>302</v>
      </c>
      <c r="AA8" s="1">
        <v>0</v>
      </c>
      <c r="AB8" s="2"/>
      <c r="AC8" s="2"/>
      <c r="AD8" s="2" t="s">
        <v>298</v>
      </c>
      <c r="AE8" s="2" t="s">
        <v>302</v>
      </c>
      <c r="AF8" s="1">
        <v>0</v>
      </c>
      <c r="AG8" s="2"/>
      <c r="AH8" s="2"/>
      <c r="AI8" s="1">
        <v>0</v>
      </c>
      <c r="AJ8" s="2"/>
      <c r="AK8" s="2"/>
      <c r="AL8" s="2" t="s">
        <v>366</v>
      </c>
      <c r="AM8" s="1">
        <v>1</v>
      </c>
      <c r="AN8" s="2" t="s">
        <v>367</v>
      </c>
      <c r="AO8" s="2"/>
      <c r="AP8" s="2" t="s">
        <v>301</v>
      </c>
      <c r="AQ8" s="2" t="s">
        <v>287</v>
      </c>
      <c r="AR8" s="1">
        <v>0</v>
      </c>
      <c r="AS8" s="2"/>
      <c r="AT8" s="2"/>
      <c r="AU8" s="2" t="s">
        <v>324</v>
      </c>
      <c r="AV8" s="2" t="s">
        <v>297</v>
      </c>
      <c r="AW8" s="1">
        <v>0</v>
      </c>
      <c r="AX8" s="2"/>
      <c r="AY8" s="2"/>
      <c r="AZ8" s="1">
        <v>1</v>
      </c>
      <c r="BA8" s="2" t="s">
        <v>368</v>
      </c>
      <c r="BB8" s="2" t="s">
        <v>296</v>
      </c>
      <c r="BC8" s="2"/>
      <c r="BD8" s="2"/>
      <c r="BE8" s="1">
        <v>0</v>
      </c>
      <c r="BF8" s="2"/>
      <c r="BG8" s="2"/>
      <c r="BH8" s="2"/>
      <c r="BI8" s="2"/>
      <c r="BJ8" s="1">
        <v>0</v>
      </c>
      <c r="BK8" s="2"/>
      <c r="BL8" s="2"/>
      <c r="BM8" s="1">
        <v>0</v>
      </c>
      <c r="BN8" s="2"/>
      <c r="BO8" s="2"/>
      <c r="BP8" s="1">
        <v>1</v>
      </c>
      <c r="BQ8" s="2" t="s">
        <v>369</v>
      </c>
      <c r="BR8" s="2" t="s">
        <v>301</v>
      </c>
      <c r="BS8" s="2" t="s">
        <v>297</v>
      </c>
      <c r="BT8" s="1">
        <v>0</v>
      </c>
      <c r="BU8" s="2"/>
      <c r="BV8" s="2"/>
      <c r="BW8" s="2" t="s">
        <v>288</v>
      </c>
      <c r="BX8" s="2" t="s">
        <v>297</v>
      </c>
      <c r="BY8" s="1">
        <v>0</v>
      </c>
      <c r="BZ8" s="2"/>
      <c r="CA8" s="2"/>
      <c r="CB8" s="1">
        <v>0</v>
      </c>
      <c r="CC8" s="2"/>
      <c r="CD8" s="2" t="s">
        <v>328</v>
      </c>
      <c r="CE8" s="1">
        <v>1</v>
      </c>
      <c r="CF8" s="2" t="s">
        <v>370</v>
      </c>
      <c r="CG8" s="2"/>
      <c r="CH8" s="2" t="s">
        <v>301</v>
      </c>
      <c r="CI8" s="2" t="s">
        <v>302</v>
      </c>
      <c r="CJ8" s="1">
        <v>0</v>
      </c>
      <c r="CK8" s="2"/>
      <c r="CL8" s="2"/>
      <c r="CM8" s="2" t="s">
        <v>305</v>
      </c>
      <c r="CN8" s="2" t="s">
        <v>302</v>
      </c>
      <c r="CO8" s="1">
        <v>0</v>
      </c>
      <c r="CP8" s="2"/>
      <c r="CQ8" s="2"/>
      <c r="CR8" s="1">
        <v>0</v>
      </c>
      <c r="CS8" s="2"/>
      <c r="CT8" s="2" t="s">
        <v>328</v>
      </c>
      <c r="CU8" s="1">
        <v>2</v>
      </c>
      <c r="CV8" s="2" t="s">
        <v>371</v>
      </c>
      <c r="CW8" s="2" t="s">
        <v>372</v>
      </c>
      <c r="CX8" s="2" t="s">
        <v>294</v>
      </c>
      <c r="CY8" s="2" t="s">
        <v>302</v>
      </c>
      <c r="CZ8" s="1">
        <v>0</v>
      </c>
      <c r="DA8" s="2"/>
      <c r="DB8" s="2"/>
      <c r="DC8" s="2" t="s">
        <v>298</v>
      </c>
      <c r="DD8" s="2" t="s">
        <v>297</v>
      </c>
      <c r="DE8" s="1">
        <v>0</v>
      </c>
      <c r="DF8" s="2"/>
      <c r="DG8" s="2"/>
      <c r="DH8" s="1">
        <v>0</v>
      </c>
      <c r="DI8" s="2"/>
      <c r="DJ8" s="2" t="s">
        <v>296</v>
      </c>
      <c r="DK8" s="1">
        <v>1</v>
      </c>
      <c r="DL8" s="2" t="s">
        <v>373</v>
      </c>
      <c r="DM8" s="2"/>
      <c r="DN8" s="2" t="s">
        <v>294</v>
      </c>
      <c r="DO8" s="2" t="s">
        <v>331</v>
      </c>
      <c r="DP8" s="1">
        <v>0</v>
      </c>
      <c r="DQ8" s="2"/>
      <c r="DR8" s="2"/>
      <c r="DS8" s="2" t="s">
        <v>298</v>
      </c>
      <c r="DT8" s="2" t="s">
        <v>331</v>
      </c>
      <c r="DU8" s="1">
        <v>0</v>
      </c>
      <c r="DV8" s="2"/>
      <c r="DW8" s="2"/>
      <c r="DX8" s="2"/>
      <c r="DY8" s="1">
        <v>1</v>
      </c>
      <c r="DZ8" s="2" t="s">
        <v>374</v>
      </c>
      <c r="EA8" s="2" t="s">
        <v>294</v>
      </c>
      <c r="EB8" s="2" t="s">
        <v>331</v>
      </c>
      <c r="EC8" s="1">
        <v>1</v>
      </c>
      <c r="ED8" s="2" t="s">
        <v>302</v>
      </c>
      <c r="EE8" s="2"/>
      <c r="EF8" s="2" t="s">
        <v>305</v>
      </c>
      <c r="EG8" s="2" t="s">
        <v>331</v>
      </c>
      <c r="EH8" s="1">
        <v>0</v>
      </c>
      <c r="EI8" s="2"/>
      <c r="EJ8" s="2"/>
      <c r="EK8" s="2"/>
      <c r="EL8" s="1">
        <v>0</v>
      </c>
      <c r="EM8" s="2"/>
      <c r="EN8" s="1">
        <v>0</v>
      </c>
      <c r="EO8" s="2"/>
      <c r="EP8" s="2" t="s">
        <v>296</v>
      </c>
      <c r="EQ8" s="2" t="s">
        <v>296</v>
      </c>
      <c r="ER8" s="1">
        <v>0</v>
      </c>
      <c r="ES8" s="2"/>
      <c r="ET8" s="2"/>
      <c r="EU8" s="2"/>
      <c r="EV8" s="2"/>
      <c r="EW8" s="2"/>
      <c r="EX8" s="2"/>
      <c r="EY8" s="2"/>
      <c r="EZ8" s="2"/>
      <c r="FA8" s="1">
        <v>0</v>
      </c>
      <c r="FB8" s="2"/>
      <c r="FC8" s="2"/>
      <c r="FD8" s="2"/>
      <c r="FE8" s="2" t="s">
        <v>316</v>
      </c>
      <c r="FF8" s="2" t="s">
        <v>335</v>
      </c>
      <c r="FG8" s="2" t="s">
        <v>375</v>
      </c>
      <c r="FH8" s="2"/>
      <c r="FI8" s="1">
        <v>-1</v>
      </c>
      <c r="FJ8" s="1">
        <v>-1</v>
      </c>
      <c r="FK8" s="1">
        <v>-1</v>
      </c>
      <c r="FL8" s="1">
        <v>-1</v>
      </c>
      <c r="FM8" s="1">
        <v>-1</v>
      </c>
      <c r="FN8" s="1">
        <v>-1</v>
      </c>
      <c r="FO8" s="1">
        <v>-1</v>
      </c>
      <c r="FP8" s="1">
        <v>-1</v>
      </c>
      <c r="FQ8" s="1">
        <v>-1</v>
      </c>
      <c r="FR8" s="1">
        <v>-1</v>
      </c>
      <c r="FS8" s="1">
        <v>-1</v>
      </c>
      <c r="FT8" s="1">
        <v>-1</v>
      </c>
      <c r="FU8" s="1">
        <v>-1</v>
      </c>
      <c r="FV8" s="1">
        <v>-1</v>
      </c>
      <c r="FW8" s="1">
        <v>-1</v>
      </c>
      <c r="FX8" s="1">
        <v>-15</v>
      </c>
      <c r="FY8" s="3"/>
      <c r="FZ8" s="3"/>
      <c r="GA8" s="2" t="s">
        <v>319</v>
      </c>
      <c r="GB8" s="2" t="s">
        <v>320</v>
      </c>
      <c r="GC8" s="2" t="s">
        <v>277</v>
      </c>
      <c r="GD8" s="1">
        <v>15</v>
      </c>
      <c r="GE8" s="1">
        <v>15</v>
      </c>
      <c r="GF8" s="1">
        <v>41</v>
      </c>
      <c r="GG8" s="1">
        <v>16</v>
      </c>
      <c r="GH8" s="4"/>
    </row>
    <row r="9" spans="1:190" x14ac:dyDescent="0.25">
      <c r="A9" s="1">
        <v>134</v>
      </c>
      <c r="B9" s="2" t="s">
        <v>376</v>
      </c>
      <c r="C9" s="2" t="s">
        <v>279</v>
      </c>
      <c r="D9" s="2" t="s">
        <v>377</v>
      </c>
      <c r="E9" s="2" t="s">
        <v>281</v>
      </c>
      <c r="F9" s="2" t="s">
        <v>282</v>
      </c>
      <c r="G9" s="2" t="s">
        <v>281</v>
      </c>
      <c r="H9" s="2" t="s">
        <v>282</v>
      </c>
      <c r="I9" s="2" t="s">
        <v>282</v>
      </c>
      <c r="J9" s="2" t="s">
        <v>281</v>
      </c>
      <c r="K9" s="2" t="s">
        <v>282</v>
      </c>
      <c r="L9" s="2" t="s">
        <v>282</v>
      </c>
      <c r="M9" s="2" t="s">
        <v>282</v>
      </c>
      <c r="N9" s="1">
        <v>0</v>
      </c>
      <c r="O9" s="2"/>
      <c r="P9" s="2"/>
      <c r="Q9" s="2" t="s">
        <v>337</v>
      </c>
      <c r="R9" s="2"/>
      <c r="S9" s="2" t="s">
        <v>338</v>
      </c>
      <c r="T9" s="2"/>
      <c r="U9" s="2"/>
      <c r="V9" s="1">
        <v>0</v>
      </c>
      <c r="W9" s="2"/>
      <c r="X9" s="2"/>
      <c r="Y9" s="2" t="s">
        <v>303</v>
      </c>
      <c r="Z9" s="2" t="s">
        <v>331</v>
      </c>
      <c r="AA9" s="1">
        <v>0</v>
      </c>
      <c r="AB9" s="2"/>
      <c r="AC9" s="2"/>
      <c r="AD9" s="2" t="s">
        <v>298</v>
      </c>
      <c r="AE9" s="2" t="s">
        <v>331</v>
      </c>
      <c r="AF9" s="1">
        <v>0</v>
      </c>
      <c r="AG9" s="2"/>
      <c r="AH9" s="2"/>
      <c r="AI9" s="1">
        <v>0</v>
      </c>
      <c r="AJ9" s="2"/>
      <c r="AK9" s="2"/>
      <c r="AL9" s="2" t="s">
        <v>296</v>
      </c>
      <c r="AM9" s="1">
        <v>0</v>
      </c>
      <c r="AN9" s="2"/>
      <c r="AO9" s="2"/>
      <c r="AP9" s="2" t="s">
        <v>294</v>
      </c>
      <c r="AQ9" s="2" t="s">
        <v>331</v>
      </c>
      <c r="AR9" s="1">
        <v>0</v>
      </c>
      <c r="AS9" s="2"/>
      <c r="AT9" s="2"/>
      <c r="AU9" s="2" t="s">
        <v>298</v>
      </c>
      <c r="AV9" s="2" t="s">
        <v>331</v>
      </c>
      <c r="AW9" s="1">
        <v>0</v>
      </c>
      <c r="AX9" s="2"/>
      <c r="AY9" s="2"/>
      <c r="AZ9" s="1">
        <v>0</v>
      </c>
      <c r="BA9" s="2"/>
      <c r="BB9" s="2" t="s">
        <v>299</v>
      </c>
      <c r="BC9" s="2"/>
      <c r="BD9" s="2"/>
      <c r="BE9" s="1">
        <v>0</v>
      </c>
      <c r="BF9" s="2"/>
      <c r="BG9" s="2"/>
      <c r="BH9" s="2"/>
      <c r="BI9" s="2"/>
      <c r="BJ9" s="1">
        <v>0</v>
      </c>
      <c r="BK9" s="2"/>
      <c r="BL9" s="2"/>
      <c r="BM9" s="1">
        <v>0</v>
      </c>
      <c r="BN9" s="2"/>
      <c r="BO9" s="2"/>
      <c r="BP9" s="1">
        <v>0</v>
      </c>
      <c r="BQ9" s="2"/>
      <c r="BR9" s="2" t="s">
        <v>294</v>
      </c>
      <c r="BS9" s="2" t="s">
        <v>302</v>
      </c>
      <c r="BT9" s="1">
        <v>0</v>
      </c>
      <c r="BU9" s="2"/>
      <c r="BV9" s="2"/>
      <c r="BW9" s="2" t="s">
        <v>298</v>
      </c>
      <c r="BX9" s="2" t="s">
        <v>302</v>
      </c>
      <c r="BY9" s="1">
        <v>0</v>
      </c>
      <c r="BZ9" s="2"/>
      <c r="CA9" s="2"/>
      <c r="CB9" s="1">
        <v>0</v>
      </c>
      <c r="CC9" s="2"/>
      <c r="CD9" s="2" t="s">
        <v>299</v>
      </c>
      <c r="CE9" s="1">
        <v>0</v>
      </c>
      <c r="CF9" s="2"/>
      <c r="CG9" s="2"/>
      <c r="CH9" s="2" t="s">
        <v>310</v>
      </c>
      <c r="CI9" s="2" t="s">
        <v>297</v>
      </c>
      <c r="CJ9" s="1">
        <v>0</v>
      </c>
      <c r="CK9" s="2"/>
      <c r="CL9" s="2"/>
      <c r="CM9" s="2" t="s">
        <v>305</v>
      </c>
      <c r="CN9" s="2" t="s">
        <v>297</v>
      </c>
      <c r="CO9" s="1">
        <v>0</v>
      </c>
      <c r="CP9" s="2"/>
      <c r="CQ9" s="2"/>
      <c r="CR9" s="1">
        <v>0</v>
      </c>
      <c r="CS9" s="2"/>
      <c r="CT9" s="2" t="s">
        <v>296</v>
      </c>
      <c r="CU9" s="1">
        <v>0</v>
      </c>
      <c r="CV9" s="2"/>
      <c r="CW9" s="2"/>
      <c r="CX9" s="2" t="s">
        <v>301</v>
      </c>
      <c r="CY9" s="2" t="s">
        <v>302</v>
      </c>
      <c r="CZ9" s="1">
        <v>0</v>
      </c>
      <c r="DA9" s="2"/>
      <c r="DB9" s="2"/>
      <c r="DC9" s="2" t="s">
        <v>305</v>
      </c>
      <c r="DD9" s="2" t="s">
        <v>302</v>
      </c>
      <c r="DE9" s="1">
        <v>0</v>
      </c>
      <c r="DF9" s="2"/>
      <c r="DG9" s="2"/>
      <c r="DH9" s="1">
        <v>0</v>
      </c>
      <c r="DI9" s="2"/>
      <c r="DJ9" s="2" t="s">
        <v>299</v>
      </c>
      <c r="DK9" s="1">
        <v>0</v>
      </c>
      <c r="DL9" s="2"/>
      <c r="DM9" s="2"/>
      <c r="DN9" s="2" t="s">
        <v>294</v>
      </c>
      <c r="DO9" s="2" t="s">
        <v>331</v>
      </c>
      <c r="DP9" s="1">
        <v>0</v>
      </c>
      <c r="DQ9" s="2"/>
      <c r="DR9" s="2"/>
      <c r="DS9" s="2" t="s">
        <v>305</v>
      </c>
      <c r="DT9" s="2" t="s">
        <v>302</v>
      </c>
      <c r="DU9" s="1">
        <v>0</v>
      </c>
      <c r="DV9" s="2"/>
      <c r="DW9" s="2"/>
      <c r="DX9" s="2"/>
      <c r="DY9" s="1">
        <v>0</v>
      </c>
      <c r="DZ9" s="2"/>
      <c r="EA9" s="2" t="s">
        <v>303</v>
      </c>
      <c r="EB9" s="2" t="s">
        <v>331</v>
      </c>
      <c r="EC9" s="1">
        <v>0</v>
      </c>
      <c r="ED9" s="2"/>
      <c r="EE9" s="2"/>
      <c r="EF9" s="2" t="s">
        <v>305</v>
      </c>
      <c r="EG9" s="2" t="s">
        <v>331</v>
      </c>
      <c r="EH9" s="1">
        <v>0</v>
      </c>
      <c r="EI9" s="2"/>
      <c r="EJ9" s="2"/>
      <c r="EK9" s="2"/>
      <c r="EL9" s="1">
        <v>0</v>
      </c>
      <c r="EM9" s="2"/>
      <c r="EN9" s="1">
        <v>0</v>
      </c>
      <c r="EO9" s="2"/>
      <c r="EP9" s="2" t="s">
        <v>296</v>
      </c>
      <c r="EQ9" s="2" t="s">
        <v>296</v>
      </c>
      <c r="ER9" s="1">
        <v>0</v>
      </c>
      <c r="ES9" s="2"/>
      <c r="ET9" s="2"/>
      <c r="EU9" s="2"/>
      <c r="EV9" s="2"/>
      <c r="EW9" s="2"/>
      <c r="EX9" s="2"/>
      <c r="EY9" s="2"/>
      <c r="EZ9" s="2"/>
      <c r="FA9" s="1">
        <v>0</v>
      </c>
      <c r="FB9" s="2"/>
      <c r="FC9" s="2"/>
      <c r="FD9" s="2"/>
      <c r="FE9" s="2" t="s">
        <v>350</v>
      </c>
      <c r="FF9" s="2" t="s">
        <v>317</v>
      </c>
      <c r="FG9" s="2"/>
      <c r="FH9" s="2"/>
      <c r="FI9" s="1">
        <v>-1</v>
      </c>
      <c r="FJ9" s="1">
        <v>-1</v>
      </c>
      <c r="FK9" s="1">
        <v>-1</v>
      </c>
      <c r="FL9" s="1">
        <v>-1</v>
      </c>
      <c r="FM9" s="1">
        <v>-1</v>
      </c>
      <c r="FN9" s="1">
        <v>-1</v>
      </c>
      <c r="FO9" s="1">
        <v>-1</v>
      </c>
      <c r="FP9" s="1">
        <v>-1</v>
      </c>
      <c r="FQ9" s="1">
        <v>-1</v>
      </c>
      <c r="FR9" s="1">
        <v>-1</v>
      </c>
      <c r="FS9" s="1">
        <v>-1</v>
      </c>
      <c r="FT9" s="1">
        <v>-1</v>
      </c>
      <c r="FU9" s="1">
        <v>-1</v>
      </c>
      <c r="FV9" s="1">
        <v>-1</v>
      </c>
      <c r="FW9" s="1">
        <v>-1</v>
      </c>
      <c r="FX9" s="1">
        <v>-15</v>
      </c>
      <c r="FY9" s="3"/>
      <c r="FZ9" s="3"/>
      <c r="GA9" s="2"/>
      <c r="GB9" s="2" t="s">
        <v>320</v>
      </c>
      <c r="GC9" s="2" t="s">
        <v>277</v>
      </c>
      <c r="GD9" s="1">
        <v>15</v>
      </c>
      <c r="GE9" s="1">
        <v>15</v>
      </c>
      <c r="GF9" s="1">
        <v>56</v>
      </c>
      <c r="GG9" s="1">
        <v>28</v>
      </c>
      <c r="GH9" s="4"/>
    </row>
    <row r="10" spans="1:190" x14ac:dyDescent="0.25">
      <c r="A10" s="1">
        <v>135</v>
      </c>
      <c r="B10" s="2" t="s">
        <v>321</v>
      </c>
      <c r="C10" s="2" t="s">
        <v>279</v>
      </c>
      <c r="D10" s="2" t="s">
        <v>377</v>
      </c>
      <c r="E10" s="2" t="s">
        <v>281</v>
      </c>
      <c r="F10" s="2" t="s">
        <v>282</v>
      </c>
      <c r="G10" s="2" t="s">
        <v>282</v>
      </c>
      <c r="H10" s="2" t="s">
        <v>282</v>
      </c>
      <c r="I10" s="2" t="s">
        <v>282</v>
      </c>
      <c r="J10" s="2" t="s">
        <v>281</v>
      </c>
      <c r="K10" s="2" t="s">
        <v>282</v>
      </c>
      <c r="L10" s="2" t="s">
        <v>281</v>
      </c>
      <c r="M10" s="2" t="s">
        <v>282</v>
      </c>
      <c r="N10" s="1">
        <v>0</v>
      </c>
      <c r="O10" s="2"/>
      <c r="P10" s="2"/>
      <c r="Q10" s="2" t="s">
        <v>283</v>
      </c>
      <c r="R10" s="11" t="s">
        <v>378</v>
      </c>
      <c r="S10" s="2"/>
      <c r="T10" s="2"/>
      <c r="U10" s="2"/>
      <c r="V10" s="1">
        <v>1</v>
      </c>
      <c r="W10" s="2" t="s">
        <v>379</v>
      </c>
      <c r="X10" s="2"/>
      <c r="Y10" s="2" t="s">
        <v>303</v>
      </c>
      <c r="Z10" s="2" t="s">
        <v>331</v>
      </c>
      <c r="AA10" s="1">
        <v>0</v>
      </c>
      <c r="AB10" s="2"/>
      <c r="AC10" s="2"/>
      <c r="AD10" s="2" t="s">
        <v>305</v>
      </c>
      <c r="AE10" s="2" t="s">
        <v>297</v>
      </c>
      <c r="AF10" s="1">
        <v>1</v>
      </c>
      <c r="AG10" s="2" t="s">
        <v>380</v>
      </c>
      <c r="AH10" s="2"/>
      <c r="AI10" s="1">
        <v>0</v>
      </c>
      <c r="AJ10" s="2"/>
      <c r="AK10" s="2"/>
      <c r="AL10" s="2" t="s">
        <v>299</v>
      </c>
      <c r="AM10" s="1">
        <v>0</v>
      </c>
      <c r="AN10" s="2"/>
      <c r="AO10" s="2"/>
      <c r="AP10" s="2" t="s">
        <v>301</v>
      </c>
      <c r="AQ10" s="2" t="s">
        <v>287</v>
      </c>
      <c r="AR10" s="1">
        <v>1</v>
      </c>
      <c r="AS10" s="2"/>
      <c r="AT10" s="2" t="s">
        <v>381</v>
      </c>
      <c r="AU10" s="2" t="s">
        <v>288</v>
      </c>
      <c r="AV10" s="2" t="s">
        <v>339</v>
      </c>
      <c r="AW10" s="1">
        <v>0</v>
      </c>
      <c r="AX10" s="2"/>
      <c r="AY10" s="2"/>
      <c r="AZ10" s="1">
        <v>1</v>
      </c>
      <c r="BA10" s="2" t="s">
        <v>382</v>
      </c>
      <c r="BB10" s="2" t="s">
        <v>328</v>
      </c>
      <c r="BC10" s="2" t="s">
        <v>301</v>
      </c>
      <c r="BD10" s="2" t="s">
        <v>297</v>
      </c>
      <c r="BE10" s="1">
        <v>1</v>
      </c>
      <c r="BF10" s="2" t="s">
        <v>339</v>
      </c>
      <c r="BG10" s="2"/>
      <c r="BH10" s="2" t="s">
        <v>324</v>
      </c>
      <c r="BI10" s="2" t="s">
        <v>297</v>
      </c>
      <c r="BJ10" s="1">
        <v>0</v>
      </c>
      <c r="BK10" s="2"/>
      <c r="BL10" s="2"/>
      <c r="BM10" s="1">
        <v>0</v>
      </c>
      <c r="BN10" s="2"/>
      <c r="BO10" s="2" t="s">
        <v>296</v>
      </c>
      <c r="BP10" s="1">
        <v>0</v>
      </c>
      <c r="BQ10" s="2"/>
      <c r="BR10" s="2" t="s">
        <v>303</v>
      </c>
      <c r="BS10" s="2" t="s">
        <v>297</v>
      </c>
      <c r="BT10" s="1">
        <v>0</v>
      </c>
      <c r="BU10" s="2"/>
      <c r="BV10" s="2"/>
      <c r="BW10" s="2" t="s">
        <v>305</v>
      </c>
      <c r="BX10" s="2" t="s">
        <v>297</v>
      </c>
      <c r="BY10" s="1">
        <v>0</v>
      </c>
      <c r="BZ10" s="2"/>
      <c r="CA10" s="2"/>
      <c r="CB10" s="1">
        <v>0</v>
      </c>
      <c r="CC10" s="2"/>
      <c r="CD10" s="2" t="s">
        <v>328</v>
      </c>
      <c r="CE10" s="1">
        <v>0</v>
      </c>
      <c r="CF10" s="2"/>
      <c r="CG10" s="2"/>
      <c r="CH10" s="2" t="s">
        <v>303</v>
      </c>
      <c r="CI10" s="2" t="s">
        <v>297</v>
      </c>
      <c r="CJ10" s="1">
        <v>0</v>
      </c>
      <c r="CK10" s="2"/>
      <c r="CL10" s="2"/>
      <c r="CM10" s="2" t="s">
        <v>298</v>
      </c>
      <c r="CN10" s="2" t="s">
        <v>297</v>
      </c>
      <c r="CO10" s="1">
        <v>0</v>
      </c>
      <c r="CP10" s="2"/>
      <c r="CQ10" s="2"/>
      <c r="CR10" s="1">
        <v>0</v>
      </c>
      <c r="CS10" s="2"/>
      <c r="CT10" s="2" t="s">
        <v>328</v>
      </c>
      <c r="CU10" s="1">
        <v>0</v>
      </c>
      <c r="CV10" s="2"/>
      <c r="CW10" s="2"/>
      <c r="CX10" s="2" t="s">
        <v>286</v>
      </c>
      <c r="CY10" s="2" t="s">
        <v>297</v>
      </c>
      <c r="CZ10" s="1">
        <v>0</v>
      </c>
      <c r="DA10" s="2"/>
      <c r="DB10" s="2"/>
      <c r="DC10" s="2" t="s">
        <v>324</v>
      </c>
      <c r="DD10" s="2" t="s">
        <v>297</v>
      </c>
      <c r="DE10" s="1">
        <v>0</v>
      </c>
      <c r="DF10" s="2"/>
      <c r="DG10" s="2"/>
      <c r="DH10" s="1">
        <v>0</v>
      </c>
      <c r="DI10" s="2"/>
      <c r="DJ10" s="2" t="s">
        <v>296</v>
      </c>
      <c r="DK10" s="1">
        <v>0</v>
      </c>
      <c r="DL10" s="2"/>
      <c r="DM10" s="2"/>
      <c r="DN10" s="2" t="s">
        <v>303</v>
      </c>
      <c r="DO10" s="2" t="s">
        <v>331</v>
      </c>
      <c r="DP10" s="1">
        <v>0</v>
      </c>
      <c r="DQ10" s="2"/>
      <c r="DR10" s="2"/>
      <c r="DS10" s="2" t="s">
        <v>305</v>
      </c>
      <c r="DT10" s="2" t="s">
        <v>297</v>
      </c>
      <c r="DU10" s="1">
        <v>0</v>
      </c>
      <c r="DV10" s="2"/>
      <c r="DW10" s="2"/>
      <c r="DX10" s="2"/>
      <c r="DY10" s="1">
        <v>1</v>
      </c>
      <c r="DZ10" s="2" t="s">
        <v>333</v>
      </c>
      <c r="EA10" s="2" t="s">
        <v>301</v>
      </c>
      <c r="EB10" s="2" t="s">
        <v>331</v>
      </c>
      <c r="EC10" s="1">
        <v>0</v>
      </c>
      <c r="ED10" s="2"/>
      <c r="EE10" s="2"/>
      <c r="EF10" s="2" t="s">
        <v>288</v>
      </c>
      <c r="EG10" s="2" t="s">
        <v>331</v>
      </c>
      <c r="EH10" s="1">
        <v>0</v>
      </c>
      <c r="EI10" s="2"/>
      <c r="EJ10" s="2"/>
      <c r="EK10" s="2"/>
      <c r="EL10" s="1">
        <v>0</v>
      </c>
      <c r="EM10" s="2"/>
      <c r="EN10" s="1">
        <v>0</v>
      </c>
      <c r="EO10" s="2"/>
      <c r="EP10" s="2" t="s">
        <v>292</v>
      </c>
      <c r="EQ10" s="2" t="s">
        <v>328</v>
      </c>
      <c r="ER10" s="1">
        <v>4</v>
      </c>
      <c r="ES10" s="2" t="s">
        <v>383</v>
      </c>
      <c r="ET10" s="2" t="s">
        <v>341</v>
      </c>
      <c r="EU10" s="2" t="s">
        <v>384</v>
      </c>
      <c r="EV10" s="2" t="s">
        <v>385</v>
      </c>
      <c r="EW10" s="2"/>
      <c r="EX10" s="2"/>
      <c r="EY10" s="2"/>
      <c r="EZ10" s="2"/>
      <c r="FA10" s="1">
        <v>0</v>
      </c>
      <c r="FB10" s="2"/>
      <c r="FC10" s="2"/>
      <c r="FD10" s="2"/>
      <c r="FE10" s="2" t="s">
        <v>346</v>
      </c>
      <c r="FF10" s="2" t="s">
        <v>351</v>
      </c>
      <c r="FG10" s="2"/>
      <c r="FH10" s="2"/>
      <c r="FI10" s="1">
        <v>-1</v>
      </c>
      <c r="FJ10" s="1">
        <v>-1</v>
      </c>
      <c r="FK10" s="1">
        <v>-1</v>
      </c>
      <c r="FL10" s="1">
        <v>-1</v>
      </c>
      <c r="FM10" s="1">
        <v>-1</v>
      </c>
      <c r="FN10" s="1">
        <v>-1</v>
      </c>
      <c r="FO10" s="1">
        <v>-1</v>
      </c>
      <c r="FP10" s="1">
        <v>-1</v>
      </c>
      <c r="FQ10" s="1">
        <v>-1</v>
      </c>
      <c r="FR10" s="1">
        <v>-1</v>
      </c>
      <c r="FS10" s="1">
        <v>-1</v>
      </c>
      <c r="FT10" s="1">
        <v>-1</v>
      </c>
      <c r="FU10" s="1">
        <v>-1</v>
      </c>
      <c r="FV10" s="1">
        <v>-1</v>
      </c>
      <c r="FW10" s="1">
        <v>-1</v>
      </c>
      <c r="FX10" s="1">
        <v>-15</v>
      </c>
      <c r="FY10" s="3"/>
      <c r="FZ10" s="3"/>
      <c r="GA10" s="2" t="s">
        <v>319</v>
      </c>
      <c r="GB10" s="2" t="s">
        <v>320</v>
      </c>
      <c r="GC10" s="2" t="s">
        <v>277</v>
      </c>
      <c r="GD10" s="1">
        <v>15</v>
      </c>
      <c r="GE10" s="1">
        <v>15</v>
      </c>
      <c r="GF10" s="1">
        <v>41</v>
      </c>
      <c r="GG10" s="1">
        <v>15</v>
      </c>
      <c r="GH10" s="4"/>
    </row>
    <row r="11" spans="1:190" x14ac:dyDescent="0.25">
      <c r="A11" s="1">
        <v>137</v>
      </c>
      <c r="B11" s="2" t="s">
        <v>321</v>
      </c>
      <c r="C11" s="2" t="s">
        <v>279</v>
      </c>
      <c r="D11" s="2" t="s">
        <v>280</v>
      </c>
      <c r="E11" s="2" t="s">
        <v>281</v>
      </c>
      <c r="F11" s="2" t="s">
        <v>281</v>
      </c>
      <c r="G11" s="2" t="s">
        <v>282</v>
      </c>
      <c r="H11" s="2" t="s">
        <v>282</v>
      </c>
      <c r="I11" s="2" t="s">
        <v>282</v>
      </c>
      <c r="J11" s="2" t="s">
        <v>281</v>
      </c>
      <c r="K11" s="2" t="s">
        <v>281</v>
      </c>
      <c r="L11" s="2" t="s">
        <v>282</v>
      </c>
      <c r="M11" s="2" t="s">
        <v>282</v>
      </c>
      <c r="N11" s="1">
        <v>0</v>
      </c>
      <c r="O11" s="2"/>
      <c r="P11" s="2"/>
      <c r="Q11" s="2" t="s">
        <v>355</v>
      </c>
      <c r="R11" s="2"/>
      <c r="S11" s="2"/>
      <c r="T11" s="11" t="s">
        <v>284</v>
      </c>
      <c r="U11" s="2"/>
      <c r="V11" s="1">
        <v>1</v>
      </c>
      <c r="W11" s="2" t="s">
        <v>386</v>
      </c>
      <c r="X11" s="2"/>
      <c r="Y11" s="2" t="s">
        <v>294</v>
      </c>
      <c r="Z11" s="2" t="s">
        <v>287</v>
      </c>
      <c r="AA11" s="1">
        <v>1</v>
      </c>
      <c r="AB11" s="2" t="s">
        <v>297</v>
      </c>
      <c r="AC11" s="2"/>
      <c r="AD11" s="2" t="s">
        <v>324</v>
      </c>
      <c r="AE11" s="2" t="s">
        <v>302</v>
      </c>
      <c r="AF11" s="1">
        <v>1</v>
      </c>
      <c r="AG11" s="2" t="s">
        <v>387</v>
      </c>
      <c r="AH11" s="2"/>
      <c r="AI11" s="1">
        <v>1</v>
      </c>
      <c r="AJ11" s="2" t="s">
        <v>388</v>
      </c>
      <c r="AK11" s="2"/>
      <c r="AL11" s="2" t="s">
        <v>328</v>
      </c>
      <c r="AM11" s="1">
        <v>1</v>
      </c>
      <c r="AN11" s="2" t="s">
        <v>386</v>
      </c>
      <c r="AO11" s="2"/>
      <c r="AP11" s="2" t="s">
        <v>294</v>
      </c>
      <c r="AQ11" s="2" t="s">
        <v>287</v>
      </c>
      <c r="AR11" s="1">
        <v>1</v>
      </c>
      <c r="AS11" s="2" t="s">
        <v>297</v>
      </c>
      <c r="AT11" s="2"/>
      <c r="AU11" s="2" t="s">
        <v>324</v>
      </c>
      <c r="AV11" s="2" t="s">
        <v>302</v>
      </c>
      <c r="AW11" s="1">
        <v>1</v>
      </c>
      <c r="AX11" s="2" t="s">
        <v>387</v>
      </c>
      <c r="AY11" s="2"/>
      <c r="AZ11" s="1">
        <v>1</v>
      </c>
      <c r="BA11" s="2" t="s">
        <v>389</v>
      </c>
      <c r="BB11" s="2" t="s">
        <v>328</v>
      </c>
      <c r="BC11" s="2"/>
      <c r="BD11" s="2"/>
      <c r="BE11" s="1">
        <v>0</v>
      </c>
      <c r="BF11" s="2"/>
      <c r="BG11" s="2"/>
      <c r="BH11" s="2"/>
      <c r="BI11" s="2"/>
      <c r="BJ11" s="1">
        <v>0</v>
      </c>
      <c r="BK11" s="2"/>
      <c r="BL11" s="2"/>
      <c r="BM11" s="1">
        <v>0</v>
      </c>
      <c r="BN11" s="2"/>
      <c r="BO11" s="2"/>
      <c r="BP11" s="1">
        <v>0</v>
      </c>
      <c r="BQ11" s="2"/>
      <c r="BR11" s="2"/>
      <c r="BS11" s="2"/>
      <c r="BT11" s="1">
        <v>0</v>
      </c>
      <c r="BU11" s="2"/>
      <c r="BV11" s="2"/>
      <c r="BW11" s="2"/>
      <c r="BX11" s="2"/>
      <c r="BY11" s="1">
        <v>0</v>
      </c>
      <c r="BZ11" s="2"/>
      <c r="CA11" s="2"/>
      <c r="CB11" s="1">
        <v>0</v>
      </c>
      <c r="CC11" s="2"/>
      <c r="CD11" s="2"/>
      <c r="CE11" s="1">
        <v>0</v>
      </c>
      <c r="CF11" s="2"/>
      <c r="CG11" s="2"/>
      <c r="CH11" s="2"/>
      <c r="CI11" s="2"/>
      <c r="CJ11" s="1">
        <v>0</v>
      </c>
      <c r="CK11" s="2"/>
      <c r="CL11" s="2"/>
      <c r="CM11" s="2"/>
      <c r="CN11" s="2"/>
      <c r="CO11" s="1">
        <v>0</v>
      </c>
      <c r="CP11" s="2"/>
      <c r="CQ11" s="2"/>
      <c r="CR11" s="1">
        <v>0</v>
      </c>
      <c r="CS11" s="2"/>
      <c r="CT11" s="2"/>
      <c r="CU11" s="1">
        <v>0</v>
      </c>
      <c r="CV11" s="2"/>
      <c r="CW11" s="2"/>
      <c r="CX11" s="2"/>
      <c r="CY11" s="2"/>
      <c r="CZ11" s="1">
        <v>0</v>
      </c>
      <c r="DA11" s="2"/>
      <c r="DB11" s="2"/>
      <c r="DC11" s="2"/>
      <c r="DD11" s="2"/>
      <c r="DE11" s="1">
        <v>0</v>
      </c>
      <c r="DF11" s="2"/>
      <c r="DG11" s="2"/>
      <c r="DH11" s="1">
        <v>0</v>
      </c>
      <c r="DI11" s="2"/>
      <c r="DJ11" s="2"/>
      <c r="DK11" s="1">
        <v>0</v>
      </c>
      <c r="DL11" s="2"/>
      <c r="DM11" s="2"/>
      <c r="DN11" s="2"/>
      <c r="DO11" s="2"/>
      <c r="DP11" s="1">
        <v>0</v>
      </c>
      <c r="DQ11" s="2"/>
      <c r="DR11" s="2"/>
      <c r="DS11" s="2"/>
      <c r="DT11" s="2"/>
      <c r="DU11" s="1">
        <v>0</v>
      </c>
      <c r="DV11" s="2"/>
      <c r="DW11" s="2"/>
      <c r="DX11" s="2"/>
      <c r="DY11" s="1">
        <v>0</v>
      </c>
      <c r="DZ11" s="2"/>
      <c r="EA11" s="2"/>
      <c r="EB11" s="2"/>
      <c r="EC11" s="1">
        <v>0</v>
      </c>
      <c r="ED11" s="2"/>
      <c r="EE11" s="2"/>
      <c r="EF11" s="2"/>
      <c r="EG11" s="2"/>
      <c r="EH11" s="1">
        <v>0</v>
      </c>
      <c r="EI11" s="2"/>
      <c r="EJ11" s="2"/>
      <c r="EK11" s="2"/>
      <c r="EL11" s="1">
        <v>0</v>
      </c>
      <c r="EM11" s="2"/>
      <c r="EN11" s="1">
        <v>0</v>
      </c>
      <c r="EO11" s="2"/>
      <c r="EP11" s="2"/>
      <c r="EQ11" s="2"/>
      <c r="ER11" s="1">
        <v>3</v>
      </c>
      <c r="ES11" s="2" t="s">
        <v>390</v>
      </c>
      <c r="ET11" s="2" t="s">
        <v>391</v>
      </c>
      <c r="EU11" s="2" t="s">
        <v>329</v>
      </c>
      <c r="EV11" s="2"/>
      <c r="EW11" s="2"/>
      <c r="EX11" s="2"/>
      <c r="EY11" s="2"/>
      <c r="EZ11" s="2"/>
      <c r="FA11" s="1">
        <v>1</v>
      </c>
      <c r="FB11" s="2" t="s">
        <v>392</v>
      </c>
      <c r="FC11" s="2"/>
      <c r="FD11" s="2"/>
      <c r="FE11" s="2" t="s">
        <v>393</v>
      </c>
      <c r="FF11" s="2" t="s">
        <v>351</v>
      </c>
      <c r="FG11" s="2"/>
      <c r="FH11" s="2"/>
      <c r="FI11" s="1">
        <v>-1</v>
      </c>
      <c r="FJ11" s="1">
        <v>-1</v>
      </c>
      <c r="FK11" s="1">
        <v>-1</v>
      </c>
      <c r="FL11" s="1">
        <v>-1</v>
      </c>
      <c r="FM11" s="1">
        <v>-1</v>
      </c>
      <c r="FN11" s="1">
        <v>-1</v>
      </c>
      <c r="FO11" s="1">
        <v>-1</v>
      </c>
      <c r="FP11" s="1">
        <v>-1</v>
      </c>
      <c r="FQ11" s="1">
        <v>-1</v>
      </c>
      <c r="FR11" s="1">
        <v>-1</v>
      </c>
      <c r="FS11" s="1">
        <v>-1</v>
      </c>
      <c r="FT11" s="1">
        <v>-1</v>
      </c>
      <c r="FU11" s="1">
        <v>-1</v>
      </c>
      <c r="FV11" s="1">
        <v>-1</v>
      </c>
      <c r="FW11" s="1">
        <v>-1</v>
      </c>
      <c r="FX11" s="1">
        <v>-15</v>
      </c>
      <c r="FY11" s="3"/>
      <c r="FZ11" s="3"/>
      <c r="GA11" s="2"/>
      <c r="GB11" s="2" t="s">
        <v>320</v>
      </c>
      <c r="GC11" s="2" t="s">
        <v>277</v>
      </c>
      <c r="GD11" s="1">
        <v>15</v>
      </c>
      <c r="GE11" s="1">
        <v>15</v>
      </c>
      <c r="GF11" s="1">
        <v>70</v>
      </c>
      <c r="GG11" s="1">
        <v>62</v>
      </c>
      <c r="GH11" s="4"/>
    </row>
    <row r="12" spans="1:190" x14ac:dyDescent="0.25">
      <c r="A12" s="1">
        <v>138</v>
      </c>
      <c r="B12" s="2" t="s">
        <v>321</v>
      </c>
      <c r="C12" s="2" t="s">
        <v>279</v>
      </c>
      <c r="D12" s="2" t="s">
        <v>320</v>
      </c>
      <c r="E12" s="2" t="s">
        <v>282</v>
      </c>
      <c r="F12" s="2" t="s">
        <v>282</v>
      </c>
      <c r="G12" s="2" t="s">
        <v>282</v>
      </c>
      <c r="H12" s="2" t="s">
        <v>282</v>
      </c>
      <c r="I12" s="2" t="s">
        <v>281</v>
      </c>
      <c r="J12" s="2" t="s">
        <v>282</v>
      </c>
      <c r="K12" s="2" t="s">
        <v>282</v>
      </c>
      <c r="L12" s="2" t="s">
        <v>282</v>
      </c>
      <c r="M12" s="2" t="s">
        <v>282</v>
      </c>
      <c r="N12" s="1">
        <v>0</v>
      </c>
      <c r="O12" s="2"/>
      <c r="P12" s="2"/>
      <c r="Q12" s="2" t="s">
        <v>355</v>
      </c>
      <c r="R12" s="2"/>
      <c r="S12" s="2"/>
      <c r="T12" s="2" t="s">
        <v>394</v>
      </c>
      <c r="U12" s="2"/>
      <c r="V12" s="1">
        <v>0</v>
      </c>
      <c r="W12" s="2"/>
      <c r="X12" s="2"/>
      <c r="Y12" s="2" t="s">
        <v>303</v>
      </c>
      <c r="Z12" s="2" t="s">
        <v>302</v>
      </c>
      <c r="AA12" s="1">
        <v>0</v>
      </c>
      <c r="AB12" s="2"/>
      <c r="AC12" s="2"/>
      <c r="AD12" s="2" t="s">
        <v>298</v>
      </c>
      <c r="AE12" s="2" t="s">
        <v>302</v>
      </c>
      <c r="AF12" s="1">
        <v>0</v>
      </c>
      <c r="AG12" s="2"/>
      <c r="AH12" s="2"/>
      <c r="AI12" s="1">
        <v>0</v>
      </c>
      <c r="AJ12" s="2"/>
      <c r="AK12" s="2"/>
      <c r="AL12" s="2" t="s">
        <v>299</v>
      </c>
      <c r="AM12" s="1"/>
      <c r="AN12" s="2"/>
      <c r="AO12" s="2"/>
      <c r="AP12" s="2"/>
      <c r="AQ12" s="2"/>
      <c r="AR12" s="1"/>
      <c r="AS12" s="2"/>
      <c r="AT12" s="2"/>
      <c r="AU12" s="2"/>
      <c r="AV12" s="2"/>
      <c r="AW12" s="1"/>
      <c r="AX12" s="2"/>
      <c r="AY12" s="2"/>
      <c r="AZ12" s="1"/>
      <c r="BA12" s="2"/>
      <c r="BB12" s="2"/>
      <c r="BC12" s="2"/>
      <c r="BD12" s="2"/>
      <c r="BE12" s="1"/>
      <c r="BF12" s="2"/>
      <c r="BG12" s="2"/>
      <c r="BH12" s="2"/>
      <c r="BI12" s="2"/>
      <c r="BJ12" s="1"/>
      <c r="BK12" s="2"/>
      <c r="BL12" s="2"/>
      <c r="BM12" s="1"/>
      <c r="BN12" s="2"/>
      <c r="BO12" s="2"/>
      <c r="BP12" s="1"/>
      <c r="BQ12" s="2"/>
      <c r="BR12" s="2"/>
      <c r="BS12" s="2"/>
      <c r="BT12" s="1"/>
      <c r="BU12" s="2"/>
      <c r="BV12" s="2"/>
      <c r="BW12" s="2"/>
      <c r="BX12" s="2"/>
      <c r="BY12" s="1"/>
      <c r="BZ12" s="2"/>
      <c r="CA12" s="2"/>
      <c r="CB12" s="1"/>
      <c r="CC12" s="2"/>
      <c r="CD12" s="2"/>
      <c r="CE12" s="1"/>
      <c r="CF12" s="2"/>
      <c r="CG12" s="2"/>
      <c r="CH12" s="2"/>
      <c r="CI12" s="2"/>
      <c r="CJ12" s="1"/>
      <c r="CK12" s="2"/>
      <c r="CL12" s="2"/>
      <c r="CM12" s="2"/>
      <c r="CN12" s="2"/>
      <c r="CO12" s="1"/>
      <c r="CP12" s="2"/>
      <c r="CQ12" s="2"/>
      <c r="CR12" s="1"/>
      <c r="CS12" s="2"/>
      <c r="CT12" s="2"/>
      <c r="CU12" s="1"/>
      <c r="CV12" s="2"/>
      <c r="CW12" s="2"/>
      <c r="CX12" s="2"/>
      <c r="CY12" s="2"/>
      <c r="CZ12" s="1"/>
      <c r="DA12" s="2"/>
      <c r="DB12" s="2"/>
      <c r="DC12" s="2"/>
      <c r="DD12" s="2"/>
      <c r="DE12" s="1"/>
      <c r="DF12" s="2"/>
      <c r="DG12" s="2"/>
      <c r="DH12" s="1"/>
      <c r="DI12" s="2"/>
      <c r="DJ12" s="2"/>
      <c r="DK12" s="1"/>
      <c r="DL12" s="2"/>
      <c r="DM12" s="2"/>
      <c r="DN12" s="2"/>
      <c r="DO12" s="2"/>
      <c r="DP12" s="1"/>
      <c r="DQ12" s="2"/>
      <c r="DR12" s="2"/>
      <c r="DS12" s="2"/>
      <c r="DT12" s="2"/>
      <c r="DU12" s="1"/>
      <c r="DV12" s="2"/>
      <c r="DW12" s="2"/>
      <c r="DX12" s="2"/>
      <c r="DY12" s="1"/>
      <c r="DZ12" s="2"/>
      <c r="EA12" s="2"/>
      <c r="EB12" s="2"/>
      <c r="EC12" s="1"/>
      <c r="ED12" s="2"/>
      <c r="EE12" s="2"/>
      <c r="EF12" s="2"/>
      <c r="EG12" s="2"/>
      <c r="EH12" s="1"/>
      <c r="EI12" s="2"/>
      <c r="EJ12" s="2"/>
      <c r="EK12" s="2"/>
      <c r="EL12" s="1"/>
      <c r="EM12" s="2"/>
      <c r="EN12" s="1"/>
      <c r="EO12" s="2"/>
      <c r="EP12" s="2"/>
      <c r="EQ12" s="2"/>
      <c r="ER12" s="1"/>
      <c r="ES12" s="2"/>
      <c r="ET12" s="2"/>
      <c r="EU12" s="2"/>
      <c r="EV12" s="2"/>
      <c r="EW12" s="2"/>
      <c r="EX12" s="2"/>
      <c r="EY12" s="2"/>
      <c r="EZ12" s="2"/>
      <c r="FA12" s="1"/>
      <c r="FB12" s="2"/>
      <c r="FC12" s="2"/>
      <c r="FD12" s="2"/>
      <c r="FE12" s="2" t="s">
        <v>346</v>
      </c>
      <c r="FF12" s="2"/>
      <c r="FG12" s="2"/>
      <c r="FH12" s="2"/>
      <c r="FI12" s="1">
        <v>-1</v>
      </c>
      <c r="FJ12" s="1">
        <v>-1</v>
      </c>
      <c r="FK12" s="1">
        <v>-1</v>
      </c>
      <c r="FL12" s="1">
        <v>-1</v>
      </c>
      <c r="FM12" s="1">
        <v>-1</v>
      </c>
      <c r="FN12" s="1">
        <v>-1</v>
      </c>
      <c r="FO12" s="1">
        <v>-1</v>
      </c>
      <c r="FP12" s="1"/>
      <c r="FQ12" s="1"/>
      <c r="FR12" s="1"/>
      <c r="FS12" s="1"/>
      <c r="FT12" s="1"/>
      <c r="FU12" s="1"/>
      <c r="FV12" s="1"/>
      <c r="FW12" s="1"/>
      <c r="FX12" s="1">
        <v>-7</v>
      </c>
      <c r="FY12" s="3"/>
      <c r="FZ12" s="3"/>
      <c r="GA12" s="2"/>
      <c r="GB12" s="2" t="s">
        <v>277</v>
      </c>
      <c r="GC12" s="2" t="s">
        <v>277</v>
      </c>
      <c r="GD12" s="1">
        <v>7</v>
      </c>
      <c r="GE12" s="1">
        <v>7</v>
      </c>
      <c r="GF12" s="1">
        <v>35</v>
      </c>
      <c r="GG12" s="1">
        <v>11</v>
      </c>
      <c r="GH12" s="4"/>
    </row>
    <row r="13" spans="1:190" x14ac:dyDescent="0.25">
      <c r="A13" s="1">
        <v>140</v>
      </c>
      <c r="B13" s="2" t="s">
        <v>347</v>
      </c>
      <c r="C13" s="2" t="s">
        <v>353</v>
      </c>
      <c r="D13" s="2" t="s">
        <v>377</v>
      </c>
      <c r="E13" s="2" t="s">
        <v>281</v>
      </c>
      <c r="F13" s="2" t="s">
        <v>281</v>
      </c>
      <c r="G13" s="2" t="s">
        <v>282</v>
      </c>
      <c r="H13" s="2" t="s">
        <v>282</v>
      </c>
      <c r="I13" s="2" t="s">
        <v>282</v>
      </c>
      <c r="J13" s="2" t="s">
        <v>281</v>
      </c>
      <c r="K13" s="2" t="s">
        <v>282</v>
      </c>
      <c r="L13" s="2" t="s">
        <v>282</v>
      </c>
      <c r="M13" s="2" t="s">
        <v>282</v>
      </c>
      <c r="N13" s="1">
        <v>0</v>
      </c>
      <c r="O13" s="2"/>
      <c r="P13" s="2"/>
      <c r="Q13" s="2" t="s">
        <v>337</v>
      </c>
      <c r="R13" s="2"/>
      <c r="S13" s="12" t="s">
        <v>395</v>
      </c>
      <c r="T13" s="2"/>
      <c r="U13" s="2"/>
      <c r="V13" s="1">
        <v>0</v>
      </c>
      <c r="W13" s="2"/>
      <c r="X13" s="2"/>
      <c r="Y13" s="2"/>
      <c r="Z13" s="2"/>
      <c r="AA13" s="1">
        <v>0</v>
      </c>
      <c r="AB13" s="2"/>
      <c r="AC13" s="2"/>
      <c r="AD13" s="2"/>
      <c r="AE13" s="2"/>
      <c r="AF13" s="1">
        <v>0</v>
      </c>
      <c r="AG13" s="2"/>
      <c r="AH13" s="2"/>
      <c r="AI13" s="1">
        <v>0</v>
      </c>
      <c r="AJ13" s="2"/>
      <c r="AK13" s="2"/>
      <c r="AL13" s="2"/>
      <c r="AM13" s="1">
        <v>0</v>
      </c>
      <c r="AN13" s="2"/>
      <c r="AO13" s="2"/>
      <c r="AP13" s="2"/>
      <c r="AQ13" s="2"/>
      <c r="AR13" s="1">
        <v>0</v>
      </c>
      <c r="AS13" s="2"/>
      <c r="AT13" s="2"/>
      <c r="AU13" s="2"/>
      <c r="AV13" s="2"/>
      <c r="AW13" s="1">
        <v>0</v>
      </c>
      <c r="AX13" s="2"/>
      <c r="AY13" s="2"/>
      <c r="AZ13" s="1">
        <v>0</v>
      </c>
      <c r="BA13" s="2"/>
      <c r="BB13" s="2"/>
      <c r="BC13" s="2"/>
      <c r="BD13" s="2"/>
      <c r="BE13" s="1">
        <v>0</v>
      </c>
      <c r="BF13" s="2"/>
      <c r="BG13" s="2"/>
      <c r="BH13" s="2"/>
      <c r="BI13" s="2"/>
      <c r="BJ13" s="1">
        <v>0</v>
      </c>
      <c r="BK13" s="2"/>
      <c r="BL13" s="2"/>
      <c r="BM13" s="1">
        <v>0</v>
      </c>
      <c r="BN13" s="2"/>
      <c r="BO13" s="2" t="s">
        <v>296</v>
      </c>
      <c r="BP13" s="1">
        <v>1</v>
      </c>
      <c r="BQ13" s="2" t="s">
        <v>396</v>
      </c>
      <c r="BR13" s="2" t="s">
        <v>301</v>
      </c>
      <c r="BS13" s="2" t="s">
        <v>297</v>
      </c>
      <c r="BT13" s="1">
        <v>0</v>
      </c>
      <c r="BU13" s="2"/>
      <c r="BV13" s="2"/>
      <c r="BW13" s="2" t="s">
        <v>324</v>
      </c>
      <c r="BX13" s="2" t="s">
        <v>287</v>
      </c>
      <c r="BY13" s="1">
        <v>0</v>
      </c>
      <c r="BZ13" s="2"/>
      <c r="CA13" s="2"/>
      <c r="CB13" s="1">
        <v>0</v>
      </c>
      <c r="CC13" s="2"/>
      <c r="CD13" s="2" t="s">
        <v>296</v>
      </c>
      <c r="CE13" s="1">
        <v>1</v>
      </c>
      <c r="CF13" s="2" t="s">
        <v>397</v>
      </c>
      <c r="CG13" s="2"/>
      <c r="CH13" s="2" t="s">
        <v>303</v>
      </c>
      <c r="CI13" s="2" t="s">
        <v>302</v>
      </c>
      <c r="CJ13" s="1">
        <v>1</v>
      </c>
      <c r="CK13" s="2" t="s">
        <v>398</v>
      </c>
      <c r="CL13" s="2"/>
      <c r="CM13" s="2" t="s">
        <v>305</v>
      </c>
      <c r="CN13" s="2"/>
      <c r="CO13" s="1">
        <v>0</v>
      </c>
      <c r="CP13" s="2"/>
      <c r="CQ13" s="2"/>
      <c r="CR13" s="1">
        <v>0</v>
      </c>
      <c r="CS13" s="2"/>
      <c r="CT13" s="2" t="s">
        <v>299</v>
      </c>
      <c r="CU13" s="1">
        <v>1</v>
      </c>
      <c r="CV13" s="2" t="s">
        <v>399</v>
      </c>
      <c r="CW13" s="2"/>
      <c r="CX13" s="2" t="s">
        <v>303</v>
      </c>
      <c r="CY13" s="2" t="s">
        <v>331</v>
      </c>
      <c r="CZ13" s="1">
        <v>0</v>
      </c>
      <c r="DA13" s="2"/>
      <c r="DB13" s="2"/>
      <c r="DC13" s="2" t="s">
        <v>305</v>
      </c>
      <c r="DD13" s="2"/>
      <c r="DE13" s="1">
        <v>0</v>
      </c>
      <c r="DF13" s="2"/>
      <c r="DG13" s="2"/>
      <c r="DH13" s="1">
        <v>0</v>
      </c>
      <c r="DI13" s="2"/>
      <c r="DJ13" s="2" t="s">
        <v>299</v>
      </c>
      <c r="DK13" s="1">
        <v>1</v>
      </c>
      <c r="DL13" s="2" t="s">
        <v>400</v>
      </c>
      <c r="DM13" s="2"/>
      <c r="DN13" s="2" t="s">
        <v>294</v>
      </c>
      <c r="DO13" s="2" t="s">
        <v>331</v>
      </c>
      <c r="DP13" s="1">
        <v>0</v>
      </c>
      <c r="DQ13" s="2"/>
      <c r="DR13" s="2"/>
      <c r="DS13" s="2" t="s">
        <v>288</v>
      </c>
      <c r="DT13" s="2" t="s">
        <v>302</v>
      </c>
      <c r="DU13" s="1">
        <v>0</v>
      </c>
      <c r="DV13" s="2"/>
      <c r="DW13" s="2"/>
      <c r="DX13" s="2"/>
      <c r="DY13" s="1">
        <v>1</v>
      </c>
      <c r="DZ13" s="2" t="s">
        <v>401</v>
      </c>
      <c r="EA13" s="2" t="s">
        <v>294</v>
      </c>
      <c r="EB13" s="2" t="s">
        <v>331</v>
      </c>
      <c r="EC13" s="1">
        <v>0</v>
      </c>
      <c r="ED13" s="2"/>
      <c r="EE13" s="2"/>
      <c r="EF13" s="2" t="s">
        <v>288</v>
      </c>
      <c r="EG13" s="2" t="s">
        <v>331</v>
      </c>
      <c r="EH13" s="1">
        <v>0</v>
      </c>
      <c r="EI13" s="2"/>
      <c r="EJ13" s="2"/>
      <c r="EK13" s="2"/>
      <c r="EL13" s="1">
        <v>0</v>
      </c>
      <c r="EM13" s="2"/>
      <c r="EN13" s="1">
        <v>0</v>
      </c>
      <c r="EO13" s="2"/>
      <c r="EP13" s="2" t="s">
        <v>299</v>
      </c>
      <c r="EQ13" s="2" t="s">
        <v>328</v>
      </c>
      <c r="ER13" s="1">
        <v>0</v>
      </c>
      <c r="ES13" s="2"/>
      <c r="ET13" s="2"/>
      <c r="EU13" s="2"/>
      <c r="EV13" s="2"/>
      <c r="EW13" s="2"/>
      <c r="EX13" s="2"/>
      <c r="EY13" s="2"/>
      <c r="EZ13" s="2"/>
      <c r="FA13" s="1">
        <v>0</v>
      </c>
      <c r="FB13" s="2"/>
      <c r="FC13" s="2"/>
      <c r="FD13" s="2"/>
      <c r="FE13" s="2" t="s">
        <v>393</v>
      </c>
      <c r="FF13" s="2" t="s">
        <v>351</v>
      </c>
      <c r="FG13" s="2"/>
      <c r="FH13" s="2"/>
      <c r="FI13" s="1">
        <v>-1</v>
      </c>
      <c r="FJ13" s="1">
        <v>-1</v>
      </c>
      <c r="FK13" s="1">
        <v>-1</v>
      </c>
      <c r="FL13" s="1">
        <v>-1</v>
      </c>
      <c r="FM13" s="1">
        <v>-1</v>
      </c>
      <c r="FN13" s="1">
        <v>-1</v>
      </c>
      <c r="FO13" s="1">
        <v>-1</v>
      </c>
      <c r="FP13" s="1">
        <v>-1</v>
      </c>
      <c r="FQ13" s="1">
        <v>-1</v>
      </c>
      <c r="FR13" s="1">
        <v>-1</v>
      </c>
      <c r="FS13" s="1">
        <v>-1</v>
      </c>
      <c r="FT13" s="1">
        <v>-1</v>
      </c>
      <c r="FU13" s="1">
        <v>-1</v>
      </c>
      <c r="FV13" s="1">
        <v>-1</v>
      </c>
      <c r="FW13" s="1">
        <v>-1</v>
      </c>
      <c r="FX13" s="1">
        <v>-15</v>
      </c>
      <c r="FY13" s="3"/>
      <c r="FZ13" s="3"/>
      <c r="GA13" s="2"/>
      <c r="GB13" s="2" t="s">
        <v>320</v>
      </c>
      <c r="GC13" s="2" t="s">
        <v>277</v>
      </c>
      <c r="GD13" s="1">
        <v>15</v>
      </c>
      <c r="GE13" s="1">
        <v>15</v>
      </c>
      <c r="GF13" s="1">
        <v>59</v>
      </c>
      <c r="GG13" s="1">
        <v>39</v>
      </c>
      <c r="GH13" s="4"/>
    </row>
    <row r="14" spans="1:190" x14ac:dyDescent="0.25">
      <c r="A14" s="1">
        <v>146</v>
      </c>
      <c r="B14" s="2" t="s">
        <v>321</v>
      </c>
      <c r="C14" s="2" t="s">
        <v>353</v>
      </c>
      <c r="D14" s="2" t="s">
        <v>280</v>
      </c>
      <c r="E14" s="2" t="s">
        <v>281</v>
      </c>
      <c r="F14" s="2" t="s">
        <v>282</v>
      </c>
      <c r="G14" s="2" t="s">
        <v>282</v>
      </c>
      <c r="H14" s="2" t="s">
        <v>282</v>
      </c>
      <c r="I14" s="2" t="s">
        <v>282</v>
      </c>
      <c r="J14" s="2" t="s">
        <v>281</v>
      </c>
      <c r="K14" s="2" t="s">
        <v>281</v>
      </c>
      <c r="L14" s="2" t="s">
        <v>281</v>
      </c>
      <c r="M14" s="2" t="s">
        <v>282</v>
      </c>
      <c r="N14" s="1">
        <v>0</v>
      </c>
      <c r="O14" s="2"/>
      <c r="P14" s="2"/>
      <c r="Q14" s="2" t="s">
        <v>337</v>
      </c>
      <c r="R14" s="2"/>
      <c r="S14" s="12" t="s">
        <v>395</v>
      </c>
      <c r="T14" s="2"/>
      <c r="U14" s="2"/>
      <c r="V14" s="1"/>
      <c r="W14" s="2"/>
      <c r="X14" s="2"/>
      <c r="Y14" s="2"/>
      <c r="Z14" s="2"/>
      <c r="AA14" s="1"/>
      <c r="AB14" s="2"/>
      <c r="AC14" s="2"/>
      <c r="AD14" s="2"/>
      <c r="AE14" s="2"/>
      <c r="AF14" s="1"/>
      <c r="AG14" s="2"/>
      <c r="AH14" s="2"/>
      <c r="AI14" s="1"/>
      <c r="AJ14" s="2"/>
      <c r="AK14" s="2"/>
      <c r="AL14" s="2"/>
      <c r="AM14" s="1"/>
      <c r="AN14" s="2"/>
      <c r="AO14" s="2"/>
      <c r="AP14" s="2"/>
      <c r="AQ14" s="2"/>
      <c r="AR14" s="1"/>
      <c r="AS14" s="2"/>
      <c r="AT14" s="2"/>
      <c r="AU14" s="2"/>
      <c r="AV14" s="2"/>
      <c r="AW14" s="1"/>
      <c r="AX14" s="2"/>
      <c r="AY14" s="2"/>
      <c r="AZ14" s="1"/>
      <c r="BA14" s="2"/>
      <c r="BB14" s="2"/>
      <c r="BC14" s="2"/>
      <c r="BD14" s="2"/>
      <c r="BE14" s="1"/>
      <c r="BF14" s="2"/>
      <c r="BG14" s="2"/>
      <c r="BH14" s="2"/>
      <c r="BI14" s="2"/>
      <c r="BJ14" s="1"/>
      <c r="BK14" s="2"/>
      <c r="BL14" s="2"/>
      <c r="BM14" s="1"/>
      <c r="BN14" s="2"/>
      <c r="BO14" s="2"/>
      <c r="BP14" s="1"/>
      <c r="BQ14" s="2"/>
      <c r="BR14" s="2"/>
      <c r="BS14" s="2"/>
      <c r="BT14" s="1"/>
      <c r="BU14" s="2"/>
      <c r="BV14" s="2"/>
      <c r="BW14" s="2"/>
      <c r="BX14" s="2"/>
      <c r="BY14" s="1"/>
      <c r="BZ14" s="2"/>
      <c r="CA14" s="2"/>
      <c r="CB14" s="1"/>
      <c r="CC14" s="2"/>
      <c r="CD14" s="2"/>
      <c r="CE14" s="1"/>
      <c r="CF14" s="2"/>
      <c r="CG14" s="2"/>
      <c r="CH14" s="2"/>
      <c r="CI14" s="2"/>
      <c r="CJ14" s="1"/>
      <c r="CK14" s="2"/>
      <c r="CL14" s="2"/>
      <c r="CM14" s="2"/>
      <c r="CN14" s="2"/>
      <c r="CO14" s="1"/>
      <c r="CP14" s="2"/>
      <c r="CQ14" s="2"/>
      <c r="CR14" s="1"/>
      <c r="CS14" s="2"/>
      <c r="CT14" s="2"/>
      <c r="CU14" s="1"/>
      <c r="CV14" s="2"/>
      <c r="CW14" s="2"/>
      <c r="CX14" s="2"/>
      <c r="CY14" s="2"/>
      <c r="CZ14" s="1"/>
      <c r="DA14" s="2"/>
      <c r="DB14" s="2"/>
      <c r="DC14" s="2"/>
      <c r="DD14" s="2"/>
      <c r="DE14" s="1"/>
      <c r="DF14" s="2"/>
      <c r="DG14" s="2"/>
      <c r="DH14" s="1"/>
      <c r="DI14" s="2"/>
      <c r="DJ14" s="2"/>
      <c r="DK14" s="1"/>
      <c r="DL14" s="2"/>
      <c r="DM14" s="2"/>
      <c r="DN14" s="2"/>
      <c r="DO14" s="2"/>
      <c r="DP14" s="1"/>
      <c r="DQ14" s="2"/>
      <c r="DR14" s="2"/>
      <c r="DS14" s="2"/>
      <c r="DT14" s="2"/>
      <c r="DU14" s="1"/>
      <c r="DV14" s="2"/>
      <c r="DW14" s="2"/>
      <c r="DX14" s="2"/>
      <c r="DY14" s="1"/>
      <c r="DZ14" s="2"/>
      <c r="EA14" s="2"/>
      <c r="EB14" s="2"/>
      <c r="EC14" s="1"/>
      <c r="ED14" s="2"/>
      <c r="EE14" s="2"/>
      <c r="EF14" s="2"/>
      <c r="EG14" s="2"/>
      <c r="EH14" s="1"/>
      <c r="EI14" s="2"/>
      <c r="EJ14" s="2"/>
      <c r="EK14" s="2"/>
      <c r="EL14" s="1"/>
      <c r="EM14" s="2"/>
      <c r="EN14" s="1"/>
      <c r="EO14" s="2"/>
      <c r="EP14" s="2"/>
      <c r="EQ14" s="2"/>
      <c r="ER14" s="1"/>
      <c r="ES14" s="2"/>
      <c r="ET14" s="2"/>
      <c r="EU14" s="2"/>
      <c r="EV14" s="2"/>
      <c r="EW14" s="2"/>
      <c r="EX14" s="2"/>
      <c r="EY14" s="2"/>
      <c r="EZ14" s="2"/>
      <c r="FA14" s="1"/>
      <c r="FB14" s="2"/>
      <c r="FC14" s="2"/>
      <c r="FD14" s="2"/>
      <c r="FE14" s="2" t="s">
        <v>316</v>
      </c>
      <c r="FF14" s="2"/>
      <c r="FG14" s="2"/>
      <c r="FH14" s="2"/>
      <c r="FI14" s="1">
        <v>-1</v>
      </c>
      <c r="FJ14" s="1">
        <v>-1</v>
      </c>
      <c r="FK14" s="1">
        <v>-1</v>
      </c>
      <c r="FL14" s="1">
        <v>-1</v>
      </c>
      <c r="FM14" s="1">
        <v>-1</v>
      </c>
      <c r="FN14" s="1"/>
      <c r="FO14" s="1"/>
      <c r="FP14" s="1"/>
      <c r="FQ14" s="1"/>
      <c r="FR14" s="1"/>
      <c r="FS14" s="1"/>
      <c r="FT14" s="1"/>
      <c r="FU14" s="1"/>
      <c r="FV14" s="1"/>
      <c r="FW14" s="1"/>
      <c r="FX14" s="1">
        <v>-5</v>
      </c>
      <c r="FY14" s="3"/>
      <c r="FZ14" s="3"/>
      <c r="GA14" s="2"/>
      <c r="GB14" s="2" t="s">
        <v>277</v>
      </c>
      <c r="GC14" s="2" t="s">
        <v>277</v>
      </c>
      <c r="GD14" s="1">
        <v>5</v>
      </c>
      <c r="GE14" s="1">
        <v>5</v>
      </c>
      <c r="GF14" s="1">
        <v>14</v>
      </c>
      <c r="GG14" s="1">
        <v>1</v>
      </c>
      <c r="GH14" s="4"/>
    </row>
    <row r="15" spans="1:190" x14ac:dyDescent="0.25">
      <c r="A15" s="1">
        <v>147</v>
      </c>
      <c r="B15" s="2" t="s">
        <v>376</v>
      </c>
      <c r="C15" s="2" t="s">
        <v>353</v>
      </c>
      <c r="D15" s="2" t="s">
        <v>377</v>
      </c>
      <c r="E15" s="2" t="s">
        <v>281</v>
      </c>
      <c r="F15" s="2" t="s">
        <v>282</v>
      </c>
      <c r="G15" s="2" t="s">
        <v>281</v>
      </c>
      <c r="H15" s="2" t="s">
        <v>282</v>
      </c>
      <c r="I15" s="2" t="s">
        <v>282</v>
      </c>
      <c r="J15" s="2" t="s">
        <v>281</v>
      </c>
      <c r="K15" s="2" t="s">
        <v>282</v>
      </c>
      <c r="L15" s="2" t="s">
        <v>282</v>
      </c>
      <c r="M15" s="2" t="s">
        <v>282</v>
      </c>
      <c r="N15" s="1">
        <v>1</v>
      </c>
      <c r="O15" s="2" t="s">
        <v>402</v>
      </c>
      <c r="P15" s="2"/>
      <c r="Q15" s="2" t="s">
        <v>337</v>
      </c>
      <c r="R15" s="2"/>
      <c r="S15" s="2" t="s">
        <v>403</v>
      </c>
      <c r="T15" s="2"/>
      <c r="U15" s="2"/>
      <c r="V15" s="1">
        <v>1</v>
      </c>
      <c r="W15" s="2" t="s">
        <v>374</v>
      </c>
      <c r="X15" s="2"/>
      <c r="Y15" s="2" t="s">
        <v>303</v>
      </c>
      <c r="Z15" s="2" t="s">
        <v>331</v>
      </c>
      <c r="AA15" s="1">
        <v>0</v>
      </c>
      <c r="AB15" s="2"/>
      <c r="AC15" s="2"/>
      <c r="AD15" s="2" t="s">
        <v>298</v>
      </c>
      <c r="AE15" s="2" t="s">
        <v>331</v>
      </c>
      <c r="AF15" s="1">
        <v>0</v>
      </c>
      <c r="AG15" s="2"/>
      <c r="AH15" s="2"/>
      <c r="AI15" s="1">
        <v>1</v>
      </c>
      <c r="AJ15" s="2" t="s">
        <v>404</v>
      </c>
      <c r="AK15" s="2"/>
      <c r="AL15" s="2" t="s">
        <v>299</v>
      </c>
      <c r="AM15" s="1">
        <v>1</v>
      </c>
      <c r="AN15" s="2" t="s">
        <v>405</v>
      </c>
      <c r="AO15" s="2"/>
      <c r="AP15" s="2" t="s">
        <v>294</v>
      </c>
      <c r="AQ15" s="2" t="s">
        <v>297</v>
      </c>
      <c r="AR15" s="1">
        <v>1</v>
      </c>
      <c r="AS15" s="2" t="s">
        <v>287</v>
      </c>
      <c r="AT15" s="2"/>
      <c r="AU15" s="2" t="s">
        <v>288</v>
      </c>
      <c r="AV15" s="2" t="s">
        <v>339</v>
      </c>
      <c r="AW15" s="1">
        <v>1</v>
      </c>
      <c r="AX15" s="2" t="s">
        <v>287</v>
      </c>
      <c r="AY15" s="2"/>
      <c r="AZ15" s="1">
        <v>1</v>
      </c>
      <c r="BA15" s="2" t="s">
        <v>406</v>
      </c>
      <c r="BB15" s="2" t="s">
        <v>299</v>
      </c>
      <c r="BC15" s="2" t="s">
        <v>294</v>
      </c>
      <c r="BD15" s="2" t="s">
        <v>297</v>
      </c>
      <c r="BE15" s="1">
        <v>1</v>
      </c>
      <c r="BF15" s="2" t="s">
        <v>339</v>
      </c>
      <c r="BG15" s="2"/>
      <c r="BH15" s="2" t="s">
        <v>324</v>
      </c>
      <c r="BI15" s="2" t="s">
        <v>297</v>
      </c>
      <c r="BJ15" s="1">
        <v>1</v>
      </c>
      <c r="BK15" s="2" t="s">
        <v>339</v>
      </c>
      <c r="BL15" s="2"/>
      <c r="BM15" s="1">
        <v>1</v>
      </c>
      <c r="BN15" s="2" t="s">
        <v>407</v>
      </c>
      <c r="BO15" s="2" t="s">
        <v>296</v>
      </c>
      <c r="BP15" s="1">
        <v>0</v>
      </c>
      <c r="BQ15" s="2"/>
      <c r="BR15" s="2" t="s">
        <v>301</v>
      </c>
      <c r="BS15" s="2" t="s">
        <v>297</v>
      </c>
      <c r="BT15" s="1">
        <v>1</v>
      </c>
      <c r="BU15" s="2" t="s">
        <v>406</v>
      </c>
      <c r="BV15" s="2"/>
      <c r="BW15" s="2" t="s">
        <v>324</v>
      </c>
      <c r="BX15" s="2" t="s">
        <v>297</v>
      </c>
      <c r="BY15" s="1">
        <v>1</v>
      </c>
      <c r="BZ15" s="2" t="s">
        <v>302</v>
      </c>
      <c r="CA15" s="2"/>
      <c r="CB15" s="1">
        <v>1</v>
      </c>
      <c r="CC15" s="2" t="s">
        <v>408</v>
      </c>
      <c r="CD15" s="2" t="s">
        <v>299</v>
      </c>
      <c r="CE15" s="1">
        <v>1</v>
      </c>
      <c r="CF15" s="2" t="s">
        <v>409</v>
      </c>
      <c r="CG15" s="2"/>
      <c r="CH15" s="2" t="s">
        <v>294</v>
      </c>
      <c r="CI15" s="2" t="s">
        <v>297</v>
      </c>
      <c r="CJ15" s="1">
        <v>1</v>
      </c>
      <c r="CK15" s="2" t="s">
        <v>302</v>
      </c>
      <c r="CL15" s="2"/>
      <c r="CM15" s="2" t="s">
        <v>324</v>
      </c>
      <c r="CN15" s="2" t="s">
        <v>297</v>
      </c>
      <c r="CO15" s="1">
        <v>1</v>
      </c>
      <c r="CP15" s="2" t="s">
        <v>387</v>
      </c>
      <c r="CQ15" s="2"/>
      <c r="CR15" s="1">
        <v>1</v>
      </c>
      <c r="CS15" s="2" t="s">
        <v>406</v>
      </c>
      <c r="CT15" s="2" t="s">
        <v>299</v>
      </c>
      <c r="CU15" s="1">
        <v>1</v>
      </c>
      <c r="CV15" s="2" t="s">
        <v>410</v>
      </c>
      <c r="CW15" s="2"/>
      <c r="CX15" s="2" t="s">
        <v>294</v>
      </c>
      <c r="CY15" s="2" t="s">
        <v>302</v>
      </c>
      <c r="CZ15" s="1">
        <v>1</v>
      </c>
      <c r="DA15" s="2"/>
      <c r="DB15" s="2" t="s">
        <v>387</v>
      </c>
      <c r="DC15" s="2" t="s">
        <v>305</v>
      </c>
      <c r="DD15" s="2" t="s">
        <v>302</v>
      </c>
      <c r="DE15" s="1">
        <v>1</v>
      </c>
      <c r="DF15" s="2" t="s">
        <v>387</v>
      </c>
      <c r="DG15" s="2"/>
      <c r="DH15" s="1">
        <v>1</v>
      </c>
      <c r="DI15" s="2" t="s">
        <v>406</v>
      </c>
      <c r="DJ15" s="2" t="s">
        <v>299</v>
      </c>
      <c r="DK15" s="1">
        <v>1</v>
      </c>
      <c r="DL15" s="2" t="s">
        <v>411</v>
      </c>
      <c r="DM15" s="2"/>
      <c r="DN15" s="2" t="s">
        <v>303</v>
      </c>
      <c r="DO15" s="2" t="s">
        <v>331</v>
      </c>
      <c r="DP15" s="1">
        <v>1</v>
      </c>
      <c r="DQ15" s="2" t="s">
        <v>406</v>
      </c>
      <c r="DR15" s="2"/>
      <c r="DS15" s="2" t="s">
        <v>298</v>
      </c>
      <c r="DT15" s="2" t="s">
        <v>331</v>
      </c>
      <c r="DU15" s="1">
        <v>1</v>
      </c>
      <c r="DV15" s="2" t="s">
        <v>302</v>
      </c>
      <c r="DW15" s="2"/>
      <c r="DX15" s="2" t="s">
        <v>412</v>
      </c>
      <c r="DY15" s="1">
        <v>1</v>
      </c>
      <c r="DZ15" s="2" t="s">
        <v>374</v>
      </c>
      <c r="EA15" s="2" t="s">
        <v>303</v>
      </c>
      <c r="EB15" s="2" t="s">
        <v>331</v>
      </c>
      <c r="EC15" s="1">
        <v>1</v>
      </c>
      <c r="ED15" s="2" t="s">
        <v>302</v>
      </c>
      <c r="EE15" s="2"/>
      <c r="EF15" s="2" t="s">
        <v>298</v>
      </c>
      <c r="EG15" s="2" t="s">
        <v>331</v>
      </c>
      <c r="EH15" s="1">
        <v>1</v>
      </c>
      <c r="EI15" s="2" t="s">
        <v>302</v>
      </c>
      <c r="EJ15" s="2"/>
      <c r="EK15" s="2" t="s">
        <v>413</v>
      </c>
      <c r="EL15" s="1">
        <v>1</v>
      </c>
      <c r="EM15" s="2" t="s">
        <v>406</v>
      </c>
      <c r="EN15" s="1">
        <v>1</v>
      </c>
      <c r="EO15" s="2" t="s">
        <v>406</v>
      </c>
      <c r="EP15" s="2" t="s">
        <v>299</v>
      </c>
      <c r="EQ15" s="2" t="s">
        <v>299</v>
      </c>
      <c r="ER15" s="1">
        <v>1</v>
      </c>
      <c r="ES15" s="2" t="s">
        <v>404</v>
      </c>
      <c r="ET15" s="2"/>
      <c r="EU15" s="2"/>
      <c r="EV15" s="2"/>
      <c r="EW15" s="2" t="s">
        <v>414</v>
      </c>
      <c r="EX15" s="2" t="s">
        <v>415</v>
      </c>
      <c r="EY15" s="2" t="s">
        <v>339</v>
      </c>
      <c r="EZ15" s="2" t="s">
        <v>416</v>
      </c>
      <c r="FA15" s="1">
        <v>2</v>
      </c>
      <c r="FB15" s="2" t="s">
        <v>417</v>
      </c>
      <c r="FC15" s="2" t="s">
        <v>418</v>
      </c>
      <c r="FD15" s="2"/>
      <c r="FE15" s="2" t="s">
        <v>350</v>
      </c>
      <c r="FF15" s="2" t="s">
        <v>317</v>
      </c>
      <c r="FG15" s="2" t="s">
        <v>419</v>
      </c>
      <c r="FH15" s="2" t="s">
        <v>420</v>
      </c>
      <c r="FI15" s="1">
        <v>-1</v>
      </c>
      <c r="FJ15" s="1">
        <v>-1</v>
      </c>
      <c r="FK15" s="1">
        <v>-1</v>
      </c>
      <c r="FL15" s="1">
        <v>-1</v>
      </c>
      <c r="FM15" s="1">
        <v>-1</v>
      </c>
      <c r="FN15" s="1">
        <v>-1</v>
      </c>
      <c r="FO15" s="1">
        <v>-1</v>
      </c>
      <c r="FP15" s="1">
        <v>-1</v>
      </c>
      <c r="FQ15" s="1">
        <v>-1</v>
      </c>
      <c r="FR15" s="1">
        <v>-1</v>
      </c>
      <c r="FS15" s="1">
        <v>-1</v>
      </c>
      <c r="FT15" s="1">
        <v>-1</v>
      </c>
      <c r="FU15" s="1">
        <v>-1</v>
      </c>
      <c r="FV15" s="1">
        <v>-1</v>
      </c>
      <c r="FW15" s="1">
        <v>-1</v>
      </c>
      <c r="FX15" s="1">
        <v>-15</v>
      </c>
      <c r="FY15" s="3"/>
      <c r="FZ15" s="3"/>
      <c r="GA15" s="2" t="s">
        <v>319</v>
      </c>
      <c r="GB15" s="2" t="s">
        <v>320</v>
      </c>
      <c r="GC15" s="2" t="s">
        <v>277</v>
      </c>
      <c r="GD15" s="1">
        <v>15</v>
      </c>
      <c r="GE15" s="1">
        <v>15</v>
      </c>
      <c r="GF15" s="1">
        <v>4</v>
      </c>
      <c r="GG15" s="1">
        <v>1</v>
      </c>
      <c r="GH15" s="4"/>
    </row>
    <row r="16" spans="1:190" x14ac:dyDescent="0.25">
      <c r="A16" s="1">
        <v>149</v>
      </c>
      <c r="B16" s="2" t="s">
        <v>421</v>
      </c>
      <c r="C16" s="2" t="s">
        <v>353</v>
      </c>
      <c r="D16" s="2" t="s">
        <v>422</v>
      </c>
      <c r="E16" s="2" t="s">
        <v>282</v>
      </c>
      <c r="F16" s="2" t="s">
        <v>281</v>
      </c>
      <c r="G16" s="2" t="s">
        <v>282</v>
      </c>
      <c r="H16" s="2" t="s">
        <v>282</v>
      </c>
      <c r="I16" s="2" t="s">
        <v>282</v>
      </c>
      <c r="J16" s="2" t="s">
        <v>281</v>
      </c>
      <c r="K16" s="2" t="s">
        <v>282</v>
      </c>
      <c r="L16" s="2" t="s">
        <v>282</v>
      </c>
      <c r="M16" s="2" t="s">
        <v>282</v>
      </c>
      <c r="N16" s="1">
        <v>0</v>
      </c>
      <c r="O16" s="2"/>
      <c r="P16" s="2"/>
      <c r="Q16" s="2" t="s">
        <v>423</v>
      </c>
      <c r="R16" s="2"/>
      <c r="S16" s="2"/>
      <c r="T16" s="2"/>
      <c r="U16" s="12" t="s">
        <v>424</v>
      </c>
      <c r="V16" s="1"/>
      <c r="W16" s="2"/>
      <c r="X16" s="2"/>
      <c r="Y16" s="2"/>
      <c r="Z16" s="2"/>
      <c r="AA16" s="1"/>
      <c r="AB16" s="2"/>
      <c r="AC16" s="2"/>
      <c r="AD16" s="2"/>
      <c r="AE16" s="2"/>
      <c r="AF16" s="1"/>
      <c r="AG16" s="2"/>
      <c r="AH16" s="2"/>
      <c r="AI16" s="1"/>
      <c r="AJ16" s="2"/>
      <c r="AK16" s="2"/>
      <c r="AL16" s="2"/>
      <c r="AM16" s="1"/>
      <c r="AN16" s="2"/>
      <c r="AO16" s="2"/>
      <c r="AP16" s="2"/>
      <c r="AQ16" s="2"/>
      <c r="AR16" s="1"/>
      <c r="AS16" s="2"/>
      <c r="AT16" s="2"/>
      <c r="AU16" s="2"/>
      <c r="AV16" s="2"/>
      <c r="AW16" s="1"/>
      <c r="AX16" s="2"/>
      <c r="AY16" s="2"/>
      <c r="AZ16" s="1"/>
      <c r="BA16" s="2"/>
      <c r="BB16" s="2"/>
      <c r="BC16" s="2"/>
      <c r="BD16" s="2"/>
      <c r="BE16" s="1"/>
      <c r="BF16" s="2"/>
      <c r="BG16" s="2"/>
      <c r="BH16" s="2"/>
      <c r="BI16" s="2"/>
      <c r="BJ16" s="1"/>
      <c r="BK16" s="2"/>
      <c r="BL16" s="2"/>
      <c r="BM16" s="1"/>
      <c r="BN16" s="2"/>
      <c r="BO16" s="2"/>
      <c r="BP16" s="1"/>
      <c r="BQ16" s="2"/>
      <c r="BR16" s="2"/>
      <c r="BS16" s="2"/>
      <c r="BT16" s="1"/>
      <c r="BU16" s="2"/>
      <c r="BV16" s="2"/>
      <c r="BW16" s="2"/>
      <c r="BX16" s="2"/>
      <c r="BY16" s="1"/>
      <c r="BZ16" s="2"/>
      <c r="CA16" s="2"/>
      <c r="CB16" s="1"/>
      <c r="CC16" s="2"/>
      <c r="CD16" s="2"/>
      <c r="CE16" s="1"/>
      <c r="CF16" s="2"/>
      <c r="CG16" s="2"/>
      <c r="CH16" s="2"/>
      <c r="CI16" s="2"/>
      <c r="CJ16" s="1"/>
      <c r="CK16" s="2"/>
      <c r="CL16" s="2"/>
      <c r="CM16" s="2"/>
      <c r="CN16" s="2"/>
      <c r="CO16" s="1"/>
      <c r="CP16" s="2"/>
      <c r="CQ16" s="2"/>
      <c r="CR16" s="1"/>
      <c r="CS16" s="2"/>
      <c r="CT16" s="2"/>
      <c r="CU16" s="1"/>
      <c r="CV16" s="2"/>
      <c r="CW16" s="2"/>
      <c r="CX16" s="2"/>
      <c r="CY16" s="2"/>
      <c r="CZ16" s="1"/>
      <c r="DA16" s="2"/>
      <c r="DB16" s="2"/>
      <c r="DC16" s="2"/>
      <c r="DD16" s="2"/>
      <c r="DE16" s="1"/>
      <c r="DF16" s="2"/>
      <c r="DG16" s="2"/>
      <c r="DH16" s="1"/>
      <c r="DI16" s="2"/>
      <c r="DJ16" s="2"/>
      <c r="DK16" s="1"/>
      <c r="DL16" s="2"/>
      <c r="DM16" s="2"/>
      <c r="DN16" s="2"/>
      <c r="DO16" s="2"/>
      <c r="DP16" s="1"/>
      <c r="DQ16" s="2"/>
      <c r="DR16" s="2"/>
      <c r="DS16" s="2"/>
      <c r="DT16" s="2"/>
      <c r="DU16" s="1"/>
      <c r="DV16" s="2"/>
      <c r="DW16" s="2"/>
      <c r="DX16" s="2"/>
      <c r="DY16" s="1"/>
      <c r="DZ16" s="2"/>
      <c r="EA16" s="2"/>
      <c r="EB16" s="2"/>
      <c r="EC16" s="1"/>
      <c r="ED16" s="2"/>
      <c r="EE16" s="2"/>
      <c r="EF16" s="2"/>
      <c r="EG16" s="2"/>
      <c r="EH16" s="1"/>
      <c r="EI16" s="2"/>
      <c r="EJ16" s="2"/>
      <c r="EK16" s="2"/>
      <c r="EL16" s="1"/>
      <c r="EM16" s="2"/>
      <c r="EN16" s="1"/>
      <c r="EO16" s="2"/>
      <c r="EP16" s="2"/>
      <c r="EQ16" s="2"/>
      <c r="ER16" s="1"/>
      <c r="ES16" s="2"/>
      <c r="ET16" s="2"/>
      <c r="EU16" s="2"/>
      <c r="EV16" s="2"/>
      <c r="EW16" s="2"/>
      <c r="EX16" s="2"/>
      <c r="EY16" s="2"/>
      <c r="EZ16" s="2"/>
      <c r="FA16" s="1"/>
      <c r="FB16" s="2"/>
      <c r="FC16" s="2"/>
      <c r="FD16" s="2"/>
      <c r="FE16" s="2" t="s">
        <v>425</v>
      </c>
      <c r="FF16" s="2"/>
      <c r="FG16" s="2"/>
      <c r="FH16" s="2"/>
      <c r="FI16" s="1">
        <v>-1</v>
      </c>
      <c r="FJ16" s="1">
        <v>-1</v>
      </c>
      <c r="FK16" s="1">
        <v>-1</v>
      </c>
      <c r="FL16" s="1">
        <v>-1</v>
      </c>
      <c r="FM16" s="1">
        <v>-1</v>
      </c>
      <c r="FN16" s="1"/>
      <c r="FO16" s="1"/>
      <c r="FP16" s="1"/>
      <c r="FQ16" s="1"/>
      <c r="FR16" s="1"/>
      <c r="FS16" s="1"/>
      <c r="FT16" s="1"/>
      <c r="FU16" s="1"/>
      <c r="FV16" s="1"/>
      <c r="FW16" s="1"/>
      <c r="FX16" s="1">
        <v>-5</v>
      </c>
      <c r="FY16" s="3"/>
      <c r="FZ16" s="3"/>
      <c r="GA16" s="2"/>
      <c r="GB16" s="2" t="s">
        <v>277</v>
      </c>
      <c r="GC16" s="2" t="s">
        <v>277</v>
      </c>
      <c r="GD16" s="1">
        <v>5</v>
      </c>
      <c r="GE16" s="1">
        <v>5</v>
      </c>
      <c r="GF16" s="1">
        <v>14</v>
      </c>
      <c r="GG16" s="1">
        <v>1</v>
      </c>
      <c r="GH16" s="4"/>
    </row>
    <row r="17" spans="1:190" x14ac:dyDescent="0.25">
      <c r="A17" s="1">
        <v>150</v>
      </c>
      <c r="B17" s="2" t="s">
        <v>421</v>
      </c>
      <c r="C17" s="2" t="s">
        <v>353</v>
      </c>
      <c r="D17" s="2" t="s">
        <v>320</v>
      </c>
      <c r="E17" s="2" t="s">
        <v>282</v>
      </c>
      <c r="F17" s="2" t="s">
        <v>282</v>
      </c>
      <c r="G17" s="2" t="s">
        <v>282</v>
      </c>
      <c r="H17" s="2" t="s">
        <v>282</v>
      </c>
      <c r="I17" s="2" t="s">
        <v>282</v>
      </c>
      <c r="J17" s="2" t="s">
        <v>281</v>
      </c>
      <c r="K17" s="2" t="s">
        <v>282</v>
      </c>
      <c r="L17" s="2" t="s">
        <v>282</v>
      </c>
      <c r="M17" s="2" t="s">
        <v>282</v>
      </c>
      <c r="N17" s="1">
        <v>1</v>
      </c>
      <c r="O17" s="2" t="s">
        <v>302</v>
      </c>
      <c r="P17" s="2"/>
      <c r="Q17" s="2" t="s">
        <v>423</v>
      </c>
      <c r="R17" s="2"/>
      <c r="S17" s="2"/>
      <c r="T17" s="2"/>
      <c r="U17" s="12" t="s">
        <v>424</v>
      </c>
      <c r="V17" s="1"/>
      <c r="W17" s="2"/>
      <c r="X17" s="2"/>
      <c r="Y17" s="2"/>
      <c r="Z17" s="2"/>
      <c r="AA17" s="1"/>
      <c r="AB17" s="2"/>
      <c r="AC17" s="2"/>
      <c r="AD17" s="2"/>
      <c r="AE17" s="2"/>
      <c r="AF17" s="1"/>
      <c r="AG17" s="2"/>
      <c r="AH17" s="2"/>
      <c r="AI17" s="1"/>
      <c r="AJ17" s="2"/>
      <c r="AK17" s="2"/>
      <c r="AL17" s="2"/>
      <c r="AM17" s="1"/>
      <c r="AN17" s="2"/>
      <c r="AO17" s="2"/>
      <c r="AP17" s="2"/>
      <c r="AQ17" s="2"/>
      <c r="AR17" s="1"/>
      <c r="AS17" s="2"/>
      <c r="AT17" s="2"/>
      <c r="AU17" s="2"/>
      <c r="AV17" s="2"/>
      <c r="AW17" s="1"/>
      <c r="AX17" s="2"/>
      <c r="AY17" s="2"/>
      <c r="AZ17" s="1"/>
      <c r="BA17" s="2"/>
      <c r="BB17" s="2"/>
      <c r="BC17" s="2"/>
      <c r="BD17" s="2"/>
      <c r="BE17" s="1"/>
      <c r="BF17" s="2"/>
      <c r="BG17" s="2"/>
      <c r="BH17" s="2"/>
      <c r="BI17" s="2"/>
      <c r="BJ17" s="1"/>
      <c r="BK17" s="2"/>
      <c r="BL17" s="2"/>
      <c r="BM17" s="1"/>
      <c r="BN17" s="2"/>
      <c r="BO17" s="2"/>
      <c r="BP17" s="1"/>
      <c r="BQ17" s="2"/>
      <c r="BR17" s="2"/>
      <c r="BS17" s="2"/>
      <c r="BT17" s="1"/>
      <c r="BU17" s="2"/>
      <c r="BV17" s="2"/>
      <c r="BW17" s="2"/>
      <c r="BX17" s="2"/>
      <c r="BY17" s="1"/>
      <c r="BZ17" s="2"/>
      <c r="CA17" s="2"/>
      <c r="CB17" s="1"/>
      <c r="CC17" s="2"/>
      <c r="CD17" s="2"/>
      <c r="CE17" s="1"/>
      <c r="CF17" s="2"/>
      <c r="CG17" s="2"/>
      <c r="CH17" s="2"/>
      <c r="CI17" s="2"/>
      <c r="CJ17" s="1"/>
      <c r="CK17" s="2"/>
      <c r="CL17" s="2"/>
      <c r="CM17" s="2"/>
      <c r="CN17" s="2"/>
      <c r="CO17" s="1"/>
      <c r="CP17" s="2"/>
      <c r="CQ17" s="2"/>
      <c r="CR17" s="1"/>
      <c r="CS17" s="2"/>
      <c r="CT17" s="2"/>
      <c r="CU17" s="1"/>
      <c r="CV17" s="2"/>
      <c r="CW17" s="2"/>
      <c r="CX17" s="2"/>
      <c r="CY17" s="2"/>
      <c r="CZ17" s="1"/>
      <c r="DA17" s="2"/>
      <c r="DB17" s="2"/>
      <c r="DC17" s="2"/>
      <c r="DD17" s="2"/>
      <c r="DE17" s="1"/>
      <c r="DF17" s="2"/>
      <c r="DG17" s="2"/>
      <c r="DH17" s="1"/>
      <c r="DI17" s="2"/>
      <c r="DJ17" s="2"/>
      <c r="DK17" s="1"/>
      <c r="DL17" s="2"/>
      <c r="DM17" s="2"/>
      <c r="DN17" s="2"/>
      <c r="DO17" s="2"/>
      <c r="DP17" s="1"/>
      <c r="DQ17" s="2"/>
      <c r="DR17" s="2"/>
      <c r="DS17" s="2"/>
      <c r="DT17" s="2"/>
      <c r="DU17" s="1"/>
      <c r="DV17" s="2"/>
      <c r="DW17" s="2"/>
      <c r="DX17" s="2"/>
      <c r="DY17" s="1"/>
      <c r="DZ17" s="2"/>
      <c r="EA17" s="2"/>
      <c r="EB17" s="2"/>
      <c r="EC17" s="1"/>
      <c r="ED17" s="2"/>
      <c r="EE17" s="2"/>
      <c r="EF17" s="2"/>
      <c r="EG17" s="2"/>
      <c r="EH17" s="1"/>
      <c r="EI17" s="2"/>
      <c r="EJ17" s="2"/>
      <c r="EK17" s="2"/>
      <c r="EL17" s="1"/>
      <c r="EM17" s="2"/>
      <c r="EN17" s="1"/>
      <c r="EO17" s="2"/>
      <c r="EP17" s="2"/>
      <c r="EQ17" s="2"/>
      <c r="ER17" s="1"/>
      <c r="ES17" s="2"/>
      <c r="ET17" s="2"/>
      <c r="EU17" s="2"/>
      <c r="EV17" s="2"/>
      <c r="EW17" s="2"/>
      <c r="EX17" s="2"/>
      <c r="EY17" s="2"/>
      <c r="EZ17" s="2"/>
      <c r="FA17" s="1"/>
      <c r="FB17" s="2"/>
      <c r="FC17" s="2"/>
      <c r="FD17" s="2"/>
      <c r="FE17" s="2" t="s">
        <v>346</v>
      </c>
      <c r="FF17" s="2"/>
      <c r="FG17" s="2"/>
      <c r="FH17" s="2"/>
      <c r="FI17" s="1">
        <v>-1</v>
      </c>
      <c r="FJ17" s="1">
        <v>-1</v>
      </c>
      <c r="FK17" s="1">
        <v>-1</v>
      </c>
      <c r="FL17" s="1">
        <v>-1</v>
      </c>
      <c r="FM17" s="1">
        <v>-1</v>
      </c>
      <c r="FN17" s="1"/>
      <c r="FO17" s="1"/>
      <c r="FP17" s="1"/>
      <c r="FQ17" s="1"/>
      <c r="FR17" s="1"/>
      <c r="FS17" s="1"/>
      <c r="FT17" s="1"/>
      <c r="FU17" s="1"/>
      <c r="FV17" s="1"/>
      <c r="FW17" s="1"/>
      <c r="FX17" s="1">
        <v>-5</v>
      </c>
      <c r="FY17" s="3"/>
      <c r="FZ17" s="3"/>
      <c r="GA17" s="2"/>
      <c r="GB17" s="2" t="s">
        <v>277</v>
      </c>
      <c r="GC17" s="2" t="s">
        <v>277</v>
      </c>
      <c r="GD17" s="1">
        <v>5</v>
      </c>
      <c r="GE17" s="1">
        <v>5</v>
      </c>
      <c r="GF17" s="1">
        <v>0</v>
      </c>
      <c r="GG17" s="1">
        <v>0</v>
      </c>
      <c r="GH17" s="4"/>
    </row>
    <row r="18" spans="1:190" x14ac:dyDescent="0.25">
      <c r="A18" s="1">
        <v>151</v>
      </c>
      <c r="B18" s="2" t="s">
        <v>421</v>
      </c>
      <c r="C18" s="2" t="s">
        <v>353</v>
      </c>
      <c r="D18" s="2" t="s">
        <v>320</v>
      </c>
      <c r="E18" s="2" t="s">
        <v>282</v>
      </c>
      <c r="F18" s="2" t="s">
        <v>282</v>
      </c>
      <c r="G18" s="2" t="s">
        <v>282</v>
      </c>
      <c r="H18" s="2" t="s">
        <v>282</v>
      </c>
      <c r="I18" s="2" t="s">
        <v>282</v>
      </c>
      <c r="J18" s="2" t="s">
        <v>281</v>
      </c>
      <c r="K18" s="2" t="s">
        <v>282</v>
      </c>
      <c r="L18" s="2" t="s">
        <v>282</v>
      </c>
      <c r="M18" s="2" t="s">
        <v>282</v>
      </c>
      <c r="N18" s="1">
        <v>0</v>
      </c>
      <c r="O18" s="2"/>
      <c r="P18" s="2"/>
      <c r="Q18" s="2" t="s">
        <v>423</v>
      </c>
      <c r="R18" s="2"/>
      <c r="S18" s="2"/>
      <c r="T18" s="2"/>
      <c r="U18" s="12" t="s">
        <v>424</v>
      </c>
      <c r="V18" s="1">
        <v>1</v>
      </c>
      <c r="W18" s="2" t="s">
        <v>365</v>
      </c>
      <c r="X18" s="2"/>
      <c r="Y18" s="2" t="s">
        <v>310</v>
      </c>
      <c r="Z18" s="2" t="s">
        <v>297</v>
      </c>
      <c r="AA18" s="1">
        <v>1</v>
      </c>
      <c r="AB18" s="2" t="s">
        <v>302</v>
      </c>
      <c r="AC18" s="2"/>
      <c r="AD18" s="2" t="s">
        <v>305</v>
      </c>
      <c r="AE18" s="2" t="s">
        <v>302</v>
      </c>
      <c r="AF18" s="1">
        <v>1</v>
      </c>
      <c r="AG18" s="2" t="s">
        <v>287</v>
      </c>
      <c r="AH18" s="2"/>
      <c r="AI18" s="1">
        <v>1</v>
      </c>
      <c r="AJ18" s="2" t="s">
        <v>426</v>
      </c>
      <c r="AK18" s="2"/>
      <c r="AL18" s="2" t="s">
        <v>296</v>
      </c>
      <c r="AM18" s="1">
        <v>0</v>
      </c>
      <c r="AN18" s="2"/>
      <c r="AO18" s="2"/>
      <c r="AP18" s="2"/>
      <c r="AQ18" s="2"/>
      <c r="AR18" s="1">
        <v>0</v>
      </c>
      <c r="AS18" s="2"/>
      <c r="AT18" s="2"/>
      <c r="AU18" s="2"/>
      <c r="AV18" s="2"/>
      <c r="AW18" s="1">
        <v>0</v>
      </c>
      <c r="AX18" s="2"/>
      <c r="AY18" s="2"/>
      <c r="AZ18" s="1">
        <v>0</v>
      </c>
      <c r="BA18" s="2"/>
      <c r="BB18" s="2"/>
      <c r="BC18" s="2" t="s">
        <v>303</v>
      </c>
      <c r="BD18" s="2" t="s">
        <v>331</v>
      </c>
      <c r="BE18" s="1">
        <v>0</v>
      </c>
      <c r="BF18" s="2"/>
      <c r="BG18" s="2"/>
      <c r="BH18" s="2" t="s">
        <v>288</v>
      </c>
      <c r="BI18" s="2" t="s">
        <v>302</v>
      </c>
      <c r="BJ18" s="1">
        <v>1</v>
      </c>
      <c r="BK18" s="2" t="s">
        <v>302</v>
      </c>
      <c r="BL18" s="2"/>
      <c r="BM18" s="1">
        <v>0</v>
      </c>
      <c r="BN18" s="2"/>
      <c r="BO18" s="2" t="s">
        <v>296</v>
      </c>
      <c r="BP18" s="1">
        <v>1</v>
      </c>
      <c r="BQ18" s="2" t="s">
        <v>427</v>
      </c>
      <c r="BR18" s="2" t="s">
        <v>303</v>
      </c>
      <c r="BS18" s="2" t="s">
        <v>297</v>
      </c>
      <c r="BT18" s="1">
        <v>1</v>
      </c>
      <c r="BU18" s="2" t="s">
        <v>302</v>
      </c>
      <c r="BV18" s="2"/>
      <c r="BW18" s="2" t="s">
        <v>288</v>
      </c>
      <c r="BX18" s="2" t="s">
        <v>302</v>
      </c>
      <c r="BY18" s="1">
        <v>0</v>
      </c>
      <c r="BZ18" s="2"/>
      <c r="CA18" s="2"/>
      <c r="CB18" s="1">
        <v>0</v>
      </c>
      <c r="CC18" s="2"/>
      <c r="CD18" s="2" t="s">
        <v>296</v>
      </c>
      <c r="CE18" s="1">
        <v>1</v>
      </c>
      <c r="CF18" s="2" t="s">
        <v>428</v>
      </c>
      <c r="CG18" s="2"/>
      <c r="CH18" s="2" t="s">
        <v>294</v>
      </c>
      <c r="CI18" s="2" t="s">
        <v>297</v>
      </c>
      <c r="CJ18" s="1">
        <v>1</v>
      </c>
      <c r="CK18" s="2"/>
      <c r="CL18" s="2" t="s">
        <v>429</v>
      </c>
      <c r="CM18" s="2" t="s">
        <v>288</v>
      </c>
      <c r="CN18" s="2" t="s">
        <v>302</v>
      </c>
      <c r="CO18" s="1">
        <v>1</v>
      </c>
      <c r="CP18" s="2" t="s">
        <v>387</v>
      </c>
      <c r="CQ18" s="2"/>
      <c r="CR18" s="1">
        <v>0</v>
      </c>
      <c r="CS18" s="2"/>
      <c r="CT18" s="2" t="s">
        <v>299</v>
      </c>
      <c r="CU18" s="1">
        <v>0</v>
      </c>
      <c r="CV18" s="2"/>
      <c r="CW18" s="2"/>
      <c r="CX18" s="2" t="s">
        <v>301</v>
      </c>
      <c r="CY18" s="2" t="s">
        <v>297</v>
      </c>
      <c r="CZ18" s="1">
        <v>2</v>
      </c>
      <c r="DA18" s="2" t="s">
        <v>387</v>
      </c>
      <c r="DB18" s="2" t="s">
        <v>302</v>
      </c>
      <c r="DC18" s="2" t="s">
        <v>324</v>
      </c>
      <c r="DD18" s="2" t="s">
        <v>297</v>
      </c>
      <c r="DE18" s="1">
        <v>0</v>
      </c>
      <c r="DF18" s="2"/>
      <c r="DG18" s="2"/>
      <c r="DH18" s="1">
        <v>0</v>
      </c>
      <c r="DI18" s="2"/>
      <c r="DJ18" s="2" t="s">
        <v>328</v>
      </c>
      <c r="DK18" s="1">
        <v>1</v>
      </c>
      <c r="DL18" s="2" t="s">
        <v>430</v>
      </c>
      <c r="DM18" s="2"/>
      <c r="DN18" s="2" t="s">
        <v>303</v>
      </c>
      <c r="DO18" s="2" t="s">
        <v>331</v>
      </c>
      <c r="DP18" s="1">
        <v>0</v>
      </c>
      <c r="DQ18" s="2"/>
      <c r="DR18" s="2"/>
      <c r="DS18" s="2" t="s">
        <v>298</v>
      </c>
      <c r="DT18" s="2" t="s">
        <v>331</v>
      </c>
      <c r="DU18" s="1">
        <v>0</v>
      </c>
      <c r="DV18" s="2"/>
      <c r="DW18" s="2"/>
      <c r="DX18" s="2"/>
      <c r="DY18" s="1">
        <v>1</v>
      </c>
      <c r="DZ18" s="2" t="s">
        <v>345</v>
      </c>
      <c r="EA18" s="2" t="s">
        <v>301</v>
      </c>
      <c r="EB18" s="2" t="s">
        <v>302</v>
      </c>
      <c r="EC18" s="1">
        <v>2</v>
      </c>
      <c r="ED18" s="2" t="s">
        <v>297</v>
      </c>
      <c r="EE18" s="2" t="s">
        <v>387</v>
      </c>
      <c r="EF18" s="2" t="s">
        <v>288</v>
      </c>
      <c r="EG18" s="2" t="s">
        <v>331</v>
      </c>
      <c r="EH18" s="1">
        <v>0</v>
      </c>
      <c r="EI18" s="2"/>
      <c r="EJ18" s="2"/>
      <c r="EK18" s="2"/>
      <c r="EL18" s="1">
        <v>0</v>
      </c>
      <c r="EM18" s="2"/>
      <c r="EN18" s="1">
        <v>0</v>
      </c>
      <c r="EO18" s="2"/>
      <c r="EP18" s="2" t="s">
        <v>296</v>
      </c>
      <c r="EQ18" s="2" t="s">
        <v>292</v>
      </c>
      <c r="ER18" s="1">
        <v>1</v>
      </c>
      <c r="ES18" s="2" t="s">
        <v>404</v>
      </c>
      <c r="ET18" s="2"/>
      <c r="EU18" s="2"/>
      <c r="EV18" s="2"/>
      <c r="EW18" s="2" t="s">
        <v>431</v>
      </c>
      <c r="EX18" s="2" t="s">
        <v>432</v>
      </c>
      <c r="EY18" s="2" t="s">
        <v>433</v>
      </c>
      <c r="EZ18" s="2" t="s">
        <v>432</v>
      </c>
      <c r="FA18" s="1">
        <v>0</v>
      </c>
      <c r="FB18" s="2"/>
      <c r="FC18" s="2"/>
      <c r="FD18" s="2"/>
      <c r="FE18" s="2" t="s">
        <v>346</v>
      </c>
      <c r="FF18" s="2" t="s">
        <v>335</v>
      </c>
      <c r="FG18" s="2"/>
      <c r="FH18" s="2"/>
      <c r="FI18" s="1">
        <v>-1</v>
      </c>
      <c r="FJ18" s="1">
        <v>-1</v>
      </c>
      <c r="FK18" s="1">
        <v>-1</v>
      </c>
      <c r="FL18" s="1">
        <v>-1</v>
      </c>
      <c r="FM18" s="1">
        <v>-1</v>
      </c>
      <c r="FN18" s="1">
        <v>-1</v>
      </c>
      <c r="FO18" s="1">
        <v>-1</v>
      </c>
      <c r="FP18" s="1">
        <v>-1</v>
      </c>
      <c r="FQ18" s="1">
        <v>-1</v>
      </c>
      <c r="FR18" s="1">
        <v>-1</v>
      </c>
      <c r="FS18" s="1">
        <v>-1</v>
      </c>
      <c r="FT18" s="1">
        <v>-1</v>
      </c>
      <c r="FU18" s="1">
        <v>-1</v>
      </c>
      <c r="FV18" s="1">
        <v>-1</v>
      </c>
      <c r="FW18" s="1">
        <v>-1</v>
      </c>
      <c r="FX18" s="1">
        <v>-15</v>
      </c>
      <c r="FY18" s="3"/>
      <c r="FZ18" s="3"/>
      <c r="GA18" s="2" t="s">
        <v>319</v>
      </c>
      <c r="GB18" s="2" t="s">
        <v>320</v>
      </c>
      <c r="GC18" s="2" t="s">
        <v>277</v>
      </c>
      <c r="GD18" s="1">
        <v>15</v>
      </c>
      <c r="GE18" s="1">
        <v>15</v>
      </c>
      <c r="GF18" s="1">
        <v>32</v>
      </c>
      <c r="GG18" s="1">
        <v>17</v>
      </c>
      <c r="GH18" s="4"/>
    </row>
    <row r="19" spans="1:190" x14ac:dyDescent="0.25">
      <c r="A19" s="1">
        <v>152</v>
      </c>
      <c r="B19" s="2" t="s">
        <v>347</v>
      </c>
      <c r="C19" s="2" t="s">
        <v>353</v>
      </c>
      <c r="D19" s="2" t="s">
        <v>377</v>
      </c>
      <c r="E19" s="2" t="s">
        <v>281</v>
      </c>
      <c r="F19" s="2" t="s">
        <v>281</v>
      </c>
      <c r="G19" s="2" t="s">
        <v>282</v>
      </c>
      <c r="H19" s="2" t="s">
        <v>282</v>
      </c>
      <c r="I19" s="2" t="s">
        <v>282</v>
      </c>
      <c r="J19" s="2" t="s">
        <v>281</v>
      </c>
      <c r="K19" s="2" t="s">
        <v>282</v>
      </c>
      <c r="L19" s="2" t="s">
        <v>282</v>
      </c>
      <c r="M19" s="2" t="s">
        <v>282</v>
      </c>
      <c r="N19" s="1">
        <v>0</v>
      </c>
      <c r="O19" s="2"/>
      <c r="P19" s="2"/>
      <c r="Q19" s="2" t="s">
        <v>283</v>
      </c>
      <c r="R19" s="11" t="s">
        <v>322</v>
      </c>
      <c r="S19" s="2"/>
      <c r="T19" s="2"/>
      <c r="U19" s="2"/>
      <c r="V19" s="1">
        <v>0</v>
      </c>
      <c r="W19" s="2"/>
      <c r="X19" s="2"/>
      <c r="Y19" s="2" t="s">
        <v>303</v>
      </c>
      <c r="Z19" s="2" t="s">
        <v>302</v>
      </c>
      <c r="AA19" s="1">
        <v>0</v>
      </c>
      <c r="AB19" s="2"/>
      <c r="AC19" s="2"/>
      <c r="AD19" s="2" t="s">
        <v>305</v>
      </c>
      <c r="AE19" s="2" t="s">
        <v>302</v>
      </c>
      <c r="AF19" s="1">
        <v>0</v>
      </c>
      <c r="AG19" s="2"/>
      <c r="AH19" s="2"/>
      <c r="AI19" s="1">
        <v>0</v>
      </c>
      <c r="AJ19" s="2"/>
      <c r="AK19" s="2"/>
      <c r="AL19" s="2" t="s">
        <v>299</v>
      </c>
      <c r="AM19" s="1">
        <v>0</v>
      </c>
      <c r="AN19" s="2"/>
      <c r="AO19" s="2"/>
      <c r="AP19" s="2" t="s">
        <v>310</v>
      </c>
      <c r="AQ19" s="2" t="s">
        <v>287</v>
      </c>
      <c r="AR19" s="1">
        <v>0</v>
      </c>
      <c r="AS19" s="2"/>
      <c r="AT19" s="2"/>
      <c r="AU19" s="2" t="s">
        <v>324</v>
      </c>
      <c r="AV19" s="2" t="s">
        <v>339</v>
      </c>
      <c r="AW19" s="1">
        <v>1</v>
      </c>
      <c r="AX19" s="2" t="s">
        <v>434</v>
      </c>
      <c r="AY19" s="2"/>
      <c r="AZ19" s="1">
        <v>1</v>
      </c>
      <c r="BA19" s="2" t="s">
        <v>435</v>
      </c>
      <c r="BB19" s="2" t="s">
        <v>296</v>
      </c>
      <c r="BC19" s="2" t="s">
        <v>294</v>
      </c>
      <c r="BD19" s="2" t="s">
        <v>297</v>
      </c>
      <c r="BE19" s="1">
        <v>1</v>
      </c>
      <c r="BF19" s="2" t="s">
        <v>302</v>
      </c>
      <c r="BG19" s="2"/>
      <c r="BH19" s="2" t="s">
        <v>288</v>
      </c>
      <c r="BI19" s="2" t="s">
        <v>302</v>
      </c>
      <c r="BJ19" s="1">
        <v>0</v>
      </c>
      <c r="BK19" s="2"/>
      <c r="BL19" s="2"/>
      <c r="BM19" s="1">
        <v>0</v>
      </c>
      <c r="BN19" s="2"/>
      <c r="BO19" s="2" t="s">
        <v>296</v>
      </c>
      <c r="BP19" s="1">
        <v>0</v>
      </c>
      <c r="BQ19" s="2"/>
      <c r="BR19" s="2" t="s">
        <v>303</v>
      </c>
      <c r="BS19" s="2" t="s">
        <v>331</v>
      </c>
      <c r="BT19" s="1">
        <v>0</v>
      </c>
      <c r="BU19" s="2"/>
      <c r="BV19" s="2"/>
      <c r="BW19" s="2" t="s">
        <v>298</v>
      </c>
      <c r="BX19" s="2" t="s">
        <v>331</v>
      </c>
      <c r="BY19" s="1">
        <v>0</v>
      </c>
      <c r="BZ19" s="2"/>
      <c r="CA19" s="2"/>
      <c r="CB19" s="1">
        <v>0</v>
      </c>
      <c r="CC19" s="2"/>
      <c r="CD19" s="2" t="s">
        <v>296</v>
      </c>
      <c r="CE19" s="1">
        <v>0</v>
      </c>
      <c r="CF19" s="2"/>
      <c r="CG19" s="2"/>
      <c r="CH19" s="2" t="s">
        <v>294</v>
      </c>
      <c r="CI19" s="2" t="s">
        <v>297</v>
      </c>
      <c r="CJ19" s="1">
        <v>0</v>
      </c>
      <c r="CK19" s="2"/>
      <c r="CL19" s="2"/>
      <c r="CM19" s="2" t="s">
        <v>288</v>
      </c>
      <c r="CN19" s="2" t="s">
        <v>302</v>
      </c>
      <c r="CO19" s="1">
        <v>0</v>
      </c>
      <c r="CP19" s="2"/>
      <c r="CQ19" s="2"/>
      <c r="CR19" s="1">
        <v>0</v>
      </c>
      <c r="CS19" s="2"/>
      <c r="CT19" s="2" t="s">
        <v>299</v>
      </c>
      <c r="CU19" s="1">
        <v>0</v>
      </c>
      <c r="CV19" s="2"/>
      <c r="CW19" s="2"/>
      <c r="CX19" s="2" t="s">
        <v>303</v>
      </c>
      <c r="CY19" s="2" t="s">
        <v>302</v>
      </c>
      <c r="CZ19" s="1">
        <v>0</v>
      </c>
      <c r="DA19" s="2"/>
      <c r="DB19" s="2"/>
      <c r="DC19" s="2" t="s">
        <v>305</v>
      </c>
      <c r="DD19" s="2" t="s">
        <v>302</v>
      </c>
      <c r="DE19" s="1">
        <v>0</v>
      </c>
      <c r="DF19" s="2"/>
      <c r="DG19" s="2"/>
      <c r="DH19" s="1">
        <v>0</v>
      </c>
      <c r="DI19" s="2"/>
      <c r="DJ19" s="2" t="s">
        <v>299</v>
      </c>
      <c r="DK19" s="1">
        <v>0</v>
      </c>
      <c r="DL19" s="2"/>
      <c r="DM19" s="2"/>
      <c r="DN19" s="2" t="s">
        <v>303</v>
      </c>
      <c r="DO19" s="2" t="s">
        <v>331</v>
      </c>
      <c r="DP19" s="1">
        <v>0</v>
      </c>
      <c r="DQ19" s="2"/>
      <c r="DR19" s="2"/>
      <c r="DS19" s="2" t="s">
        <v>298</v>
      </c>
      <c r="DT19" s="2" t="s">
        <v>331</v>
      </c>
      <c r="DU19" s="1">
        <v>0</v>
      </c>
      <c r="DV19" s="2"/>
      <c r="DW19" s="2"/>
      <c r="DX19" s="2"/>
      <c r="DY19" s="1">
        <v>0</v>
      </c>
      <c r="DZ19" s="2"/>
      <c r="EA19" s="2" t="s">
        <v>294</v>
      </c>
      <c r="EB19" s="2" t="s">
        <v>331</v>
      </c>
      <c r="EC19" s="1">
        <v>0</v>
      </c>
      <c r="ED19" s="2"/>
      <c r="EE19" s="2"/>
      <c r="EF19" s="2" t="s">
        <v>305</v>
      </c>
      <c r="EG19" s="2" t="s">
        <v>331</v>
      </c>
      <c r="EH19" s="1">
        <v>0</v>
      </c>
      <c r="EI19" s="2"/>
      <c r="EJ19" s="2"/>
      <c r="EK19" s="2"/>
      <c r="EL19" s="1">
        <v>0</v>
      </c>
      <c r="EM19" s="2"/>
      <c r="EN19" s="1">
        <v>0</v>
      </c>
      <c r="EO19" s="2"/>
      <c r="EP19" s="2" t="s">
        <v>296</v>
      </c>
      <c r="EQ19" s="2" t="s">
        <v>296</v>
      </c>
      <c r="ER19" s="1">
        <v>1</v>
      </c>
      <c r="ES19" s="2" t="s">
        <v>404</v>
      </c>
      <c r="ET19" s="2"/>
      <c r="EU19" s="2"/>
      <c r="EV19" s="2"/>
      <c r="EW19" s="2"/>
      <c r="EX19" s="2"/>
      <c r="EY19" s="2"/>
      <c r="EZ19" s="2"/>
      <c r="FA19" s="1">
        <v>1</v>
      </c>
      <c r="FB19" s="2" t="s">
        <v>436</v>
      </c>
      <c r="FC19" s="2"/>
      <c r="FD19" s="2"/>
      <c r="FE19" s="2" t="s">
        <v>437</v>
      </c>
      <c r="FF19" s="2" t="s">
        <v>351</v>
      </c>
      <c r="FG19" s="2" t="s">
        <v>438</v>
      </c>
      <c r="FH19" s="2"/>
      <c r="FI19" s="1">
        <v>-1</v>
      </c>
      <c r="FJ19" s="1">
        <v>-1</v>
      </c>
      <c r="FK19" s="1">
        <v>-1</v>
      </c>
      <c r="FL19" s="1">
        <v>-1</v>
      </c>
      <c r="FM19" s="1">
        <v>-1</v>
      </c>
      <c r="FN19" s="1">
        <v>-1</v>
      </c>
      <c r="FO19" s="1">
        <v>-1</v>
      </c>
      <c r="FP19" s="1">
        <v>-1</v>
      </c>
      <c r="FQ19" s="1">
        <v>-1</v>
      </c>
      <c r="FR19" s="1">
        <v>-1</v>
      </c>
      <c r="FS19" s="1">
        <v>-1</v>
      </c>
      <c r="FT19" s="1">
        <v>-1</v>
      </c>
      <c r="FU19" s="1">
        <v>-1</v>
      </c>
      <c r="FV19" s="1">
        <v>-1</v>
      </c>
      <c r="FW19" s="1">
        <v>-1</v>
      </c>
      <c r="FX19" s="1">
        <v>-15</v>
      </c>
      <c r="FY19" s="3"/>
      <c r="FZ19" s="3"/>
      <c r="GA19" s="2" t="s">
        <v>319</v>
      </c>
      <c r="GB19" s="2" t="s">
        <v>320</v>
      </c>
      <c r="GC19" s="2" t="s">
        <v>277</v>
      </c>
      <c r="GD19" s="1">
        <v>15</v>
      </c>
      <c r="GE19" s="1">
        <v>15</v>
      </c>
      <c r="GF19" s="1">
        <v>45</v>
      </c>
      <c r="GG19" s="1">
        <v>17</v>
      </c>
      <c r="GH19" s="4"/>
    </row>
    <row r="20" spans="1:190" x14ac:dyDescent="0.25">
      <c r="A20" s="1">
        <v>153</v>
      </c>
      <c r="B20" s="2" t="s">
        <v>421</v>
      </c>
      <c r="C20" s="2" t="s">
        <v>279</v>
      </c>
      <c r="D20" s="2" t="s">
        <v>320</v>
      </c>
      <c r="E20" s="2" t="s">
        <v>282</v>
      </c>
      <c r="F20" s="2" t="s">
        <v>282</v>
      </c>
      <c r="G20" s="2" t="s">
        <v>282</v>
      </c>
      <c r="H20" s="2" t="s">
        <v>282</v>
      </c>
      <c r="I20" s="2" t="s">
        <v>282</v>
      </c>
      <c r="J20" s="2" t="s">
        <v>281</v>
      </c>
      <c r="K20" s="2" t="s">
        <v>282</v>
      </c>
      <c r="L20" s="2" t="s">
        <v>282</v>
      </c>
      <c r="M20" s="2" t="s">
        <v>282</v>
      </c>
      <c r="N20" s="1">
        <v>0</v>
      </c>
      <c r="O20" s="2"/>
      <c r="P20" s="2"/>
      <c r="Q20" s="2" t="s">
        <v>423</v>
      </c>
      <c r="R20" s="2"/>
      <c r="S20" s="2"/>
      <c r="T20" s="2"/>
      <c r="U20" s="12" t="s">
        <v>424</v>
      </c>
      <c r="V20" s="1">
        <v>1</v>
      </c>
      <c r="W20" s="2" t="s">
        <v>439</v>
      </c>
      <c r="X20" s="2"/>
      <c r="Y20" s="2" t="s">
        <v>294</v>
      </c>
      <c r="Z20" s="2" t="s">
        <v>297</v>
      </c>
      <c r="AA20" s="1">
        <v>0</v>
      </c>
      <c r="AB20" s="2"/>
      <c r="AC20" s="2"/>
      <c r="AD20" s="2" t="s">
        <v>298</v>
      </c>
      <c r="AE20" s="2" t="s">
        <v>302</v>
      </c>
      <c r="AF20" s="1">
        <v>0</v>
      </c>
      <c r="AG20" s="2"/>
      <c r="AH20" s="2"/>
      <c r="AI20" s="1">
        <v>1</v>
      </c>
      <c r="AJ20" s="2" t="s">
        <v>440</v>
      </c>
      <c r="AK20" s="2"/>
      <c r="AL20" s="2" t="s">
        <v>299</v>
      </c>
      <c r="AM20" s="1">
        <v>1</v>
      </c>
      <c r="AN20" s="2" t="s">
        <v>441</v>
      </c>
      <c r="AO20" s="2"/>
      <c r="AP20" s="2" t="s">
        <v>294</v>
      </c>
      <c r="AQ20" s="2" t="s">
        <v>287</v>
      </c>
      <c r="AR20" s="1">
        <v>0</v>
      </c>
      <c r="AS20" s="2"/>
      <c r="AT20" s="2"/>
      <c r="AU20" s="2" t="s">
        <v>324</v>
      </c>
      <c r="AV20" s="2" t="s">
        <v>287</v>
      </c>
      <c r="AW20" s="1">
        <v>0</v>
      </c>
      <c r="AX20" s="2"/>
      <c r="AY20" s="2"/>
      <c r="AZ20" s="1">
        <v>1</v>
      </c>
      <c r="BA20" s="2" t="s">
        <v>406</v>
      </c>
      <c r="BB20" s="2" t="s">
        <v>299</v>
      </c>
      <c r="BC20" s="2" t="s">
        <v>294</v>
      </c>
      <c r="BD20" s="2" t="s">
        <v>297</v>
      </c>
      <c r="BE20" s="1">
        <v>0</v>
      </c>
      <c r="BF20" s="2"/>
      <c r="BG20" s="2"/>
      <c r="BH20" s="2" t="s">
        <v>324</v>
      </c>
      <c r="BI20" s="2" t="s">
        <v>297</v>
      </c>
      <c r="BJ20" s="1">
        <v>0</v>
      </c>
      <c r="BK20" s="2"/>
      <c r="BL20" s="2"/>
      <c r="BM20" s="1">
        <v>0</v>
      </c>
      <c r="BN20" s="2"/>
      <c r="BO20" s="2" t="s">
        <v>296</v>
      </c>
      <c r="BP20" s="1">
        <v>1</v>
      </c>
      <c r="BQ20" s="2" t="s">
        <v>442</v>
      </c>
      <c r="BR20" s="2" t="s">
        <v>301</v>
      </c>
      <c r="BS20" s="2" t="s">
        <v>297</v>
      </c>
      <c r="BT20" s="1">
        <v>0</v>
      </c>
      <c r="BU20" s="2"/>
      <c r="BV20" s="2"/>
      <c r="BW20" s="2" t="s">
        <v>288</v>
      </c>
      <c r="BX20" s="2" t="s">
        <v>297</v>
      </c>
      <c r="BY20" s="1">
        <v>0</v>
      </c>
      <c r="BZ20" s="2"/>
      <c r="CA20" s="2"/>
      <c r="CB20" s="1">
        <v>0</v>
      </c>
      <c r="CC20" s="2"/>
      <c r="CD20" s="2" t="s">
        <v>299</v>
      </c>
      <c r="CE20" s="1">
        <v>1</v>
      </c>
      <c r="CF20" s="2" t="s">
        <v>443</v>
      </c>
      <c r="CG20" s="2"/>
      <c r="CH20" s="2" t="s">
        <v>294</v>
      </c>
      <c r="CI20" s="2" t="s">
        <v>297</v>
      </c>
      <c r="CJ20" s="1">
        <v>0</v>
      </c>
      <c r="CK20" s="2"/>
      <c r="CL20" s="2"/>
      <c r="CM20" s="2" t="s">
        <v>305</v>
      </c>
      <c r="CN20" s="2" t="s">
        <v>297</v>
      </c>
      <c r="CO20" s="1">
        <v>0</v>
      </c>
      <c r="CP20" s="2"/>
      <c r="CQ20" s="2"/>
      <c r="CR20" s="1">
        <v>0</v>
      </c>
      <c r="CS20" s="2"/>
      <c r="CT20" s="2" t="s">
        <v>299</v>
      </c>
      <c r="CU20" s="1">
        <v>1</v>
      </c>
      <c r="CV20" s="2" t="s">
        <v>444</v>
      </c>
      <c r="CW20" s="2"/>
      <c r="CX20" s="2" t="s">
        <v>303</v>
      </c>
      <c r="CY20" s="2" t="s">
        <v>302</v>
      </c>
      <c r="CZ20" s="1">
        <v>0</v>
      </c>
      <c r="DA20" s="2"/>
      <c r="DB20" s="2"/>
      <c r="DC20" s="2" t="s">
        <v>298</v>
      </c>
      <c r="DD20" s="2" t="s">
        <v>302</v>
      </c>
      <c r="DE20" s="1">
        <v>0</v>
      </c>
      <c r="DF20" s="2"/>
      <c r="DG20" s="2"/>
      <c r="DH20" s="1">
        <v>0</v>
      </c>
      <c r="DI20" s="2"/>
      <c r="DJ20" s="2" t="s">
        <v>296</v>
      </c>
      <c r="DK20" s="1">
        <v>1</v>
      </c>
      <c r="DL20" s="2" t="s">
        <v>445</v>
      </c>
      <c r="DM20" s="2"/>
      <c r="DN20" s="2" t="s">
        <v>303</v>
      </c>
      <c r="DO20" s="2" t="s">
        <v>331</v>
      </c>
      <c r="DP20" s="1">
        <v>0</v>
      </c>
      <c r="DQ20" s="2"/>
      <c r="DR20" s="2"/>
      <c r="DS20" s="2" t="s">
        <v>298</v>
      </c>
      <c r="DT20" s="2" t="s">
        <v>331</v>
      </c>
      <c r="DU20" s="1">
        <v>0</v>
      </c>
      <c r="DV20" s="2"/>
      <c r="DW20" s="2"/>
      <c r="DX20" s="2" t="s">
        <v>446</v>
      </c>
      <c r="DY20" s="1">
        <v>1</v>
      </c>
      <c r="DZ20" s="2" t="s">
        <v>374</v>
      </c>
      <c r="EA20" s="2" t="s">
        <v>294</v>
      </c>
      <c r="EB20" s="2" t="s">
        <v>297</v>
      </c>
      <c r="EC20" s="1">
        <v>0</v>
      </c>
      <c r="ED20" s="2"/>
      <c r="EE20" s="2"/>
      <c r="EF20" s="2" t="s">
        <v>298</v>
      </c>
      <c r="EG20" s="2" t="s">
        <v>331</v>
      </c>
      <c r="EH20" s="1">
        <v>0</v>
      </c>
      <c r="EI20" s="2"/>
      <c r="EJ20" s="2"/>
      <c r="EK20" s="2"/>
      <c r="EL20" s="1">
        <v>0</v>
      </c>
      <c r="EM20" s="2"/>
      <c r="EN20" s="1">
        <v>0</v>
      </c>
      <c r="EO20" s="2"/>
      <c r="EP20" s="2" t="s">
        <v>296</v>
      </c>
      <c r="EQ20" s="2" t="s">
        <v>296</v>
      </c>
      <c r="ER20" s="1">
        <v>0</v>
      </c>
      <c r="ES20" s="2"/>
      <c r="ET20" s="2"/>
      <c r="EU20" s="2"/>
      <c r="EV20" s="2"/>
      <c r="EW20" s="2"/>
      <c r="EX20" s="2"/>
      <c r="EY20" s="2"/>
      <c r="EZ20" s="2"/>
      <c r="FA20" s="1">
        <v>2</v>
      </c>
      <c r="FB20" s="2" t="s">
        <v>447</v>
      </c>
      <c r="FC20" s="2" t="s">
        <v>448</v>
      </c>
      <c r="FD20" s="2"/>
      <c r="FE20" s="2" t="s">
        <v>346</v>
      </c>
      <c r="FF20" s="2" t="s">
        <v>317</v>
      </c>
      <c r="FG20" s="2"/>
      <c r="FH20" s="2"/>
      <c r="FI20" s="1">
        <v>-1</v>
      </c>
      <c r="FJ20" s="1">
        <v>-1</v>
      </c>
      <c r="FK20" s="1">
        <v>-1</v>
      </c>
      <c r="FL20" s="1">
        <v>-1</v>
      </c>
      <c r="FM20" s="1">
        <v>-1</v>
      </c>
      <c r="FN20" s="1">
        <v>-1</v>
      </c>
      <c r="FO20" s="1">
        <v>-1</v>
      </c>
      <c r="FP20" s="1">
        <v>-1</v>
      </c>
      <c r="FQ20" s="1">
        <v>-1</v>
      </c>
      <c r="FR20" s="1">
        <v>-1</v>
      </c>
      <c r="FS20" s="1">
        <v>-1</v>
      </c>
      <c r="FT20" s="1">
        <v>-1</v>
      </c>
      <c r="FU20" s="1">
        <v>-1</v>
      </c>
      <c r="FV20" s="1">
        <v>-1</v>
      </c>
      <c r="FW20" s="1">
        <v>-1</v>
      </c>
      <c r="FX20" s="1">
        <v>-15</v>
      </c>
      <c r="FY20" s="3"/>
      <c r="FZ20" s="3"/>
      <c r="GA20" s="2" t="s">
        <v>319</v>
      </c>
      <c r="GB20" s="2" t="s">
        <v>320</v>
      </c>
      <c r="GC20" s="2" t="s">
        <v>277</v>
      </c>
      <c r="GD20" s="1">
        <v>15</v>
      </c>
      <c r="GE20" s="1">
        <v>15</v>
      </c>
      <c r="GF20" s="1">
        <v>34</v>
      </c>
      <c r="GG20" s="1">
        <v>8</v>
      </c>
      <c r="GH20" s="4"/>
    </row>
    <row r="21" spans="1:190" x14ac:dyDescent="0.25">
      <c r="A21" s="1">
        <v>157</v>
      </c>
      <c r="B21" s="2" t="s">
        <v>347</v>
      </c>
      <c r="C21" s="2" t="s">
        <v>353</v>
      </c>
      <c r="D21" s="2" t="s">
        <v>280</v>
      </c>
      <c r="E21" s="2" t="s">
        <v>281</v>
      </c>
      <c r="F21" s="2" t="s">
        <v>282</v>
      </c>
      <c r="G21" s="2" t="s">
        <v>281</v>
      </c>
      <c r="H21" s="2" t="s">
        <v>282</v>
      </c>
      <c r="I21" s="2" t="s">
        <v>282</v>
      </c>
      <c r="J21" s="2" t="s">
        <v>281</v>
      </c>
      <c r="K21" s="2" t="s">
        <v>282</v>
      </c>
      <c r="L21" s="2" t="s">
        <v>281</v>
      </c>
      <c r="M21" s="2" t="s">
        <v>282</v>
      </c>
      <c r="N21" s="1">
        <v>0</v>
      </c>
      <c r="O21" s="2"/>
      <c r="P21" s="2"/>
      <c r="Q21" s="2" t="s">
        <v>283</v>
      </c>
      <c r="R21" s="11" t="s">
        <v>322</v>
      </c>
      <c r="S21" s="2"/>
      <c r="T21" s="2"/>
      <c r="U21" s="2"/>
      <c r="V21" s="1">
        <v>0</v>
      </c>
      <c r="W21" s="2"/>
      <c r="X21" s="2"/>
      <c r="Y21" s="2"/>
      <c r="Z21" s="2"/>
      <c r="AA21" s="1">
        <v>0</v>
      </c>
      <c r="AB21" s="2"/>
      <c r="AC21" s="2"/>
      <c r="AD21" s="2"/>
      <c r="AE21" s="2"/>
      <c r="AF21" s="1">
        <v>0</v>
      </c>
      <c r="AG21" s="2"/>
      <c r="AH21" s="2"/>
      <c r="AI21" s="1">
        <v>0</v>
      </c>
      <c r="AJ21" s="2"/>
      <c r="AK21" s="2"/>
      <c r="AL21" s="2"/>
      <c r="AM21" s="1"/>
      <c r="AN21" s="2"/>
      <c r="AO21" s="2"/>
      <c r="AP21" s="2"/>
      <c r="AQ21" s="2"/>
      <c r="AR21" s="1"/>
      <c r="AS21" s="2"/>
      <c r="AT21" s="2"/>
      <c r="AU21" s="2"/>
      <c r="AV21" s="2"/>
      <c r="AW21" s="1"/>
      <c r="AX21" s="2"/>
      <c r="AY21" s="2"/>
      <c r="AZ21" s="1"/>
      <c r="BA21" s="2"/>
      <c r="BB21" s="2"/>
      <c r="BC21" s="2"/>
      <c r="BD21" s="2"/>
      <c r="BE21" s="1"/>
      <c r="BF21" s="2"/>
      <c r="BG21" s="2"/>
      <c r="BH21" s="2"/>
      <c r="BI21" s="2"/>
      <c r="BJ21" s="1"/>
      <c r="BK21" s="2"/>
      <c r="BL21" s="2"/>
      <c r="BM21" s="1"/>
      <c r="BN21" s="2"/>
      <c r="BO21" s="2"/>
      <c r="BP21" s="1"/>
      <c r="BQ21" s="2"/>
      <c r="BR21" s="2"/>
      <c r="BS21" s="2"/>
      <c r="BT21" s="1"/>
      <c r="BU21" s="2"/>
      <c r="BV21" s="2"/>
      <c r="BW21" s="2"/>
      <c r="BX21" s="2"/>
      <c r="BY21" s="1"/>
      <c r="BZ21" s="2"/>
      <c r="CA21" s="2"/>
      <c r="CB21" s="1"/>
      <c r="CC21" s="2"/>
      <c r="CD21" s="2"/>
      <c r="CE21" s="1"/>
      <c r="CF21" s="2"/>
      <c r="CG21" s="2"/>
      <c r="CH21" s="2"/>
      <c r="CI21" s="2"/>
      <c r="CJ21" s="1"/>
      <c r="CK21" s="2"/>
      <c r="CL21" s="2"/>
      <c r="CM21" s="2"/>
      <c r="CN21" s="2"/>
      <c r="CO21" s="1"/>
      <c r="CP21" s="2"/>
      <c r="CQ21" s="2"/>
      <c r="CR21" s="1"/>
      <c r="CS21" s="2"/>
      <c r="CT21" s="2"/>
      <c r="CU21" s="1"/>
      <c r="CV21" s="2"/>
      <c r="CW21" s="2"/>
      <c r="CX21" s="2"/>
      <c r="CY21" s="2"/>
      <c r="CZ21" s="1"/>
      <c r="DA21" s="2"/>
      <c r="DB21" s="2"/>
      <c r="DC21" s="2"/>
      <c r="DD21" s="2"/>
      <c r="DE21" s="1"/>
      <c r="DF21" s="2"/>
      <c r="DG21" s="2"/>
      <c r="DH21" s="1"/>
      <c r="DI21" s="2"/>
      <c r="DJ21" s="2"/>
      <c r="DK21" s="1"/>
      <c r="DL21" s="2"/>
      <c r="DM21" s="2"/>
      <c r="DN21" s="2"/>
      <c r="DO21" s="2"/>
      <c r="DP21" s="1"/>
      <c r="DQ21" s="2"/>
      <c r="DR21" s="2"/>
      <c r="DS21" s="2"/>
      <c r="DT21" s="2"/>
      <c r="DU21" s="1"/>
      <c r="DV21" s="2"/>
      <c r="DW21" s="2"/>
      <c r="DX21" s="2"/>
      <c r="DY21" s="1"/>
      <c r="DZ21" s="2"/>
      <c r="EA21" s="2"/>
      <c r="EB21" s="2"/>
      <c r="EC21" s="1"/>
      <c r="ED21" s="2"/>
      <c r="EE21" s="2"/>
      <c r="EF21" s="2"/>
      <c r="EG21" s="2"/>
      <c r="EH21" s="1"/>
      <c r="EI21" s="2"/>
      <c r="EJ21" s="2"/>
      <c r="EK21" s="2"/>
      <c r="EL21" s="1"/>
      <c r="EM21" s="2"/>
      <c r="EN21" s="1"/>
      <c r="EO21" s="2"/>
      <c r="EP21" s="2"/>
      <c r="EQ21" s="2"/>
      <c r="ER21" s="1"/>
      <c r="ES21" s="2"/>
      <c r="ET21" s="2"/>
      <c r="EU21" s="2"/>
      <c r="EV21" s="2"/>
      <c r="EW21" s="2"/>
      <c r="EX21" s="2"/>
      <c r="EY21" s="2"/>
      <c r="EZ21" s="2"/>
      <c r="FA21" s="1"/>
      <c r="FB21" s="2"/>
      <c r="FC21" s="2"/>
      <c r="FD21" s="2"/>
      <c r="FE21" s="2" t="s">
        <v>437</v>
      </c>
      <c r="FF21" s="2"/>
      <c r="FG21" s="2"/>
      <c r="FH21" s="2"/>
      <c r="FI21" s="1">
        <v>-1</v>
      </c>
      <c r="FJ21" s="1">
        <v>-1</v>
      </c>
      <c r="FK21" s="1">
        <v>-1</v>
      </c>
      <c r="FL21" s="1">
        <v>-1</v>
      </c>
      <c r="FM21" s="1">
        <v>-1</v>
      </c>
      <c r="FN21" s="1">
        <v>-1</v>
      </c>
      <c r="FO21" s="1"/>
      <c r="FP21" s="1"/>
      <c r="FQ21" s="1"/>
      <c r="FR21" s="1"/>
      <c r="FS21" s="1"/>
      <c r="FT21" s="1"/>
      <c r="FU21" s="1"/>
      <c r="FV21" s="1"/>
      <c r="FW21" s="1"/>
      <c r="FX21" s="1">
        <v>-6</v>
      </c>
      <c r="FY21" s="3"/>
      <c r="FZ21" s="3"/>
      <c r="GA21" s="2"/>
      <c r="GB21" s="2" t="s">
        <v>277</v>
      </c>
      <c r="GC21" s="2" t="s">
        <v>277</v>
      </c>
      <c r="GD21" s="1">
        <v>5</v>
      </c>
      <c r="GE21" s="1">
        <v>6</v>
      </c>
      <c r="GF21" s="1">
        <v>65</v>
      </c>
      <c r="GG21" s="1">
        <v>50</v>
      </c>
      <c r="GH21" s="4"/>
    </row>
    <row r="22" spans="1:190" x14ac:dyDescent="0.25">
      <c r="A22" s="1">
        <v>160</v>
      </c>
      <c r="B22" s="2" t="s">
        <v>321</v>
      </c>
      <c r="C22" s="2" t="s">
        <v>353</v>
      </c>
      <c r="D22" s="2" t="s">
        <v>422</v>
      </c>
      <c r="E22" s="2" t="s">
        <v>281</v>
      </c>
      <c r="F22" s="2" t="s">
        <v>282</v>
      </c>
      <c r="G22" s="2" t="s">
        <v>282</v>
      </c>
      <c r="H22" s="2" t="s">
        <v>282</v>
      </c>
      <c r="I22" s="2" t="s">
        <v>282</v>
      </c>
      <c r="J22" s="2" t="s">
        <v>281</v>
      </c>
      <c r="K22" s="2" t="s">
        <v>282</v>
      </c>
      <c r="L22" s="2" t="s">
        <v>282</v>
      </c>
      <c r="M22" s="2" t="s">
        <v>282</v>
      </c>
      <c r="N22" s="1">
        <v>0</v>
      </c>
      <c r="O22" s="2"/>
      <c r="P22" s="2"/>
      <c r="Q22" s="2" t="s">
        <v>283</v>
      </c>
      <c r="R22" s="2" t="s">
        <v>449</v>
      </c>
      <c r="S22" s="2"/>
      <c r="T22" s="2"/>
      <c r="U22" s="2"/>
      <c r="V22" s="1">
        <v>0</v>
      </c>
      <c r="W22" s="2"/>
      <c r="X22" s="2"/>
      <c r="Y22" s="2" t="s">
        <v>303</v>
      </c>
      <c r="Z22" s="2" t="s">
        <v>302</v>
      </c>
      <c r="AA22" s="1">
        <v>0</v>
      </c>
      <c r="AB22" s="2"/>
      <c r="AC22" s="2"/>
      <c r="AD22" s="2" t="s">
        <v>288</v>
      </c>
      <c r="AE22" s="2" t="s">
        <v>331</v>
      </c>
      <c r="AF22" s="1">
        <v>0</v>
      </c>
      <c r="AG22" s="2"/>
      <c r="AH22" s="2"/>
      <c r="AI22" s="1">
        <v>1</v>
      </c>
      <c r="AJ22" s="2" t="s">
        <v>450</v>
      </c>
      <c r="AK22" s="2"/>
      <c r="AL22" s="2" t="s">
        <v>292</v>
      </c>
      <c r="AM22" s="1">
        <v>0</v>
      </c>
      <c r="AN22" s="2"/>
      <c r="AO22" s="2"/>
      <c r="AP22" s="2" t="s">
        <v>294</v>
      </c>
      <c r="AQ22" s="2" t="s">
        <v>287</v>
      </c>
      <c r="AR22" s="1">
        <v>1</v>
      </c>
      <c r="AS22" s="2"/>
      <c r="AT22" s="2" t="s">
        <v>451</v>
      </c>
      <c r="AU22" s="2" t="s">
        <v>288</v>
      </c>
      <c r="AV22" s="2" t="s">
        <v>287</v>
      </c>
      <c r="AW22" s="1">
        <v>0</v>
      </c>
      <c r="AX22" s="2"/>
      <c r="AY22" s="2"/>
      <c r="AZ22" s="1">
        <v>1</v>
      </c>
      <c r="BA22" s="2" t="s">
        <v>452</v>
      </c>
      <c r="BB22" s="2" t="s">
        <v>296</v>
      </c>
      <c r="BC22" s="2" t="s">
        <v>294</v>
      </c>
      <c r="BD22" s="2" t="s">
        <v>297</v>
      </c>
      <c r="BE22" s="1">
        <v>0</v>
      </c>
      <c r="BF22" s="2"/>
      <c r="BG22" s="2"/>
      <c r="BH22" s="2" t="s">
        <v>324</v>
      </c>
      <c r="BI22" s="2" t="s">
        <v>297</v>
      </c>
      <c r="BJ22" s="1">
        <v>0</v>
      </c>
      <c r="BK22" s="2"/>
      <c r="BL22" s="2"/>
      <c r="BM22" s="1">
        <v>0</v>
      </c>
      <c r="BN22" s="2"/>
      <c r="BO22" s="2" t="s">
        <v>296</v>
      </c>
      <c r="BP22" s="1"/>
      <c r="BQ22" s="2"/>
      <c r="BR22" s="2"/>
      <c r="BS22" s="2"/>
      <c r="BT22" s="1"/>
      <c r="BU22" s="2"/>
      <c r="BV22" s="2"/>
      <c r="BW22" s="2"/>
      <c r="BX22" s="2"/>
      <c r="BY22" s="1"/>
      <c r="BZ22" s="2"/>
      <c r="CA22" s="2"/>
      <c r="CB22" s="1"/>
      <c r="CC22" s="2"/>
      <c r="CD22" s="2"/>
      <c r="CE22" s="1"/>
      <c r="CF22" s="2"/>
      <c r="CG22" s="2"/>
      <c r="CH22" s="2"/>
      <c r="CI22" s="2"/>
      <c r="CJ22" s="1"/>
      <c r="CK22" s="2"/>
      <c r="CL22" s="2"/>
      <c r="CM22" s="2"/>
      <c r="CN22" s="2"/>
      <c r="CO22" s="1"/>
      <c r="CP22" s="2"/>
      <c r="CQ22" s="2"/>
      <c r="CR22" s="1"/>
      <c r="CS22" s="2"/>
      <c r="CT22" s="2"/>
      <c r="CU22" s="1"/>
      <c r="CV22" s="2"/>
      <c r="CW22" s="2"/>
      <c r="CX22" s="2"/>
      <c r="CY22" s="2"/>
      <c r="CZ22" s="1"/>
      <c r="DA22" s="2"/>
      <c r="DB22" s="2"/>
      <c r="DC22" s="2"/>
      <c r="DD22" s="2"/>
      <c r="DE22" s="1"/>
      <c r="DF22" s="2"/>
      <c r="DG22" s="2"/>
      <c r="DH22" s="1"/>
      <c r="DI22" s="2"/>
      <c r="DJ22" s="2"/>
      <c r="DK22" s="1"/>
      <c r="DL22" s="2"/>
      <c r="DM22" s="2"/>
      <c r="DN22" s="2"/>
      <c r="DO22" s="2"/>
      <c r="DP22" s="1"/>
      <c r="DQ22" s="2"/>
      <c r="DR22" s="2"/>
      <c r="DS22" s="2"/>
      <c r="DT22" s="2"/>
      <c r="DU22" s="1"/>
      <c r="DV22" s="2"/>
      <c r="DW22" s="2"/>
      <c r="DX22" s="2"/>
      <c r="DY22" s="1"/>
      <c r="DZ22" s="2"/>
      <c r="EA22" s="2"/>
      <c r="EB22" s="2"/>
      <c r="EC22" s="1"/>
      <c r="ED22" s="2"/>
      <c r="EE22" s="2"/>
      <c r="EF22" s="2"/>
      <c r="EG22" s="2"/>
      <c r="EH22" s="1"/>
      <c r="EI22" s="2"/>
      <c r="EJ22" s="2"/>
      <c r="EK22" s="2"/>
      <c r="EL22" s="1"/>
      <c r="EM22" s="2"/>
      <c r="EN22" s="1"/>
      <c r="EO22" s="2"/>
      <c r="EP22" s="2"/>
      <c r="EQ22" s="2"/>
      <c r="ER22" s="1"/>
      <c r="ES22" s="2"/>
      <c r="ET22" s="2"/>
      <c r="EU22" s="2"/>
      <c r="EV22" s="2"/>
      <c r="EW22" s="2"/>
      <c r="EX22" s="2"/>
      <c r="EY22" s="2"/>
      <c r="EZ22" s="2"/>
      <c r="FA22" s="1"/>
      <c r="FB22" s="2"/>
      <c r="FC22" s="2"/>
      <c r="FD22" s="2"/>
      <c r="FE22" s="2" t="s">
        <v>346</v>
      </c>
      <c r="FF22" s="2"/>
      <c r="FG22" s="2"/>
      <c r="FH22" s="2"/>
      <c r="FI22" s="1">
        <v>-1</v>
      </c>
      <c r="FJ22" s="1">
        <v>-1</v>
      </c>
      <c r="FK22" s="1">
        <v>-1</v>
      </c>
      <c r="FL22" s="1">
        <v>-1</v>
      </c>
      <c r="FM22" s="1">
        <v>-1</v>
      </c>
      <c r="FN22" s="1">
        <v>-1</v>
      </c>
      <c r="FO22" s="1">
        <v>-1</v>
      </c>
      <c r="FP22" s="1">
        <v>-1</v>
      </c>
      <c r="FQ22" s="1">
        <v>-1</v>
      </c>
      <c r="FR22" s="1"/>
      <c r="FS22" s="1"/>
      <c r="FT22" s="1"/>
      <c r="FU22" s="1"/>
      <c r="FV22" s="1"/>
      <c r="FW22" s="1"/>
      <c r="FX22" s="1">
        <v>-9</v>
      </c>
      <c r="FY22" s="3"/>
      <c r="FZ22" s="3"/>
      <c r="GA22" s="2"/>
      <c r="GB22" s="2" t="s">
        <v>277</v>
      </c>
      <c r="GC22" s="2" t="s">
        <v>277</v>
      </c>
      <c r="GD22" s="1">
        <v>9</v>
      </c>
      <c r="GE22" s="1">
        <v>9</v>
      </c>
      <c r="GF22" s="1">
        <v>31</v>
      </c>
      <c r="GG22" s="1">
        <v>10</v>
      </c>
      <c r="GH22" s="4"/>
    </row>
    <row r="23" spans="1:190" x14ac:dyDescent="0.25">
      <c r="A23" s="1">
        <v>161</v>
      </c>
      <c r="B23" s="2" t="s">
        <v>321</v>
      </c>
      <c r="C23" s="2" t="s">
        <v>353</v>
      </c>
      <c r="D23" s="2" t="s">
        <v>377</v>
      </c>
      <c r="E23" s="2" t="s">
        <v>281</v>
      </c>
      <c r="F23" s="2" t="s">
        <v>281</v>
      </c>
      <c r="G23" s="2" t="s">
        <v>282</v>
      </c>
      <c r="H23" s="2" t="s">
        <v>282</v>
      </c>
      <c r="I23" s="2" t="s">
        <v>282</v>
      </c>
      <c r="J23" s="2" t="s">
        <v>281</v>
      </c>
      <c r="K23" s="2" t="s">
        <v>282</v>
      </c>
      <c r="L23" s="2" t="s">
        <v>282</v>
      </c>
      <c r="M23" s="2" t="s">
        <v>282</v>
      </c>
      <c r="N23" s="1">
        <v>0</v>
      </c>
      <c r="O23" s="2"/>
      <c r="P23" s="2"/>
      <c r="Q23" s="2" t="s">
        <v>355</v>
      </c>
      <c r="R23" s="2"/>
      <c r="S23" s="2"/>
      <c r="T23" s="11" t="s">
        <v>322</v>
      </c>
      <c r="U23" s="2"/>
      <c r="V23" s="1">
        <v>0</v>
      </c>
      <c r="W23" s="2"/>
      <c r="X23" s="2"/>
      <c r="Y23" s="2"/>
      <c r="Z23" s="2"/>
      <c r="AA23" s="1">
        <v>0</v>
      </c>
      <c r="AB23" s="2"/>
      <c r="AC23" s="2"/>
      <c r="AD23" s="2"/>
      <c r="AE23" s="2"/>
      <c r="AF23" s="1">
        <v>0</v>
      </c>
      <c r="AG23" s="2"/>
      <c r="AH23" s="2"/>
      <c r="AI23" s="1">
        <v>0</v>
      </c>
      <c r="AJ23" s="2"/>
      <c r="AK23" s="2"/>
      <c r="AL23" s="2"/>
      <c r="AM23" s="1"/>
      <c r="AN23" s="2"/>
      <c r="AO23" s="2"/>
      <c r="AP23" s="2"/>
      <c r="AQ23" s="2"/>
      <c r="AR23" s="1"/>
      <c r="AS23" s="2"/>
      <c r="AT23" s="2"/>
      <c r="AU23" s="2"/>
      <c r="AV23" s="2"/>
      <c r="AW23" s="1"/>
      <c r="AX23" s="2"/>
      <c r="AY23" s="2"/>
      <c r="AZ23" s="1"/>
      <c r="BA23" s="2"/>
      <c r="BB23" s="2"/>
      <c r="BC23" s="2"/>
      <c r="BD23" s="2"/>
      <c r="BE23" s="1"/>
      <c r="BF23" s="2"/>
      <c r="BG23" s="2"/>
      <c r="BH23" s="2"/>
      <c r="BI23" s="2"/>
      <c r="BJ23" s="1"/>
      <c r="BK23" s="2"/>
      <c r="BL23" s="2"/>
      <c r="BM23" s="1"/>
      <c r="BN23" s="2"/>
      <c r="BO23" s="2"/>
      <c r="BP23" s="1"/>
      <c r="BQ23" s="2"/>
      <c r="BR23" s="2"/>
      <c r="BS23" s="2"/>
      <c r="BT23" s="1"/>
      <c r="BU23" s="2"/>
      <c r="BV23" s="2"/>
      <c r="BW23" s="2"/>
      <c r="BX23" s="2"/>
      <c r="BY23" s="1"/>
      <c r="BZ23" s="2"/>
      <c r="CA23" s="2"/>
      <c r="CB23" s="1"/>
      <c r="CC23" s="2"/>
      <c r="CD23" s="2"/>
      <c r="CE23" s="1"/>
      <c r="CF23" s="2"/>
      <c r="CG23" s="2"/>
      <c r="CH23" s="2"/>
      <c r="CI23" s="2"/>
      <c r="CJ23" s="1"/>
      <c r="CK23" s="2"/>
      <c r="CL23" s="2"/>
      <c r="CM23" s="2"/>
      <c r="CN23" s="2"/>
      <c r="CO23" s="1"/>
      <c r="CP23" s="2"/>
      <c r="CQ23" s="2"/>
      <c r="CR23" s="1"/>
      <c r="CS23" s="2"/>
      <c r="CT23" s="2"/>
      <c r="CU23" s="1"/>
      <c r="CV23" s="2"/>
      <c r="CW23" s="2"/>
      <c r="CX23" s="2"/>
      <c r="CY23" s="2"/>
      <c r="CZ23" s="1"/>
      <c r="DA23" s="2"/>
      <c r="DB23" s="2"/>
      <c r="DC23" s="2"/>
      <c r="DD23" s="2"/>
      <c r="DE23" s="1"/>
      <c r="DF23" s="2"/>
      <c r="DG23" s="2"/>
      <c r="DH23" s="1"/>
      <c r="DI23" s="2"/>
      <c r="DJ23" s="2"/>
      <c r="DK23" s="1"/>
      <c r="DL23" s="2"/>
      <c r="DM23" s="2"/>
      <c r="DN23" s="2"/>
      <c r="DO23" s="2"/>
      <c r="DP23" s="1"/>
      <c r="DQ23" s="2"/>
      <c r="DR23" s="2"/>
      <c r="DS23" s="2"/>
      <c r="DT23" s="2"/>
      <c r="DU23" s="1"/>
      <c r="DV23" s="2"/>
      <c r="DW23" s="2"/>
      <c r="DX23" s="2"/>
      <c r="DY23" s="1"/>
      <c r="DZ23" s="2"/>
      <c r="EA23" s="2"/>
      <c r="EB23" s="2"/>
      <c r="EC23" s="1"/>
      <c r="ED23" s="2"/>
      <c r="EE23" s="2"/>
      <c r="EF23" s="2"/>
      <c r="EG23" s="2"/>
      <c r="EH23" s="1"/>
      <c r="EI23" s="2"/>
      <c r="EJ23" s="2"/>
      <c r="EK23" s="2"/>
      <c r="EL23" s="1"/>
      <c r="EM23" s="2"/>
      <c r="EN23" s="1"/>
      <c r="EO23" s="2"/>
      <c r="EP23" s="2"/>
      <c r="EQ23" s="2"/>
      <c r="ER23" s="1"/>
      <c r="ES23" s="2"/>
      <c r="ET23" s="2"/>
      <c r="EU23" s="2"/>
      <c r="EV23" s="2"/>
      <c r="EW23" s="2"/>
      <c r="EX23" s="2"/>
      <c r="EY23" s="2"/>
      <c r="EZ23" s="2"/>
      <c r="FA23" s="1"/>
      <c r="FB23" s="2"/>
      <c r="FC23" s="2"/>
      <c r="FD23" s="2"/>
      <c r="FE23" s="2" t="s">
        <v>346</v>
      </c>
      <c r="FF23" s="2"/>
      <c r="FG23" s="2"/>
      <c r="FH23" s="2"/>
      <c r="FI23" s="1">
        <v>-1</v>
      </c>
      <c r="FJ23" s="1">
        <v>-1</v>
      </c>
      <c r="FK23" s="1">
        <v>-1</v>
      </c>
      <c r="FL23" s="1">
        <v>-1</v>
      </c>
      <c r="FM23" s="1">
        <v>-1</v>
      </c>
      <c r="FN23" s="1">
        <v>-1</v>
      </c>
      <c r="FO23" s="1"/>
      <c r="FP23" s="1"/>
      <c r="FQ23" s="1"/>
      <c r="FR23" s="1"/>
      <c r="FS23" s="1"/>
      <c r="FT23" s="1"/>
      <c r="FU23" s="1"/>
      <c r="FV23" s="1"/>
      <c r="FW23" s="1"/>
      <c r="FX23" s="1">
        <v>-6</v>
      </c>
      <c r="FY23" s="3"/>
      <c r="FZ23" s="3"/>
      <c r="GA23" s="2"/>
      <c r="GB23" s="2" t="s">
        <v>277</v>
      </c>
      <c r="GC23" s="2" t="s">
        <v>277</v>
      </c>
      <c r="GD23" s="1">
        <v>6</v>
      </c>
      <c r="GE23" s="1">
        <v>6</v>
      </c>
      <c r="GF23" s="1">
        <v>65</v>
      </c>
      <c r="GG23" s="1">
        <v>50</v>
      </c>
      <c r="GH23" s="4"/>
    </row>
    <row r="24" spans="1:190" x14ac:dyDescent="0.25">
      <c r="A24" s="1">
        <v>162</v>
      </c>
      <c r="B24" s="2" t="s">
        <v>321</v>
      </c>
      <c r="C24" s="2" t="s">
        <v>353</v>
      </c>
      <c r="D24" s="2" t="s">
        <v>422</v>
      </c>
      <c r="E24" s="2" t="s">
        <v>281</v>
      </c>
      <c r="F24" s="2" t="s">
        <v>282</v>
      </c>
      <c r="G24" s="2" t="s">
        <v>282</v>
      </c>
      <c r="H24" s="2" t="s">
        <v>282</v>
      </c>
      <c r="I24" s="2" t="s">
        <v>282</v>
      </c>
      <c r="J24" s="2" t="s">
        <v>281</v>
      </c>
      <c r="K24" s="2" t="s">
        <v>282</v>
      </c>
      <c r="L24" s="2" t="s">
        <v>282</v>
      </c>
      <c r="M24" s="2" t="s">
        <v>282</v>
      </c>
      <c r="N24" s="1">
        <v>0</v>
      </c>
      <c r="O24" s="2"/>
      <c r="P24" s="2"/>
      <c r="Q24" s="2" t="s">
        <v>283</v>
      </c>
      <c r="R24" s="11" t="s">
        <v>378</v>
      </c>
      <c r="S24" s="2"/>
      <c r="T24" s="2"/>
      <c r="U24" s="2"/>
      <c r="V24" s="1">
        <v>2</v>
      </c>
      <c r="W24" s="2" t="s">
        <v>453</v>
      </c>
      <c r="X24" s="2" t="s">
        <v>365</v>
      </c>
      <c r="Y24" s="2" t="s">
        <v>303</v>
      </c>
      <c r="Z24" s="2" t="s">
        <v>302</v>
      </c>
      <c r="AA24" s="1">
        <v>0</v>
      </c>
      <c r="AB24" s="2"/>
      <c r="AC24" s="2"/>
      <c r="AD24" s="2" t="s">
        <v>288</v>
      </c>
      <c r="AE24" s="2" t="s">
        <v>331</v>
      </c>
      <c r="AF24" s="1">
        <v>0</v>
      </c>
      <c r="AG24" s="2"/>
      <c r="AH24" s="2"/>
      <c r="AI24" s="1">
        <v>1</v>
      </c>
      <c r="AJ24" s="2" t="s">
        <v>454</v>
      </c>
      <c r="AK24" s="2"/>
      <c r="AL24" s="2" t="s">
        <v>299</v>
      </c>
      <c r="AM24" s="1">
        <v>1</v>
      </c>
      <c r="AN24" s="2" t="s">
        <v>455</v>
      </c>
      <c r="AO24" s="2"/>
      <c r="AP24" s="2" t="s">
        <v>294</v>
      </c>
      <c r="AQ24" s="2" t="s">
        <v>287</v>
      </c>
      <c r="AR24" s="1">
        <v>1</v>
      </c>
      <c r="AS24" s="2"/>
      <c r="AT24" s="2" t="s">
        <v>297</v>
      </c>
      <c r="AU24" s="2" t="s">
        <v>288</v>
      </c>
      <c r="AV24" s="2" t="s">
        <v>287</v>
      </c>
      <c r="AW24" s="1">
        <v>0</v>
      </c>
      <c r="AX24" s="2"/>
      <c r="AY24" s="2"/>
      <c r="AZ24" s="1">
        <v>1</v>
      </c>
      <c r="BA24" s="2" t="s">
        <v>456</v>
      </c>
      <c r="BB24" s="2" t="s">
        <v>299</v>
      </c>
      <c r="BC24" s="2" t="s">
        <v>294</v>
      </c>
      <c r="BD24" s="2" t="s">
        <v>297</v>
      </c>
      <c r="BE24" s="1">
        <v>0</v>
      </c>
      <c r="BF24" s="2"/>
      <c r="BG24" s="2"/>
      <c r="BH24" s="2" t="s">
        <v>324</v>
      </c>
      <c r="BI24" s="2" t="s">
        <v>297</v>
      </c>
      <c r="BJ24" s="1">
        <v>0</v>
      </c>
      <c r="BK24" s="2"/>
      <c r="BL24" s="2"/>
      <c r="BM24" s="1">
        <v>1</v>
      </c>
      <c r="BN24" s="2" t="s">
        <v>457</v>
      </c>
      <c r="BO24" s="2" t="s">
        <v>299</v>
      </c>
      <c r="BP24" s="1">
        <v>0</v>
      </c>
      <c r="BQ24" s="2"/>
      <c r="BR24" s="2"/>
      <c r="BS24" s="2"/>
      <c r="BT24" s="1">
        <v>0</v>
      </c>
      <c r="BU24" s="2"/>
      <c r="BV24" s="2"/>
      <c r="BW24" s="2"/>
      <c r="BX24" s="2"/>
      <c r="BY24" s="1">
        <v>0</v>
      </c>
      <c r="BZ24" s="2"/>
      <c r="CA24" s="2"/>
      <c r="CB24" s="1">
        <v>0</v>
      </c>
      <c r="CC24" s="2"/>
      <c r="CD24" s="2"/>
      <c r="CE24" s="1">
        <v>1</v>
      </c>
      <c r="CF24" s="2" t="s">
        <v>359</v>
      </c>
      <c r="CG24" s="2"/>
      <c r="CH24" s="2" t="s">
        <v>303</v>
      </c>
      <c r="CI24" s="2" t="s">
        <v>297</v>
      </c>
      <c r="CJ24" s="1">
        <v>0</v>
      </c>
      <c r="CK24" s="2"/>
      <c r="CL24" s="2"/>
      <c r="CM24" s="2" t="s">
        <v>305</v>
      </c>
      <c r="CN24" s="2" t="s">
        <v>297</v>
      </c>
      <c r="CO24" s="1">
        <v>0</v>
      </c>
      <c r="CP24" s="2"/>
      <c r="CQ24" s="2"/>
      <c r="CR24" s="1">
        <v>0</v>
      </c>
      <c r="CS24" s="2"/>
      <c r="CT24" s="2" t="s">
        <v>299</v>
      </c>
      <c r="CU24" s="1">
        <v>1</v>
      </c>
      <c r="CV24" s="2" t="s">
        <v>383</v>
      </c>
      <c r="CW24" s="2"/>
      <c r="CX24" s="2" t="s">
        <v>303</v>
      </c>
      <c r="CY24" s="2" t="s">
        <v>297</v>
      </c>
      <c r="CZ24" s="1">
        <v>0</v>
      </c>
      <c r="DA24" s="2"/>
      <c r="DB24" s="2"/>
      <c r="DC24" s="2" t="s">
        <v>324</v>
      </c>
      <c r="DD24" s="2" t="s">
        <v>297</v>
      </c>
      <c r="DE24" s="1">
        <v>0</v>
      </c>
      <c r="DF24" s="2"/>
      <c r="DG24" s="2"/>
      <c r="DH24" s="1">
        <v>1</v>
      </c>
      <c r="DI24" s="2" t="s">
        <v>457</v>
      </c>
      <c r="DJ24" s="2" t="s">
        <v>328</v>
      </c>
      <c r="DK24" s="1">
        <v>1</v>
      </c>
      <c r="DL24" s="2" t="s">
        <v>458</v>
      </c>
      <c r="DM24" s="2"/>
      <c r="DN24" s="2" t="s">
        <v>303</v>
      </c>
      <c r="DO24" s="2" t="s">
        <v>331</v>
      </c>
      <c r="DP24" s="1">
        <v>0</v>
      </c>
      <c r="DQ24" s="2"/>
      <c r="DR24" s="2"/>
      <c r="DS24" s="2" t="s">
        <v>305</v>
      </c>
      <c r="DT24" s="2" t="s">
        <v>331</v>
      </c>
      <c r="DU24" s="1">
        <v>0</v>
      </c>
      <c r="DV24" s="2"/>
      <c r="DW24" s="2"/>
      <c r="DX24" s="2"/>
      <c r="DY24" s="1">
        <v>1</v>
      </c>
      <c r="DZ24" s="2" t="s">
        <v>459</v>
      </c>
      <c r="EA24" s="2" t="s">
        <v>303</v>
      </c>
      <c r="EB24" s="2" t="s">
        <v>331</v>
      </c>
      <c r="EC24" s="1">
        <v>0</v>
      </c>
      <c r="ED24" s="2"/>
      <c r="EE24" s="2"/>
      <c r="EF24" s="2" t="s">
        <v>288</v>
      </c>
      <c r="EG24" s="2" t="s">
        <v>331</v>
      </c>
      <c r="EH24" s="1">
        <v>0</v>
      </c>
      <c r="EI24" s="2"/>
      <c r="EJ24" s="2"/>
      <c r="EK24" s="2" t="s">
        <v>460</v>
      </c>
      <c r="EL24" s="1">
        <v>0</v>
      </c>
      <c r="EM24" s="2"/>
      <c r="EN24" s="1">
        <v>0</v>
      </c>
      <c r="EO24" s="2"/>
      <c r="EP24" s="2" t="s">
        <v>328</v>
      </c>
      <c r="EQ24" s="2" t="s">
        <v>328</v>
      </c>
      <c r="ER24" s="1">
        <v>0</v>
      </c>
      <c r="ES24" s="2"/>
      <c r="ET24" s="2"/>
      <c r="EU24" s="2"/>
      <c r="EV24" s="2"/>
      <c r="EW24" s="2"/>
      <c r="EX24" s="2"/>
      <c r="EY24" s="2"/>
      <c r="EZ24" s="2"/>
      <c r="FA24" s="1">
        <v>0</v>
      </c>
      <c r="FB24" s="2"/>
      <c r="FC24" s="2"/>
      <c r="FD24" s="2"/>
      <c r="FE24" s="2" t="s">
        <v>346</v>
      </c>
      <c r="FF24" s="2" t="s">
        <v>335</v>
      </c>
      <c r="FG24" s="2" t="s">
        <v>461</v>
      </c>
      <c r="FH24" s="2"/>
      <c r="FI24" s="1">
        <v>-1</v>
      </c>
      <c r="FJ24" s="1">
        <v>-1</v>
      </c>
      <c r="FK24" s="1">
        <v>-1</v>
      </c>
      <c r="FL24" s="1">
        <v>-1</v>
      </c>
      <c r="FM24" s="1">
        <v>-1</v>
      </c>
      <c r="FN24" s="1">
        <v>-1</v>
      </c>
      <c r="FO24" s="1">
        <v>-1</v>
      </c>
      <c r="FP24" s="1">
        <v>-1</v>
      </c>
      <c r="FQ24" s="1">
        <v>-1</v>
      </c>
      <c r="FR24" s="1">
        <v>-1</v>
      </c>
      <c r="FS24" s="1">
        <v>-1</v>
      </c>
      <c r="FT24" s="1">
        <v>-1</v>
      </c>
      <c r="FU24" s="1">
        <v>-1</v>
      </c>
      <c r="FV24" s="1">
        <v>-1</v>
      </c>
      <c r="FW24" s="1">
        <v>-1</v>
      </c>
      <c r="FX24" s="1">
        <v>-15</v>
      </c>
      <c r="FY24" s="3"/>
      <c r="FZ24" s="3"/>
      <c r="GA24" s="2" t="s">
        <v>319</v>
      </c>
      <c r="GB24" s="2" t="s">
        <v>320</v>
      </c>
      <c r="GC24" s="2" t="s">
        <v>277</v>
      </c>
      <c r="GD24" s="1">
        <v>15</v>
      </c>
      <c r="GE24" s="1">
        <v>15</v>
      </c>
      <c r="GF24" s="1">
        <v>38</v>
      </c>
      <c r="GG24" s="1">
        <v>16</v>
      </c>
      <c r="GH24" s="4"/>
    </row>
    <row r="25" spans="1:190" x14ac:dyDescent="0.25">
      <c r="A25" s="1">
        <v>163</v>
      </c>
      <c r="B25" s="2" t="s">
        <v>347</v>
      </c>
      <c r="C25" s="2" t="s">
        <v>353</v>
      </c>
      <c r="D25" s="2" t="s">
        <v>320</v>
      </c>
      <c r="E25" s="2" t="s">
        <v>282</v>
      </c>
      <c r="F25" s="2" t="s">
        <v>282</v>
      </c>
      <c r="G25" s="2" t="s">
        <v>282</v>
      </c>
      <c r="H25" s="2" t="s">
        <v>282</v>
      </c>
      <c r="I25" s="2" t="s">
        <v>282</v>
      </c>
      <c r="J25" s="2" t="s">
        <v>281</v>
      </c>
      <c r="K25" s="2" t="s">
        <v>282</v>
      </c>
      <c r="L25" s="2" t="s">
        <v>282</v>
      </c>
      <c r="M25" s="2" t="s">
        <v>282</v>
      </c>
      <c r="N25" s="1">
        <v>0</v>
      </c>
      <c r="O25" s="2"/>
      <c r="P25" s="2"/>
      <c r="Q25" s="2" t="s">
        <v>355</v>
      </c>
      <c r="R25" s="2"/>
      <c r="S25" s="2"/>
      <c r="T25" s="11" t="s">
        <v>322</v>
      </c>
      <c r="U25" s="2"/>
      <c r="V25" s="1">
        <v>0</v>
      </c>
      <c r="W25" s="2"/>
      <c r="X25" s="2"/>
      <c r="Y25" s="2" t="s">
        <v>294</v>
      </c>
      <c r="Z25" s="2" t="s">
        <v>331</v>
      </c>
      <c r="AA25" s="1">
        <v>0</v>
      </c>
      <c r="AB25" s="2"/>
      <c r="AC25" s="2"/>
      <c r="AD25" s="2"/>
      <c r="AE25" s="2" t="s">
        <v>331</v>
      </c>
      <c r="AF25" s="1">
        <v>0</v>
      </c>
      <c r="AG25" s="2"/>
      <c r="AH25" s="2"/>
      <c r="AI25" s="1">
        <v>0</v>
      </c>
      <c r="AJ25" s="2"/>
      <c r="AK25" s="2"/>
      <c r="AL25" s="2" t="s">
        <v>328</v>
      </c>
      <c r="AM25" s="1"/>
      <c r="AN25" s="2"/>
      <c r="AO25" s="2"/>
      <c r="AP25" s="2"/>
      <c r="AQ25" s="2"/>
      <c r="AR25" s="1"/>
      <c r="AS25" s="2"/>
      <c r="AT25" s="2"/>
      <c r="AU25" s="2"/>
      <c r="AV25" s="2"/>
      <c r="AW25" s="1"/>
      <c r="AX25" s="2"/>
      <c r="AY25" s="2"/>
      <c r="AZ25" s="1"/>
      <c r="BA25" s="2"/>
      <c r="BB25" s="2"/>
      <c r="BC25" s="2"/>
      <c r="BD25" s="2"/>
      <c r="BE25" s="1"/>
      <c r="BF25" s="2"/>
      <c r="BG25" s="2"/>
      <c r="BH25" s="2"/>
      <c r="BI25" s="2"/>
      <c r="BJ25" s="1"/>
      <c r="BK25" s="2"/>
      <c r="BL25" s="2"/>
      <c r="BM25" s="1"/>
      <c r="BN25" s="2"/>
      <c r="BO25" s="2"/>
      <c r="BP25" s="1"/>
      <c r="BQ25" s="2"/>
      <c r="BR25" s="2"/>
      <c r="BS25" s="2"/>
      <c r="BT25" s="1"/>
      <c r="BU25" s="2"/>
      <c r="BV25" s="2"/>
      <c r="BW25" s="2"/>
      <c r="BX25" s="2"/>
      <c r="BY25" s="1"/>
      <c r="BZ25" s="2"/>
      <c r="CA25" s="2"/>
      <c r="CB25" s="1"/>
      <c r="CC25" s="2"/>
      <c r="CD25" s="2"/>
      <c r="CE25" s="1"/>
      <c r="CF25" s="2"/>
      <c r="CG25" s="2"/>
      <c r="CH25" s="2"/>
      <c r="CI25" s="2"/>
      <c r="CJ25" s="1"/>
      <c r="CK25" s="2"/>
      <c r="CL25" s="2"/>
      <c r="CM25" s="2"/>
      <c r="CN25" s="2"/>
      <c r="CO25" s="1"/>
      <c r="CP25" s="2"/>
      <c r="CQ25" s="2"/>
      <c r="CR25" s="1"/>
      <c r="CS25" s="2"/>
      <c r="CT25" s="2"/>
      <c r="CU25" s="1"/>
      <c r="CV25" s="2"/>
      <c r="CW25" s="2"/>
      <c r="CX25" s="2"/>
      <c r="CY25" s="2"/>
      <c r="CZ25" s="1"/>
      <c r="DA25" s="2"/>
      <c r="DB25" s="2"/>
      <c r="DC25" s="2"/>
      <c r="DD25" s="2"/>
      <c r="DE25" s="1"/>
      <c r="DF25" s="2"/>
      <c r="DG25" s="2"/>
      <c r="DH25" s="1"/>
      <c r="DI25" s="2"/>
      <c r="DJ25" s="2"/>
      <c r="DK25" s="1"/>
      <c r="DL25" s="2"/>
      <c r="DM25" s="2"/>
      <c r="DN25" s="2"/>
      <c r="DO25" s="2"/>
      <c r="DP25" s="1"/>
      <c r="DQ25" s="2"/>
      <c r="DR25" s="2"/>
      <c r="DS25" s="2"/>
      <c r="DT25" s="2"/>
      <c r="DU25" s="1"/>
      <c r="DV25" s="2"/>
      <c r="DW25" s="2"/>
      <c r="DX25" s="2"/>
      <c r="DY25" s="1"/>
      <c r="DZ25" s="2"/>
      <c r="EA25" s="2"/>
      <c r="EB25" s="2"/>
      <c r="EC25" s="1"/>
      <c r="ED25" s="2"/>
      <c r="EE25" s="2"/>
      <c r="EF25" s="2"/>
      <c r="EG25" s="2"/>
      <c r="EH25" s="1"/>
      <c r="EI25" s="2"/>
      <c r="EJ25" s="2"/>
      <c r="EK25" s="2"/>
      <c r="EL25" s="1"/>
      <c r="EM25" s="2"/>
      <c r="EN25" s="1"/>
      <c r="EO25" s="2"/>
      <c r="EP25" s="2"/>
      <c r="EQ25" s="2"/>
      <c r="ER25" s="1"/>
      <c r="ES25" s="2"/>
      <c r="ET25" s="2"/>
      <c r="EU25" s="2"/>
      <c r="EV25" s="2"/>
      <c r="EW25" s="2"/>
      <c r="EX25" s="2"/>
      <c r="EY25" s="2"/>
      <c r="EZ25" s="2"/>
      <c r="FA25" s="1"/>
      <c r="FB25" s="2"/>
      <c r="FC25" s="2"/>
      <c r="FD25" s="2"/>
      <c r="FE25" s="2" t="s">
        <v>350</v>
      </c>
      <c r="FF25" s="2"/>
      <c r="FG25" s="2"/>
      <c r="FH25" s="2"/>
      <c r="FI25" s="1">
        <v>-1</v>
      </c>
      <c r="FJ25" s="1">
        <v>-1</v>
      </c>
      <c r="FK25" s="1">
        <v>-1</v>
      </c>
      <c r="FL25" s="1">
        <v>-1</v>
      </c>
      <c r="FM25" s="1">
        <v>-1</v>
      </c>
      <c r="FN25" s="1">
        <v>-1</v>
      </c>
      <c r="FO25" s="1"/>
      <c r="FP25" s="1"/>
      <c r="FQ25" s="1"/>
      <c r="FR25" s="1"/>
      <c r="FS25" s="1"/>
      <c r="FT25" s="1"/>
      <c r="FU25" s="1"/>
      <c r="FV25" s="1"/>
      <c r="FW25" s="1"/>
      <c r="FX25" s="1">
        <v>-6</v>
      </c>
      <c r="FY25" s="3"/>
      <c r="FZ25" s="3"/>
      <c r="GA25" s="2"/>
      <c r="GB25" s="2" t="s">
        <v>277</v>
      </c>
      <c r="GC25" s="2" t="s">
        <v>277</v>
      </c>
      <c r="GD25" s="1">
        <v>6</v>
      </c>
      <c r="GE25" s="1">
        <v>6</v>
      </c>
      <c r="GF25" s="1">
        <v>41</v>
      </c>
      <c r="GG25" s="1">
        <v>19</v>
      </c>
      <c r="GH25" s="4"/>
    </row>
    <row r="26" spans="1:190" x14ac:dyDescent="0.25">
      <c r="A26" s="1">
        <v>164</v>
      </c>
      <c r="B26" s="2" t="s">
        <v>347</v>
      </c>
      <c r="C26" s="2" t="s">
        <v>353</v>
      </c>
      <c r="D26" s="2" t="s">
        <v>320</v>
      </c>
      <c r="E26" s="2" t="s">
        <v>281</v>
      </c>
      <c r="F26" s="2" t="s">
        <v>282</v>
      </c>
      <c r="G26" s="2" t="s">
        <v>282</v>
      </c>
      <c r="H26" s="2" t="s">
        <v>282</v>
      </c>
      <c r="I26" s="2" t="s">
        <v>282</v>
      </c>
      <c r="J26" s="2" t="s">
        <v>282</v>
      </c>
      <c r="K26" s="2" t="s">
        <v>282</v>
      </c>
      <c r="L26" s="2" t="s">
        <v>282</v>
      </c>
      <c r="M26" s="2" t="s">
        <v>282</v>
      </c>
      <c r="N26" s="1">
        <v>0</v>
      </c>
      <c r="O26" s="2"/>
      <c r="P26" s="2"/>
      <c r="Q26" s="2" t="s">
        <v>355</v>
      </c>
      <c r="R26" s="2"/>
      <c r="S26" s="2"/>
      <c r="T26" s="11" t="s">
        <v>322</v>
      </c>
      <c r="U26" s="2"/>
      <c r="V26" s="1"/>
      <c r="W26" s="2"/>
      <c r="X26" s="2"/>
      <c r="Y26" s="2"/>
      <c r="Z26" s="2"/>
      <c r="AA26" s="1"/>
      <c r="AB26" s="2"/>
      <c r="AC26" s="2"/>
      <c r="AD26" s="2"/>
      <c r="AE26" s="2"/>
      <c r="AF26" s="1"/>
      <c r="AG26" s="2"/>
      <c r="AH26" s="2"/>
      <c r="AI26" s="1"/>
      <c r="AJ26" s="2"/>
      <c r="AK26" s="2"/>
      <c r="AL26" s="2"/>
      <c r="AM26" s="1"/>
      <c r="AN26" s="2"/>
      <c r="AO26" s="2"/>
      <c r="AP26" s="2"/>
      <c r="AQ26" s="2"/>
      <c r="AR26" s="1"/>
      <c r="AS26" s="2"/>
      <c r="AT26" s="2"/>
      <c r="AU26" s="2"/>
      <c r="AV26" s="2"/>
      <c r="AW26" s="1"/>
      <c r="AX26" s="2"/>
      <c r="AY26" s="2"/>
      <c r="AZ26" s="1"/>
      <c r="BA26" s="2"/>
      <c r="BB26" s="2"/>
      <c r="BC26" s="2"/>
      <c r="BD26" s="2"/>
      <c r="BE26" s="1"/>
      <c r="BF26" s="2"/>
      <c r="BG26" s="2"/>
      <c r="BH26" s="2"/>
      <c r="BI26" s="2"/>
      <c r="BJ26" s="1"/>
      <c r="BK26" s="2"/>
      <c r="BL26" s="2"/>
      <c r="BM26" s="1"/>
      <c r="BN26" s="2"/>
      <c r="BO26" s="2"/>
      <c r="BP26" s="1"/>
      <c r="BQ26" s="2"/>
      <c r="BR26" s="2"/>
      <c r="BS26" s="2"/>
      <c r="BT26" s="1"/>
      <c r="BU26" s="2"/>
      <c r="BV26" s="2"/>
      <c r="BW26" s="2"/>
      <c r="BX26" s="2"/>
      <c r="BY26" s="1"/>
      <c r="BZ26" s="2"/>
      <c r="CA26" s="2"/>
      <c r="CB26" s="1"/>
      <c r="CC26" s="2"/>
      <c r="CD26" s="2"/>
      <c r="CE26" s="1"/>
      <c r="CF26" s="2"/>
      <c r="CG26" s="2"/>
      <c r="CH26" s="2"/>
      <c r="CI26" s="2"/>
      <c r="CJ26" s="1"/>
      <c r="CK26" s="2"/>
      <c r="CL26" s="2"/>
      <c r="CM26" s="2"/>
      <c r="CN26" s="2"/>
      <c r="CO26" s="1"/>
      <c r="CP26" s="2"/>
      <c r="CQ26" s="2"/>
      <c r="CR26" s="1"/>
      <c r="CS26" s="2"/>
      <c r="CT26" s="2"/>
      <c r="CU26" s="1"/>
      <c r="CV26" s="2"/>
      <c r="CW26" s="2"/>
      <c r="CX26" s="2"/>
      <c r="CY26" s="2"/>
      <c r="CZ26" s="1"/>
      <c r="DA26" s="2"/>
      <c r="DB26" s="2"/>
      <c r="DC26" s="2"/>
      <c r="DD26" s="2"/>
      <c r="DE26" s="1"/>
      <c r="DF26" s="2"/>
      <c r="DG26" s="2"/>
      <c r="DH26" s="1"/>
      <c r="DI26" s="2"/>
      <c r="DJ26" s="2"/>
      <c r="DK26" s="1"/>
      <c r="DL26" s="2"/>
      <c r="DM26" s="2"/>
      <c r="DN26" s="2"/>
      <c r="DO26" s="2"/>
      <c r="DP26" s="1"/>
      <c r="DQ26" s="2"/>
      <c r="DR26" s="2"/>
      <c r="DS26" s="2"/>
      <c r="DT26" s="2"/>
      <c r="DU26" s="1"/>
      <c r="DV26" s="2"/>
      <c r="DW26" s="2"/>
      <c r="DX26" s="2"/>
      <c r="DY26" s="1"/>
      <c r="DZ26" s="2"/>
      <c r="EA26" s="2"/>
      <c r="EB26" s="2"/>
      <c r="EC26" s="1"/>
      <c r="ED26" s="2"/>
      <c r="EE26" s="2"/>
      <c r="EF26" s="2"/>
      <c r="EG26" s="2"/>
      <c r="EH26" s="1"/>
      <c r="EI26" s="2"/>
      <c r="EJ26" s="2"/>
      <c r="EK26" s="2"/>
      <c r="EL26" s="1"/>
      <c r="EM26" s="2"/>
      <c r="EN26" s="1"/>
      <c r="EO26" s="2"/>
      <c r="EP26" s="2"/>
      <c r="EQ26" s="2"/>
      <c r="ER26" s="1"/>
      <c r="ES26" s="2"/>
      <c r="ET26" s="2"/>
      <c r="EU26" s="2"/>
      <c r="EV26" s="2"/>
      <c r="EW26" s="2"/>
      <c r="EX26" s="2"/>
      <c r="EY26" s="2"/>
      <c r="EZ26" s="2"/>
      <c r="FA26" s="1"/>
      <c r="FB26" s="2"/>
      <c r="FC26" s="2"/>
      <c r="FD26" s="2"/>
      <c r="FE26" s="2" t="s">
        <v>350</v>
      </c>
      <c r="FF26" s="2"/>
      <c r="FG26" s="2"/>
      <c r="FH26" s="2"/>
      <c r="FI26" s="1">
        <v>-1</v>
      </c>
      <c r="FJ26" s="1">
        <v>-1</v>
      </c>
      <c r="FK26" s="1">
        <v>-1</v>
      </c>
      <c r="FL26" s="1">
        <v>-1</v>
      </c>
      <c r="FM26" s="1">
        <v>-1</v>
      </c>
      <c r="FN26" s="1"/>
      <c r="FO26" s="1"/>
      <c r="FP26" s="1"/>
      <c r="FQ26" s="1"/>
      <c r="FR26" s="1"/>
      <c r="FS26" s="1"/>
      <c r="FT26" s="1"/>
      <c r="FU26" s="1"/>
      <c r="FV26" s="1"/>
      <c r="FW26" s="1"/>
      <c r="FX26" s="1">
        <v>-5</v>
      </c>
      <c r="FY26" s="3"/>
      <c r="FZ26" s="3"/>
      <c r="GA26" s="2"/>
      <c r="GB26" s="2" t="s">
        <v>277</v>
      </c>
      <c r="GC26" s="2" t="s">
        <v>277</v>
      </c>
      <c r="GD26" s="1">
        <v>5</v>
      </c>
      <c r="GE26" s="1">
        <v>5</v>
      </c>
      <c r="GF26" s="1">
        <v>14</v>
      </c>
      <c r="GG26" s="1">
        <v>1</v>
      </c>
      <c r="GH26" s="4"/>
    </row>
    <row r="27" spans="1:190" x14ac:dyDescent="0.25">
      <c r="A27" s="1">
        <v>165</v>
      </c>
      <c r="B27" s="2" t="s">
        <v>347</v>
      </c>
      <c r="C27" s="2" t="s">
        <v>353</v>
      </c>
      <c r="D27" s="2" t="s">
        <v>320</v>
      </c>
      <c r="E27" s="2" t="s">
        <v>282</v>
      </c>
      <c r="F27" s="2" t="s">
        <v>282</v>
      </c>
      <c r="G27" s="2" t="s">
        <v>282</v>
      </c>
      <c r="H27" s="2" t="s">
        <v>282</v>
      </c>
      <c r="I27" s="2" t="s">
        <v>282</v>
      </c>
      <c r="J27" s="2" t="s">
        <v>281</v>
      </c>
      <c r="K27" s="2" t="s">
        <v>282</v>
      </c>
      <c r="L27" s="2" t="s">
        <v>282</v>
      </c>
      <c r="M27" s="2" t="s">
        <v>282</v>
      </c>
      <c r="N27" s="1">
        <v>0</v>
      </c>
      <c r="O27" s="2"/>
      <c r="P27" s="2"/>
      <c r="Q27" s="2" t="s">
        <v>355</v>
      </c>
      <c r="R27" s="2"/>
      <c r="S27" s="2"/>
      <c r="T27" s="11" t="s">
        <v>322</v>
      </c>
      <c r="U27" s="2"/>
      <c r="V27" s="1">
        <v>0</v>
      </c>
      <c r="W27" s="2"/>
      <c r="X27" s="2"/>
      <c r="Y27" s="2" t="s">
        <v>294</v>
      </c>
      <c r="Z27" s="2" t="s">
        <v>331</v>
      </c>
      <c r="AA27" s="1">
        <v>0</v>
      </c>
      <c r="AB27" s="2"/>
      <c r="AC27" s="2"/>
      <c r="AD27" s="2" t="s">
        <v>305</v>
      </c>
      <c r="AE27" s="2" t="s">
        <v>297</v>
      </c>
      <c r="AF27" s="1">
        <v>0</v>
      </c>
      <c r="AG27" s="2"/>
      <c r="AH27" s="2"/>
      <c r="AI27" s="1">
        <v>0</v>
      </c>
      <c r="AJ27" s="2"/>
      <c r="AK27" s="2"/>
      <c r="AL27" s="2" t="s">
        <v>299</v>
      </c>
      <c r="AM27" s="1"/>
      <c r="AN27" s="2"/>
      <c r="AO27" s="2"/>
      <c r="AP27" s="2"/>
      <c r="AQ27" s="2"/>
      <c r="AR27" s="1"/>
      <c r="AS27" s="2"/>
      <c r="AT27" s="2"/>
      <c r="AU27" s="2"/>
      <c r="AV27" s="2"/>
      <c r="AW27" s="1"/>
      <c r="AX27" s="2"/>
      <c r="AY27" s="2"/>
      <c r="AZ27" s="1"/>
      <c r="BA27" s="2"/>
      <c r="BB27" s="2"/>
      <c r="BC27" s="2"/>
      <c r="BD27" s="2"/>
      <c r="BE27" s="1"/>
      <c r="BF27" s="2"/>
      <c r="BG27" s="2"/>
      <c r="BH27" s="2"/>
      <c r="BI27" s="2"/>
      <c r="BJ27" s="1"/>
      <c r="BK27" s="2"/>
      <c r="BL27" s="2"/>
      <c r="BM27" s="1"/>
      <c r="BN27" s="2"/>
      <c r="BO27" s="2"/>
      <c r="BP27" s="1"/>
      <c r="BQ27" s="2"/>
      <c r="BR27" s="2"/>
      <c r="BS27" s="2"/>
      <c r="BT27" s="1"/>
      <c r="BU27" s="2"/>
      <c r="BV27" s="2"/>
      <c r="BW27" s="2"/>
      <c r="BX27" s="2"/>
      <c r="BY27" s="1"/>
      <c r="BZ27" s="2"/>
      <c r="CA27" s="2"/>
      <c r="CB27" s="1"/>
      <c r="CC27" s="2"/>
      <c r="CD27" s="2"/>
      <c r="CE27" s="1"/>
      <c r="CF27" s="2"/>
      <c r="CG27" s="2"/>
      <c r="CH27" s="2"/>
      <c r="CI27" s="2"/>
      <c r="CJ27" s="1"/>
      <c r="CK27" s="2"/>
      <c r="CL27" s="2"/>
      <c r="CM27" s="2"/>
      <c r="CN27" s="2"/>
      <c r="CO27" s="1"/>
      <c r="CP27" s="2"/>
      <c r="CQ27" s="2"/>
      <c r="CR27" s="1"/>
      <c r="CS27" s="2"/>
      <c r="CT27" s="2"/>
      <c r="CU27" s="1"/>
      <c r="CV27" s="2"/>
      <c r="CW27" s="2"/>
      <c r="CX27" s="2"/>
      <c r="CY27" s="2"/>
      <c r="CZ27" s="1"/>
      <c r="DA27" s="2"/>
      <c r="DB27" s="2"/>
      <c r="DC27" s="2"/>
      <c r="DD27" s="2"/>
      <c r="DE27" s="1"/>
      <c r="DF27" s="2"/>
      <c r="DG27" s="2"/>
      <c r="DH27" s="1"/>
      <c r="DI27" s="2"/>
      <c r="DJ27" s="2"/>
      <c r="DK27" s="1"/>
      <c r="DL27" s="2"/>
      <c r="DM27" s="2"/>
      <c r="DN27" s="2"/>
      <c r="DO27" s="2"/>
      <c r="DP27" s="1"/>
      <c r="DQ27" s="2"/>
      <c r="DR27" s="2"/>
      <c r="DS27" s="2"/>
      <c r="DT27" s="2"/>
      <c r="DU27" s="1"/>
      <c r="DV27" s="2"/>
      <c r="DW27" s="2"/>
      <c r="DX27" s="2"/>
      <c r="DY27" s="1"/>
      <c r="DZ27" s="2"/>
      <c r="EA27" s="2"/>
      <c r="EB27" s="2"/>
      <c r="EC27" s="1"/>
      <c r="ED27" s="2"/>
      <c r="EE27" s="2"/>
      <c r="EF27" s="2"/>
      <c r="EG27" s="2"/>
      <c r="EH27" s="1"/>
      <c r="EI27" s="2"/>
      <c r="EJ27" s="2"/>
      <c r="EK27" s="2"/>
      <c r="EL27" s="1"/>
      <c r="EM27" s="2"/>
      <c r="EN27" s="1"/>
      <c r="EO27" s="2"/>
      <c r="EP27" s="2"/>
      <c r="EQ27" s="2"/>
      <c r="ER27" s="1"/>
      <c r="ES27" s="2"/>
      <c r="ET27" s="2"/>
      <c r="EU27" s="2"/>
      <c r="EV27" s="2"/>
      <c r="EW27" s="2"/>
      <c r="EX27" s="2"/>
      <c r="EY27" s="2"/>
      <c r="EZ27" s="2"/>
      <c r="FA27" s="1"/>
      <c r="FB27" s="2"/>
      <c r="FC27" s="2"/>
      <c r="FD27" s="2"/>
      <c r="FE27" s="2" t="s">
        <v>350</v>
      </c>
      <c r="FF27" s="2"/>
      <c r="FG27" s="2"/>
      <c r="FH27" s="2"/>
      <c r="FI27" s="1">
        <v>-1</v>
      </c>
      <c r="FJ27" s="1">
        <v>-1</v>
      </c>
      <c r="FK27" s="1">
        <v>-1</v>
      </c>
      <c r="FL27" s="1">
        <v>-1</v>
      </c>
      <c r="FM27" s="1">
        <v>-1</v>
      </c>
      <c r="FN27" s="1">
        <v>-1</v>
      </c>
      <c r="FO27" s="1"/>
      <c r="FP27" s="1"/>
      <c r="FQ27" s="1"/>
      <c r="FR27" s="1"/>
      <c r="FS27" s="1"/>
      <c r="FT27" s="1"/>
      <c r="FU27" s="1"/>
      <c r="FV27" s="1"/>
      <c r="FW27" s="1"/>
      <c r="FX27" s="1">
        <v>-6</v>
      </c>
      <c r="FY27" s="3"/>
      <c r="FZ27" s="3"/>
      <c r="GA27" s="2"/>
      <c r="GB27" s="2" t="s">
        <v>277</v>
      </c>
      <c r="GC27" s="2" t="s">
        <v>277</v>
      </c>
      <c r="GD27" s="1">
        <v>6</v>
      </c>
      <c r="GE27" s="1">
        <v>6</v>
      </c>
      <c r="GF27" s="1">
        <v>35</v>
      </c>
      <c r="GG27" s="1">
        <v>11</v>
      </c>
      <c r="GH27" s="4"/>
    </row>
    <row r="28" spans="1:190" x14ac:dyDescent="0.25">
      <c r="A28" s="1">
        <v>166</v>
      </c>
      <c r="B28" s="2" t="s">
        <v>321</v>
      </c>
      <c r="C28" s="2" t="s">
        <v>353</v>
      </c>
      <c r="D28" s="2" t="s">
        <v>422</v>
      </c>
      <c r="E28" s="2" t="s">
        <v>282</v>
      </c>
      <c r="F28" s="2" t="s">
        <v>281</v>
      </c>
      <c r="G28" s="2" t="s">
        <v>282</v>
      </c>
      <c r="H28" s="2" t="s">
        <v>282</v>
      </c>
      <c r="I28" s="2" t="s">
        <v>282</v>
      </c>
      <c r="J28" s="2" t="s">
        <v>281</v>
      </c>
      <c r="K28" s="2" t="s">
        <v>282</v>
      </c>
      <c r="L28" s="2" t="s">
        <v>282</v>
      </c>
      <c r="M28" s="2" t="s">
        <v>282</v>
      </c>
      <c r="N28" s="1">
        <v>1</v>
      </c>
      <c r="O28" s="2"/>
      <c r="P28" s="2" t="s">
        <v>462</v>
      </c>
      <c r="Q28" s="2" t="s">
        <v>337</v>
      </c>
      <c r="R28" s="2"/>
      <c r="S28" s="2" t="s">
        <v>463</v>
      </c>
      <c r="T28" s="2"/>
      <c r="U28" s="2"/>
      <c r="V28" s="1">
        <v>0</v>
      </c>
      <c r="W28" s="2"/>
      <c r="X28" s="2"/>
      <c r="Y28" s="2" t="s">
        <v>303</v>
      </c>
      <c r="Z28" s="2" t="s">
        <v>331</v>
      </c>
      <c r="AA28" s="1">
        <v>0</v>
      </c>
      <c r="AB28" s="2"/>
      <c r="AC28" s="2"/>
      <c r="AD28" s="2" t="s">
        <v>305</v>
      </c>
      <c r="AE28" s="2" t="s">
        <v>297</v>
      </c>
      <c r="AF28" s="1">
        <v>0</v>
      </c>
      <c r="AG28" s="2"/>
      <c r="AH28" s="2"/>
      <c r="AI28" s="1">
        <v>0</v>
      </c>
      <c r="AJ28" s="2"/>
      <c r="AK28" s="2"/>
      <c r="AL28" s="2" t="s">
        <v>296</v>
      </c>
      <c r="AM28" s="1">
        <v>0</v>
      </c>
      <c r="AN28" s="2"/>
      <c r="AO28" s="2"/>
      <c r="AP28" s="2" t="s">
        <v>301</v>
      </c>
      <c r="AQ28" s="2" t="s">
        <v>287</v>
      </c>
      <c r="AR28" s="1">
        <v>0</v>
      </c>
      <c r="AS28" s="2"/>
      <c r="AT28" s="2"/>
      <c r="AU28" s="2" t="s">
        <v>324</v>
      </c>
      <c r="AV28" s="2" t="s">
        <v>297</v>
      </c>
      <c r="AW28" s="1">
        <v>0</v>
      </c>
      <c r="AX28" s="2"/>
      <c r="AY28" s="2"/>
      <c r="AZ28" s="1">
        <v>0</v>
      </c>
      <c r="BA28" s="2"/>
      <c r="BB28" s="2" t="s">
        <v>299</v>
      </c>
      <c r="BC28" s="2" t="s">
        <v>303</v>
      </c>
      <c r="BD28" s="2" t="s">
        <v>297</v>
      </c>
      <c r="BE28" s="1">
        <v>0</v>
      </c>
      <c r="BF28" s="2"/>
      <c r="BG28" s="2"/>
      <c r="BH28" s="2" t="s">
        <v>305</v>
      </c>
      <c r="BI28" s="2" t="s">
        <v>331</v>
      </c>
      <c r="BJ28" s="1">
        <v>0</v>
      </c>
      <c r="BK28" s="2"/>
      <c r="BL28" s="2"/>
      <c r="BM28" s="1">
        <v>0</v>
      </c>
      <c r="BN28" s="2"/>
      <c r="BO28" s="2" t="s">
        <v>296</v>
      </c>
      <c r="BP28" s="1">
        <v>0</v>
      </c>
      <c r="BQ28" s="2"/>
      <c r="BR28" s="2" t="s">
        <v>301</v>
      </c>
      <c r="BS28" s="2" t="s">
        <v>339</v>
      </c>
      <c r="BT28" s="1">
        <v>0</v>
      </c>
      <c r="BU28" s="2"/>
      <c r="BV28" s="2"/>
      <c r="BW28" s="2" t="s">
        <v>324</v>
      </c>
      <c r="BX28" s="2" t="s">
        <v>297</v>
      </c>
      <c r="BY28" s="1">
        <v>0</v>
      </c>
      <c r="BZ28" s="2"/>
      <c r="CA28" s="2"/>
      <c r="CB28" s="1">
        <v>0</v>
      </c>
      <c r="CC28" s="2"/>
      <c r="CD28" s="2" t="s">
        <v>296</v>
      </c>
      <c r="CE28" s="1"/>
      <c r="CF28" s="2"/>
      <c r="CG28" s="2"/>
      <c r="CH28" s="2"/>
      <c r="CI28" s="2"/>
      <c r="CJ28" s="1"/>
      <c r="CK28" s="2"/>
      <c r="CL28" s="2"/>
      <c r="CM28" s="2"/>
      <c r="CN28" s="2"/>
      <c r="CO28" s="1"/>
      <c r="CP28" s="2"/>
      <c r="CQ28" s="2"/>
      <c r="CR28" s="1"/>
      <c r="CS28" s="2"/>
      <c r="CT28" s="2"/>
      <c r="CU28" s="1"/>
      <c r="CV28" s="2"/>
      <c r="CW28" s="2"/>
      <c r="CX28" s="2"/>
      <c r="CY28" s="2"/>
      <c r="CZ28" s="1"/>
      <c r="DA28" s="2"/>
      <c r="DB28" s="2"/>
      <c r="DC28" s="2"/>
      <c r="DD28" s="2"/>
      <c r="DE28" s="1"/>
      <c r="DF28" s="2"/>
      <c r="DG28" s="2"/>
      <c r="DH28" s="1"/>
      <c r="DI28" s="2"/>
      <c r="DJ28" s="2"/>
      <c r="DK28" s="1"/>
      <c r="DL28" s="2"/>
      <c r="DM28" s="2"/>
      <c r="DN28" s="2"/>
      <c r="DO28" s="2"/>
      <c r="DP28" s="1"/>
      <c r="DQ28" s="2"/>
      <c r="DR28" s="2"/>
      <c r="DS28" s="2"/>
      <c r="DT28" s="2"/>
      <c r="DU28" s="1"/>
      <c r="DV28" s="2"/>
      <c r="DW28" s="2"/>
      <c r="DX28" s="2"/>
      <c r="DY28" s="1"/>
      <c r="DZ28" s="2"/>
      <c r="EA28" s="2"/>
      <c r="EB28" s="2"/>
      <c r="EC28" s="1"/>
      <c r="ED28" s="2"/>
      <c r="EE28" s="2"/>
      <c r="EF28" s="2"/>
      <c r="EG28" s="2"/>
      <c r="EH28" s="1"/>
      <c r="EI28" s="2"/>
      <c r="EJ28" s="2"/>
      <c r="EK28" s="2"/>
      <c r="EL28" s="1"/>
      <c r="EM28" s="2"/>
      <c r="EN28" s="1"/>
      <c r="EO28" s="2"/>
      <c r="EP28" s="2"/>
      <c r="EQ28" s="2"/>
      <c r="ER28" s="1"/>
      <c r="ES28" s="2"/>
      <c r="ET28" s="2"/>
      <c r="EU28" s="2"/>
      <c r="EV28" s="2"/>
      <c r="EW28" s="2"/>
      <c r="EX28" s="2"/>
      <c r="EY28" s="2"/>
      <c r="EZ28" s="2"/>
      <c r="FA28" s="1"/>
      <c r="FB28" s="2"/>
      <c r="FC28" s="2"/>
      <c r="FD28" s="2"/>
      <c r="FE28" s="2" t="s">
        <v>346</v>
      </c>
      <c r="FF28" s="2"/>
      <c r="FG28" s="2"/>
      <c r="FH28" s="2"/>
      <c r="FI28" s="1">
        <v>-1</v>
      </c>
      <c r="FJ28" s="1">
        <v>-1</v>
      </c>
      <c r="FK28" s="1">
        <v>-1</v>
      </c>
      <c r="FL28" s="1">
        <v>-1</v>
      </c>
      <c r="FM28" s="1">
        <v>-1</v>
      </c>
      <c r="FN28" s="1">
        <v>-1</v>
      </c>
      <c r="FO28" s="1">
        <v>-1</v>
      </c>
      <c r="FP28" s="1">
        <v>-1</v>
      </c>
      <c r="FQ28" s="1">
        <v>-1</v>
      </c>
      <c r="FR28" s="1"/>
      <c r="FS28" s="1"/>
      <c r="FT28" s="1"/>
      <c r="FU28" s="1"/>
      <c r="FV28" s="1"/>
      <c r="FW28" s="1"/>
      <c r="FX28" s="1">
        <v>-9</v>
      </c>
      <c r="FY28" s="3"/>
      <c r="FZ28" s="3"/>
      <c r="GA28" s="2"/>
      <c r="GB28" s="2" t="s">
        <v>277</v>
      </c>
      <c r="GC28" s="2" t="s">
        <v>277</v>
      </c>
      <c r="GD28" s="1">
        <v>9</v>
      </c>
      <c r="GE28" s="1">
        <v>9</v>
      </c>
      <c r="GF28" s="1">
        <v>40</v>
      </c>
      <c r="GG28" s="1">
        <v>14</v>
      </c>
      <c r="GH28" s="4"/>
    </row>
    <row r="29" spans="1:190" x14ac:dyDescent="0.25">
      <c r="A29" s="1">
        <v>170</v>
      </c>
      <c r="B29" s="2" t="s">
        <v>421</v>
      </c>
      <c r="C29" s="2" t="s">
        <v>279</v>
      </c>
      <c r="D29" s="2" t="s">
        <v>377</v>
      </c>
      <c r="E29" s="2" t="s">
        <v>282</v>
      </c>
      <c r="F29" s="2" t="s">
        <v>281</v>
      </c>
      <c r="G29" s="2" t="s">
        <v>282</v>
      </c>
      <c r="H29" s="2" t="s">
        <v>282</v>
      </c>
      <c r="I29" s="2" t="s">
        <v>282</v>
      </c>
      <c r="J29" s="2" t="s">
        <v>281</v>
      </c>
      <c r="K29" s="2" t="s">
        <v>282</v>
      </c>
      <c r="L29" s="2" t="s">
        <v>281</v>
      </c>
      <c r="M29" s="2" t="s">
        <v>282</v>
      </c>
      <c r="N29" s="1">
        <v>0</v>
      </c>
      <c r="O29" s="2"/>
      <c r="P29" s="2"/>
      <c r="Q29" s="2" t="s">
        <v>423</v>
      </c>
      <c r="R29" s="2"/>
      <c r="S29" s="2"/>
      <c r="T29" s="2"/>
      <c r="U29" s="12" t="s">
        <v>464</v>
      </c>
      <c r="V29" s="1">
        <v>0</v>
      </c>
      <c r="W29" s="2"/>
      <c r="X29" s="2"/>
      <c r="Y29" s="2" t="s">
        <v>294</v>
      </c>
      <c r="Z29" s="2" t="s">
        <v>297</v>
      </c>
      <c r="AA29" s="1">
        <v>0</v>
      </c>
      <c r="AB29" s="2"/>
      <c r="AC29" s="2"/>
      <c r="AD29" s="2" t="s">
        <v>298</v>
      </c>
      <c r="AE29" s="2" t="s">
        <v>302</v>
      </c>
      <c r="AF29" s="1">
        <v>0</v>
      </c>
      <c r="AG29" s="2"/>
      <c r="AH29" s="2"/>
      <c r="AI29" s="1">
        <v>1</v>
      </c>
      <c r="AJ29" s="2" t="s">
        <v>465</v>
      </c>
      <c r="AK29" s="2"/>
      <c r="AL29" s="2" t="s">
        <v>296</v>
      </c>
      <c r="AM29" s="1"/>
      <c r="AN29" s="2"/>
      <c r="AO29" s="2"/>
      <c r="AP29" s="2"/>
      <c r="AQ29" s="2"/>
      <c r="AR29" s="1"/>
      <c r="AS29" s="2"/>
      <c r="AT29" s="2"/>
      <c r="AU29" s="2"/>
      <c r="AV29" s="2"/>
      <c r="AW29" s="1"/>
      <c r="AX29" s="2"/>
      <c r="AY29" s="2"/>
      <c r="AZ29" s="1"/>
      <c r="BA29" s="2"/>
      <c r="BB29" s="2"/>
      <c r="BC29" s="2"/>
      <c r="BD29" s="2"/>
      <c r="BE29" s="1"/>
      <c r="BF29" s="2"/>
      <c r="BG29" s="2"/>
      <c r="BH29" s="2"/>
      <c r="BI29" s="2"/>
      <c r="BJ29" s="1"/>
      <c r="BK29" s="2"/>
      <c r="BL29" s="2"/>
      <c r="BM29" s="1"/>
      <c r="BN29" s="2"/>
      <c r="BO29" s="2"/>
      <c r="BP29" s="1"/>
      <c r="BQ29" s="2"/>
      <c r="BR29" s="2"/>
      <c r="BS29" s="2"/>
      <c r="BT29" s="1"/>
      <c r="BU29" s="2"/>
      <c r="BV29" s="2"/>
      <c r="BW29" s="2"/>
      <c r="BX29" s="2"/>
      <c r="BY29" s="1"/>
      <c r="BZ29" s="2"/>
      <c r="CA29" s="2"/>
      <c r="CB29" s="1"/>
      <c r="CC29" s="2"/>
      <c r="CD29" s="2"/>
      <c r="CE29" s="1"/>
      <c r="CF29" s="2"/>
      <c r="CG29" s="2"/>
      <c r="CH29" s="2"/>
      <c r="CI29" s="2"/>
      <c r="CJ29" s="1"/>
      <c r="CK29" s="2"/>
      <c r="CL29" s="2"/>
      <c r="CM29" s="2"/>
      <c r="CN29" s="2"/>
      <c r="CO29" s="1"/>
      <c r="CP29" s="2"/>
      <c r="CQ29" s="2"/>
      <c r="CR29" s="1"/>
      <c r="CS29" s="2"/>
      <c r="CT29" s="2"/>
      <c r="CU29" s="1"/>
      <c r="CV29" s="2"/>
      <c r="CW29" s="2"/>
      <c r="CX29" s="2"/>
      <c r="CY29" s="2"/>
      <c r="CZ29" s="1"/>
      <c r="DA29" s="2"/>
      <c r="DB29" s="2"/>
      <c r="DC29" s="2"/>
      <c r="DD29" s="2"/>
      <c r="DE29" s="1"/>
      <c r="DF29" s="2"/>
      <c r="DG29" s="2"/>
      <c r="DH29" s="1"/>
      <c r="DI29" s="2"/>
      <c r="DJ29" s="2"/>
      <c r="DK29" s="1"/>
      <c r="DL29" s="2"/>
      <c r="DM29" s="2"/>
      <c r="DN29" s="2"/>
      <c r="DO29" s="2"/>
      <c r="DP29" s="1"/>
      <c r="DQ29" s="2"/>
      <c r="DR29" s="2"/>
      <c r="DS29" s="2"/>
      <c r="DT29" s="2"/>
      <c r="DU29" s="1"/>
      <c r="DV29" s="2"/>
      <c r="DW29" s="2"/>
      <c r="DX29" s="2"/>
      <c r="DY29" s="1"/>
      <c r="DZ29" s="2"/>
      <c r="EA29" s="2"/>
      <c r="EB29" s="2"/>
      <c r="EC29" s="1"/>
      <c r="ED29" s="2"/>
      <c r="EE29" s="2"/>
      <c r="EF29" s="2"/>
      <c r="EG29" s="2"/>
      <c r="EH29" s="1"/>
      <c r="EI29" s="2"/>
      <c r="EJ29" s="2"/>
      <c r="EK29" s="2"/>
      <c r="EL29" s="1"/>
      <c r="EM29" s="2"/>
      <c r="EN29" s="1"/>
      <c r="EO29" s="2"/>
      <c r="EP29" s="2"/>
      <c r="EQ29" s="2"/>
      <c r="ER29" s="1"/>
      <c r="ES29" s="2"/>
      <c r="ET29" s="2"/>
      <c r="EU29" s="2"/>
      <c r="EV29" s="2"/>
      <c r="EW29" s="2"/>
      <c r="EX29" s="2"/>
      <c r="EY29" s="2"/>
      <c r="EZ29" s="2"/>
      <c r="FA29" s="1"/>
      <c r="FB29" s="2"/>
      <c r="FC29" s="2"/>
      <c r="FD29" s="2"/>
      <c r="FE29" s="2" t="s">
        <v>346</v>
      </c>
      <c r="FF29" s="2"/>
      <c r="FG29" s="2"/>
      <c r="FH29" s="2"/>
      <c r="FI29" s="1">
        <v>-1</v>
      </c>
      <c r="FJ29" s="1">
        <v>-1</v>
      </c>
      <c r="FK29" s="1">
        <v>-1</v>
      </c>
      <c r="FL29" s="1">
        <v>-1</v>
      </c>
      <c r="FM29" s="1">
        <v>-1</v>
      </c>
      <c r="FN29" s="1">
        <v>-1</v>
      </c>
      <c r="FO29" s="1"/>
      <c r="FP29" s="1"/>
      <c r="FQ29" s="1"/>
      <c r="FR29" s="1"/>
      <c r="FS29" s="1"/>
      <c r="FT29" s="1"/>
      <c r="FU29" s="1"/>
      <c r="FV29" s="1"/>
      <c r="FW29" s="1"/>
      <c r="FX29" s="1">
        <v>-6</v>
      </c>
      <c r="FY29" s="3"/>
      <c r="FZ29" s="3"/>
      <c r="GA29" s="2"/>
      <c r="GB29" s="2" t="s">
        <v>277</v>
      </c>
      <c r="GC29" s="2" t="s">
        <v>277</v>
      </c>
      <c r="GD29" s="1">
        <v>6</v>
      </c>
      <c r="GE29" s="1">
        <v>6</v>
      </c>
      <c r="GF29" s="1">
        <v>29</v>
      </c>
      <c r="GG29" s="1">
        <v>8</v>
      </c>
      <c r="GH29" s="4"/>
    </row>
    <row r="30" spans="1:190" x14ac:dyDescent="0.25">
      <c r="A30" s="1">
        <v>171</v>
      </c>
      <c r="B30" s="2" t="s">
        <v>421</v>
      </c>
      <c r="C30" s="2" t="s">
        <v>279</v>
      </c>
      <c r="D30" s="2" t="s">
        <v>280</v>
      </c>
      <c r="E30" s="2" t="s">
        <v>281</v>
      </c>
      <c r="F30" s="2" t="s">
        <v>281</v>
      </c>
      <c r="G30" s="2" t="s">
        <v>282</v>
      </c>
      <c r="H30" s="2" t="s">
        <v>282</v>
      </c>
      <c r="I30" s="2" t="s">
        <v>282</v>
      </c>
      <c r="J30" s="2" t="s">
        <v>281</v>
      </c>
      <c r="K30" s="2" t="s">
        <v>282</v>
      </c>
      <c r="L30" s="2" t="s">
        <v>281</v>
      </c>
      <c r="M30" s="2" t="s">
        <v>282</v>
      </c>
      <c r="N30" s="1">
        <v>0</v>
      </c>
      <c r="O30" s="2"/>
      <c r="P30" s="2"/>
      <c r="Q30" s="2" t="s">
        <v>355</v>
      </c>
      <c r="R30" s="2"/>
      <c r="S30" s="2"/>
      <c r="T30" s="11" t="s">
        <v>322</v>
      </c>
      <c r="U30" s="2"/>
      <c r="V30" s="1">
        <v>1</v>
      </c>
      <c r="W30" s="2" t="s">
        <v>466</v>
      </c>
      <c r="X30" s="2"/>
      <c r="Y30" s="2" t="s">
        <v>294</v>
      </c>
      <c r="Z30" s="2" t="s">
        <v>331</v>
      </c>
      <c r="AA30" s="1">
        <v>1</v>
      </c>
      <c r="AB30" s="2" t="s">
        <v>297</v>
      </c>
      <c r="AC30" s="2"/>
      <c r="AD30" s="2" t="s">
        <v>305</v>
      </c>
      <c r="AE30" s="2" t="s">
        <v>339</v>
      </c>
      <c r="AF30" s="1">
        <v>0</v>
      </c>
      <c r="AG30" s="2"/>
      <c r="AH30" s="2"/>
      <c r="AI30" s="1">
        <v>1</v>
      </c>
      <c r="AJ30" s="2" t="s">
        <v>467</v>
      </c>
      <c r="AK30" s="2"/>
      <c r="AL30" s="2" t="s">
        <v>299</v>
      </c>
      <c r="AM30" s="1">
        <v>1</v>
      </c>
      <c r="AN30" s="2" t="s">
        <v>468</v>
      </c>
      <c r="AO30" s="2"/>
      <c r="AP30" s="2" t="s">
        <v>301</v>
      </c>
      <c r="AQ30" s="2" t="s">
        <v>331</v>
      </c>
      <c r="AR30" s="1">
        <v>1</v>
      </c>
      <c r="AS30" s="2"/>
      <c r="AT30" s="2" t="s">
        <v>302</v>
      </c>
      <c r="AU30" s="2" t="s">
        <v>324</v>
      </c>
      <c r="AV30" s="2" t="s">
        <v>287</v>
      </c>
      <c r="AW30" s="1">
        <v>1</v>
      </c>
      <c r="AX30" s="2"/>
      <c r="AY30" s="2" t="s">
        <v>339</v>
      </c>
      <c r="AZ30" s="1">
        <v>1</v>
      </c>
      <c r="BA30" s="2" t="s">
        <v>469</v>
      </c>
      <c r="BB30" s="2" t="s">
        <v>296</v>
      </c>
      <c r="BC30" s="2" t="s">
        <v>286</v>
      </c>
      <c r="BD30" s="2" t="s">
        <v>331</v>
      </c>
      <c r="BE30" s="1">
        <v>0</v>
      </c>
      <c r="BF30" s="2"/>
      <c r="BG30" s="2"/>
      <c r="BH30" s="2" t="s">
        <v>305</v>
      </c>
      <c r="BI30" s="2" t="s">
        <v>339</v>
      </c>
      <c r="BJ30" s="1">
        <v>1</v>
      </c>
      <c r="BK30" s="2"/>
      <c r="BL30" s="2" t="s">
        <v>287</v>
      </c>
      <c r="BM30" s="1">
        <v>1</v>
      </c>
      <c r="BN30" s="2" t="s">
        <v>470</v>
      </c>
      <c r="BO30" s="2" t="s">
        <v>296</v>
      </c>
      <c r="BP30" s="1">
        <v>1</v>
      </c>
      <c r="BQ30" s="2" t="s">
        <v>471</v>
      </c>
      <c r="BR30" s="2" t="s">
        <v>286</v>
      </c>
      <c r="BS30" s="2" t="s">
        <v>339</v>
      </c>
      <c r="BT30" s="1">
        <v>1</v>
      </c>
      <c r="BU30" s="2"/>
      <c r="BV30" s="2" t="s">
        <v>297</v>
      </c>
      <c r="BW30" s="2" t="s">
        <v>324</v>
      </c>
      <c r="BX30" s="2" t="s">
        <v>339</v>
      </c>
      <c r="BY30" s="1">
        <v>1</v>
      </c>
      <c r="BZ30" s="2"/>
      <c r="CA30" s="2" t="s">
        <v>472</v>
      </c>
      <c r="CB30" s="1">
        <v>1</v>
      </c>
      <c r="CC30" s="2" t="s">
        <v>470</v>
      </c>
      <c r="CD30" s="2" t="s">
        <v>296</v>
      </c>
      <c r="CE30" s="1">
        <v>1</v>
      </c>
      <c r="CF30" s="2" t="s">
        <v>473</v>
      </c>
      <c r="CG30" s="2"/>
      <c r="CH30" s="2" t="s">
        <v>301</v>
      </c>
      <c r="CI30" s="2" t="s">
        <v>297</v>
      </c>
      <c r="CJ30" s="1">
        <v>0</v>
      </c>
      <c r="CK30" s="2"/>
      <c r="CL30" s="2"/>
      <c r="CM30" s="2" t="s">
        <v>288</v>
      </c>
      <c r="CN30" s="2" t="s">
        <v>339</v>
      </c>
      <c r="CO30" s="1">
        <v>0</v>
      </c>
      <c r="CP30" s="2"/>
      <c r="CQ30" s="2"/>
      <c r="CR30" s="1">
        <v>1</v>
      </c>
      <c r="CS30" s="2" t="s">
        <v>474</v>
      </c>
      <c r="CT30" s="2" t="s">
        <v>296</v>
      </c>
      <c r="CU30" s="1">
        <v>1</v>
      </c>
      <c r="CV30" s="2" t="s">
        <v>475</v>
      </c>
      <c r="CW30" s="2"/>
      <c r="CX30" s="2" t="s">
        <v>286</v>
      </c>
      <c r="CY30" s="2" t="s">
        <v>297</v>
      </c>
      <c r="CZ30" s="1">
        <v>0</v>
      </c>
      <c r="DA30" s="2"/>
      <c r="DB30" s="2"/>
      <c r="DC30" s="2" t="s">
        <v>288</v>
      </c>
      <c r="DD30" s="2" t="s">
        <v>287</v>
      </c>
      <c r="DE30" s="1">
        <v>1</v>
      </c>
      <c r="DF30" s="2" t="s">
        <v>339</v>
      </c>
      <c r="DG30" s="2"/>
      <c r="DH30" s="1">
        <v>1</v>
      </c>
      <c r="DI30" s="2" t="s">
        <v>476</v>
      </c>
      <c r="DJ30" s="2" t="s">
        <v>299</v>
      </c>
      <c r="DK30" s="1">
        <v>1</v>
      </c>
      <c r="DL30" s="2" t="s">
        <v>477</v>
      </c>
      <c r="DM30" s="2"/>
      <c r="DN30" s="2" t="s">
        <v>294</v>
      </c>
      <c r="DO30" s="2" t="s">
        <v>331</v>
      </c>
      <c r="DP30" s="1">
        <v>0</v>
      </c>
      <c r="DQ30" s="2"/>
      <c r="DR30" s="2"/>
      <c r="DS30" s="2" t="s">
        <v>305</v>
      </c>
      <c r="DT30" s="2" t="s">
        <v>331</v>
      </c>
      <c r="DU30" s="1">
        <v>0</v>
      </c>
      <c r="DV30" s="2"/>
      <c r="DW30" s="2"/>
      <c r="DX30" s="2" t="s">
        <v>478</v>
      </c>
      <c r="DY30" s="1">
        <v>1</v>
      </c>
      <c r="DZ30" s="2" t="s">
        <v>479</v>
      </c>
      <c r="EA30" s="2" t="s">
        <v>294</v>
      </c>
      <c r="EB30" s="2" t="s">
        <v>331</v>
      </c>
      <c r="EC30" s="1">
        <v>0</v>
      </c>
      <c r="ED30" s="2"/>
      <c r="EE30" s="2"/>
      <c r="EF30" s="2" t="s">
        <v>305</v>
      </c>
      <c r="EG30" s="2" t="s">
        <v>331</v>
      </c>
      <c r="EH30" s="1">
        <v>0</v>
      </c>
      <c r="EI30" s="2"/>
      <c r="EJ30" s="2"/>
      <c r="EK30" s="2" t="s">
        <v>480</v>
      </c>
      <c r="EL30" s="1">
        <v>1</v>
      </c>
      <c r="EM30" s="2" t="s">
        <v>467</v>
      </c>
      <c r="EN30" s="1">
        <v>1</v>
      </c>
      <c r="EO30" s="2" t="s">
        <v>467</v>
      </c>
      <c r="EP30" s="2" t="s">
        <v>299</v>
      </c>
      <c r="EQ30" s="2" t="s">
        <v>296</v>
      </c>
      <c r="ER30" s="1">
        <v>1</v>
      </c>
      <c r="ES30" s="2" t="s">
        <v>404</v>
      </c>
      <c r="ET30" s="2"/>
      <c r="EU30" s="2"/>
      <c r="EV30" s="2"/>
      <c r="EW30" s="2"/>
      <c r="EX30" s="2"/>
      <c r="EY30" s="2"/>
      <c r="EZ30" s="2"/>
      <c r="FA30" s="1">
        <v>1</v>
      </c>
      <c r="FB30" s="2" t="s">
        <v>481</v>
      </c>
      <c r="FC30" s="2"/>
      <c r="FD30" s="2"/>
      <c r="FE30" s="2" t="s">
        <v>482</v>
      </c>
      <c r="FF30" s="2" t="s">
        <v>351</v>
      </c>
      <c r="FG30" s="2" t="s">
        <v>483</v>
      </c>
      <c r="FH30" s="2"/>
      <c r="FI30" s="1">
        <v>-1</v>
      </c>
      <c r="FJ30" s="1">
        <v>-1</v>
      </c>
      <c r="FK30" s="1">
        <v>-1</v>
      </c>
      <c r="FL30" s="1">
        <v>-1</v>
      </c>
      <c r="FM30" s="1">
        <v>-1</v>
      </c>
      <c r="FN30" s="1">
        <v>-1</v>
      </c>
      <c r="FO30" s="1">
        <v>-1</v>
      </c>
      <c r="FP30" s="1">
        <v>-1</v>
      </c>
      <c r="FQ30" s="1">
        <v>-1</v>
      </c>
      <c r="FR30" s="1">
        <v>-1</v>
      </c>
      <c r="FS30" s="1">
        <v>-1</v>
      </c>
      <c r="FT30" s="1">
        <v>-1</v>
      </c>
      <c r="FU30" s="1">
        <v>-1</v>
      </c>
      <c r="FV30" s="1">
        <v>-1</v>
      </c>
      <c r="FW30" s="1">
        <v>-1</v>
      </c>
      <c r="FX30" s="1">
        <v>-15</v>
      </c>
      <c r="FY30" s="3"/>
      <c r="FZ30" s="3"/>
      <c r="GA30" s="2" t="s">
        <v>319</v>
      </c>
      <c r="GB30" s="2" t="s">
        <v>320</v>
      </c>
      <c r="GC30" s="2" t="s">
        <v>277</v>
      </c>
      <c r="GD30" s="1">
        <v>15</v>
      </c>
      <c r="GE30" s="1">
        <v>15</v>
      </c>
      <c r="GF30" s="1">
        <v>17</v>
      </c>
      <c r="GG30" s="1">
        <v>3</v>
      </c>
      <c r="GH30" s="4"/>
    </row>
    <row r="31" spans="1:190" x14ac:dyDescent="0.25">
      <c r="A31" s="1">
        <v>173</v>
      </c>
      <c r="B31" s="2" t="s">
        <v>321</v>
      </c>
      <c r="C31" s="2" t="s">
        <v>353</v>
      </c>
      <c r="D31" s="2" t="s">
        <v>320</v>
      </c>
      <c r="E31" s="2" t="s">
        <v>282</v>
      </c>
      <c r="F31" s="2" t="s">
        <v>282</v>
      </c>
      <c r="G31" s="2" t="s">
        <v>282</v>
      </c>
      <c r="H31" s="2" t="s">
        <v>282</v>
      </c>
      <c r="I31" s="2" t="s">
        <v>282</v>
      </c>
      <c r="J31" s="2" t="s">
        <v>281</v>
      </c>
      <c r="K31" s="2" t="s">
        <v>282</v>
      </c>
      <c r="L31" s="2" t="s">
        <v>282</v>
      </c>
      <c r="M31" s="2" t="s">
        <v>282</v>
      </c>
      <c r="N31" s="1">
        <v>0</v>
      </c>
      <c r="O31" s="2"/>
      <c r="P31" s="2"/>
      <c r="Q31" s="2" t="s">
        <v>423</v>
      </c>
      <c r="R31" s="2"/>
      <c r="S31" s="2"/>
      <c r="T31" s="2"/>
      <c r="U31" s="12" t="s">
        <v>424</v>
      </c>
      <c r="V31" s="1">
        <v>0</v>
      </c>
      <c r="W31" s="2"/>
      <c r="X31" s="2"/>
      <c r="Y31" s="2" t="s">
        <v>294</v>
      </c>
      <c r="Z31" s="2" t="s">
        <v>297</v>
      </c>
      <c r="AA31" s="1">
        <v>0</v>
      </c>
      <c r="AB31" s="2"/>
      <c r="AC31" s="2"/>
      <c r="AD31" s="2" t="s">
        <v>305</v>
      </c>
      <c r="AE31" s="2" t="s">
        <v>331</v>
      </c>
      <c r="AF31" s="1">
        <v>0</v>
      </c>
      <c r="AG31" s="2"/>
      <c r="AH31" s="2"/>
      <c r="AI31" s="1">
        <v>0</v>
      </c>
      <c r="AJ31" s="2"/>
      <c r="AK31" s="2"/>
      <c r="AL31" s="2" t="s">
        <v>299</v>
      </c>
      <c r="AM31" s="1"/>
      <c r="AN31" s="2"/>
      <c r="AO31" s="2"/>
      <c r="AP31" s="2"/>
      <c r="AQ31" s="2"/>
      <c r="AR31" s="1"/>
      <c r="AS31" s="2"/>
      <c r="AT31" s="2"/>
      <c r="AU31" s="2"/>
      <c r="AV31" s="2"/>
      <c r="AW31" s="1"/>
      <c r="AX31" s="2"/>
      <c r="AY31" s="2"/>
      <c r="AZ31" s="1"/>
      <c r="BA31" s="2"/>
      <c r="BB31" s="2"/>
      <c r="BC31" s="2"/>
      <c r="BD31" s="2"/>
      <c r="BE31" s="1"/>
      <c r="BF31" s="2"/>
      <c r="BG31" s="2"/>
      <c r="BH31" s="2"/>
      <c r="BI31" s="2"/>
      <c r="BJ31" s="1"/>
      <c r="BK31" s="2"/>
      <c r="BL31" s="2"/>
      <c r="BM31" s="1"/>
      <c r="BN31" s="2"/>
      <c r="BO31" s="2"/>
      <c r="BP31" s="1"/>
      <c r="BQ31" s="2"/>
      <c r="BR31" s="2"/>
      <c r="BS31" s="2"/>
      <c r="BT31" s="1"/>
      <c r="BU31" s="2"/>
      <c r="BV31" s="2"/>
      <c r="BW31" s="2"/>
      <c r="BX31" s="2"/>
      <c r="BY31" s="1"/>
      <c r="BZ31" s="2"/>
      <c r="CA31" s="2"/>
      <c r="CB31" s="1"/>
      <c r="CC31" s="2"/>
      <c r="CD31" s="2"/>
      <c r="CE31" s="1"/>
      <c r="CF31" s="2"/>
      <c r="CG31" s="2"/>
      <c r="CH31" s="2"/>
      <c r="CI31" s="2"/>
      <c r="CJ31" s="1"/>
      <c r="CK31" s="2"/>
      <c r="CL31" s="2"/>
      <c r="CM31" s="2"/>
      <c r="CN31" s="2"/>
      <c r="CO31" s="1"/>
      <c r="CP31" s="2"/>
      <c r="CQ31" s="2"/>
      <c r="CR31" s="1"/>
      <c r="CS31" s="2"/>
      <c r="CT31" s="2"/>
      <c r="CU31" s="1"/>
      <c r="CV31" s="2"/>
      <c r="CW31" s="2"/>
      <c r="CX31" s="2"/>
      <c r="CY31" s="2"/>
      <c r="CZ31" s="1"/>
      <c r="DA31" s="2"/>
      <c r="DB31" s="2"/>
      <c r="DC31" s="2"/>
      <c r="DD31" s="2"/>
      <c r="DE31" s="1"/>
      <c r="DF31" s="2"/>
      <c r="DG31" s="2"/>
      <c r="DH31" s="1"/>
      <c r="DI31" s="2"/>
      <c r="DJ31" s="2"/>
      <c r="DK31" s="1"/>
      <c r="DL31" s="2"/>
      <c r="DM31" s="2"/>
      <c r="DN31" s="2"/>
      <c r="DO31" s="2"/>
      <c r="DP31" s="1"/>
      <c r="DQ31" s="2"/>
      <c r="DR31" s="2"/>
      <c r="DS31" s="2"/>
      <c r="DT31" s="2"/>
      <c r="DU31" s="1"/>
      <c r="DV31" s="2"/>
      <c r="DW31" s="2"/>
      <c r="DX31" s="2"/>
      <c r="DY31" s="1"/>
      <c r="DZ31" s="2"/>
      <c r="EA31" s="2"/>
      <c r="EB31" s="2"/>
      <c r="EC31" s="1"/>
      <c r="ED31" s="2"/>
      <c r="EE31" s="2"/>
      <c r="EF31" s="2"/>
      <c r="EG31" s="2"/>
      <c r="EH31" s="1"/>
      <c r="EI31" s="2"/>
      <c r="EJ31" s="2"/>
      <c r="EK31" s="2"/>
      <c r="EL31" s="1"/>
      <c r="EM31" s="2"/>
      <c r="EN31" s="1"/>
      <c r="EO31" s="2"/>
      <c r="EP31" s="2"/>
      <c r="EQ31" s="2"/>
      <c r="ER31" s="1"/>
      <c r="ES31" s="2"/>
      <c r="ET31" s="2"/>
      <c r="EU31" s="2"/>
      <c r="EV31" s="2"/>
      <c r="EW31" s="2"/>
      <c r="EX31" s="2"/>
      <c r="EY31" s="2"/>
      <c r="EZ31" s="2"/>
      <c r="FA31" s="1"/>
      <c r="FB31" s="2"/>
      <c r="FC31" s="2"/>
      <c r="FD31" s="2"/>
      <c r="FE31" s="2" t="s">
        <v>346</v>
      </c>
      <c r="FF31" s="2"/>
      <c r="FG31" s="2"/>
      <c r="FH31" s="2"/>
      <c r="FI31" s="1">
        <v>-1</v>
      </c>
      <c r="FJ31" s="1">
        <v>-1</v>
      </c>
      <c r="FK31" s="1">
        <v>-1</v>
      </c>
      <c r="FL31" s="1">
        <v>-1</v>
      </c>
      <c r="FM31" s="1">
        <v>-1</v>
      </c>
      <c r="FN31" s="1">
        <v>-1</v>
      </c>
      <c r="FO31" s="1"/>
      <c r="FP31" s="1"/>
      <c r="FQ31" s="1"/>
      <c r="FR31" s="1"/>
      <c r="FS31" s="1"/>
      <c r="FT31" s="1"/>
      <c r="FU31" s="1"/>
      <c r="FV31" s="1"/>
      <c r="FW31" s="1"/>
      <c r="FX31" s="1">
        <v>-6</v>
      </c>
      <c r="FY31" s="3"/>
      <c r="FZ31" s="3"/>
      <c r="GA31" s="2"/>
      <c r="GB31" s="2" t="s">
        <v>277</v>
      </c>
      <c r="GC31" s="2" t="s">
        <v>277</v>
      </c>
      <c r="GD31" s="1">
        <v>6</v>
      </c>
      <c r="GE31" s="1">
        <v>6</v>
      </c>
      <c r="GF31" s="1">
        <v>35</v>
      </c>
      <c r="GG31" s="1">
        <v>11</v>
      </c>
      <c r="GH31" s="4"/>
    </row>
    <row r="32" spans="1:190" x14ac:dyDescent="0.25">
      <c r="A32" s="1">
        <v>175</v>
      </c>
      <c r="B32" s="2" t="s">
        <v>321</v>
      </c>
      <c r="C32" s="2" t="s">
        <v>279</v>
      </c>
      <c r="D32" s="2" t="s">
        <v>377</v>
      </c>
      <c r="E32" s="2" t="s">
        <v>281</v>
      </c>
      <c r="F32" s="2" t="s">
        <v>281</v>
      </c>
      <c r="G32" s="2" t="s">
        <v>282</v>
      </c>
      <c r="H32" s="2" t="s">
        <v>282</v>
      </c>
      <c r="I32" s="2" t="s">
        <v>282</v>
      </c>
      <c r="J32" s="2" t="s">
        <v>281</v>
      </c>
      <c r="K32" s="2" t="s">
        <v>282</v>
      </c>
      <c r="L32" s="2" t="s">
        <v>282</v>
      </c>
      <c r="M32" s="2" t="s">
        <v>282</v>
      </c>
      <c r="N32" s="1">
        <v>0</v>
      </c>
      <c r="O32" s="2"/>
      <c r="P32" s="2"/>
      <c r="Q32" s="2" t="s">
        <v>423</v>
      </c>
      <c r="R32" s="2"/>
      <c r="S32" s="2"/>
      <c r="T32" s="2"/>
      <c r="U32" s="12" t="s">
        <v>464</v>
      </c>
      <c r="V32" s="1">
        <v>0</v>
      </c>
      <c r="W32" s="2"/>
      <c r="X32" s="2"/>
      <c r="Y32" s="2" t="s">
        <v>294</v>
      </c>
      <c r="Z32" s="2" t="s">
        <v>297</v>
      </c>
      <c r="AA32" s="1">
        <v>0</v>
      </c>
      <c r="AB32" s="2"/>
      <c r="AC32" s="2"/>
      <c r="AD32" s="2" t="s">
        <v>305</v>
      </c>
      <c r="AE32" s="2" t="s">
        <v>287</v>
      </c>
      <c r="AF32" s="1">
        <v>0</v>
      </c>
      <c r="AG32" s="2"/>
      <c r="AH32" s="2"/>
      <c r="AI32" s="1">
        <v>0</v>
      </c>
      <c r="AJ32" s="2"/>
      <c r="AK32" s="2"/>
      <c r="AL32" s="2" t="s">
        <v>299</v>
      </c>
      <c r="AM32" s="1">
        <v>0</v>
      </c>
      <c r="AN32" s="2"/>
      <c r="AO32" s="2"/>
      <c r="AP32" s="2" t="s">
        <v>294</v>
      </c>
      <c r="AQ32" s="2" t="s">
        <v>287</v>
      </c>
      <c r="AR32" s="1">
        <v>0</v>
      </c>
      <c r="AS32" s="2"/>
      <c r="AT32" s="2"/>
      <c r="AU32" s="2" t="s">
        <v>288</v>
      </c>
      <c r="AV32" s="2" t="s">
        <v>287</v>
      </c>
      <c r="AW32" s="1">
        <v>0</v>
      </c>
      <c r="AX32" s="2"/>
      <c r="AY32" s="2"/>
      <c r="AZ32" s="1">
        <v>0</v>
      </c>
      <c r="BA32" s="2"/>
      <c r="BB32" s="2" t="s">
        <v>299</v>
      </c>
      <c r="BC32" s="2" t="s">
        <v>301</v>
      </c>
      <c r="BD32" s="2" t="s">
        <v>297</v>
      </c>
      <c r="BE32" s="1">
        <v>0</v>
      </c>
      <c r="BF32" s="2"/>
      <c r="BG32" s="2"/>
      <c r="BH32" s="2" t="s">
        <v>324</v>
      </c>
      <c r="BI32" s="2" t="s">
        <v>297</v>
      </c>
      <c r="BJ32" s="1">
        <v>0</v>
      </c>
      <c r="BK32" s="2"/>
      <c r="BL32" s="2"/>
      <c r="BM32" s="1">
        <v>0</v>
      </c>
      <c r="BN32" s="2"/>
      <c r="BO32" s="2" t="s">
        <v>299</v>
      </c>
      <c r="BP32" s="1">
        <v>0</v>
      </c>
      <c r="BQ32" s="2"/>
      <c r="BR32" s="2" t="s">
        <v>294</v>
      </c>
      <c r="BS32" s="2" t="s">
        <v>297</v>
      </c>
      <c r="BT32" s="1">
        <v>0</v>
      </c>
      <c r="BU32" s="2"/>
      <c r="BV32" s="2"/>
      <c r="BW32" s="2" t="s">
        <v>298</v>
      </c>
      <c r="BX32" s="2" t="s">
        <v>297</v>
      </c>
      <c r="BY32" s="1">
        <v>0</v>
      </c>
      <c r="BZ32" s="2"/>
      <c r="CA32" s="2"/>
      <c r="CB32" s="1">
        <v>0</v>
      </c>
      <c r="CC32" s="2"/>
      <c r="CD32" s="2" t="s">
        <v>299</v>
      </c>
      <c r="CE32" s="1">
        <v>0</v>
      </c>
      <c r="CF32" s="2"/>
      <c r="CG32" s="2"/>
      <c r="CH32" s="2" t="s">
        <v>294</v>
      </c>
      <c r="CI32" s="2" t="s">
        <v>297</v>
      </c>
      <c r="CJ32" s="1">
        <v>0</v>
      </c>
      <c r="CK32" s="2"/>
      <c r="CL32" s="2"/>
      <c r="CM32" s="2" t="s">
        <v>305</v>
      </c>
      <c r="CN32" s="2" t="s">
        <v>297</v>
      </c>
      <c r="CO32" s="1">
        <v>0</v>
      </c>
      <c r="CP32" s="2"/>
      <c r="CQ32" s="2"/>
      <c r="CR32" s="1">
        <v>0</v>
      </c>
      <c r="CS32" s="2"/>
      <c r="CT32" s="2" t="s">
        <v>299</v>
      </c>
      <c r="CU32" s="1">
        <v>0</v>
      </c>
      <c r="CV32" s="2"/>
      <c r="CW32" s="2"/>
      <c r="CX32" s="2" t="s">
        <v>301</v>
      </c>
      <c r="CY32" s="2" t="s">
        <v>297</v>
      </c>
      <c r="CZ32" s="1">
        <v>0</v>
      </c>
      <c r="DA32" s="2"/>
      <c r="DB32" s="2"/>
      <c r="DC32" s="2" t="s">
        <v>324</v>
      </c>
      <c r="DD32" s="2" t="s">
        <v>297</v>
      </c>
      <c r="DE32" s="1">
        <v>0</v>
      </c>
      <c r="DF32" s="2"/>
      <c r="DG32" s="2"/>
      <c r="DH32" s="1">
        <v>0</v>
      </c>
      <c r="DI32" s="2"/>
      <c r="DJ32" s="2" t="s">
        <v>299</v>
      </c>
      <c r="DK32" s="1">
        <v>0</v>
      </c>
      <c r="DL32" s="2"/>
      <c r="DM32" s="2"/>
      <c r="DN32" s="2" t="s">
        <v>303</v>
      </c>
      <c r="DO32" s="2" t="s">
        <v>331</v>
      </c>
      <c r="DP32" s="1">
        <v>0</v>
      </c>
      <c r="DQ32" s="2"/>
      <c r="DR32" s="2"/>
      <c r="DS32" s="2" t="s">
        <v>298</v>
      </c>
      <c r="DT32" s="2" t="s">
        <v>331</v>
      </c>
      <c r="DU32" s="1">
        <v>0</v>
      </c>
      <c r="DV32" s="2"/>
      <c r="DW32" s="2"/>
      <c r="DX32" s="2"/>
      <c r="DY32" s="1">
        <v>0</v>
      </c>
      <c r="DZ32" s="2"/>
      <c r="EA32" s="2" t="s">
        <v>294</v>
      </c>
      <c r="EB32" s="2" t="s">
        <v>297</v>
      </c>
      <c r="EC32" s="1">
        <v>0</v>
      </c>
      <c r="ED32" s="2"/>
      <c r="EE32" s="2"/>
      <c r="EF32" s="2" t="s">
        <v>298</v>
      </c>
      <c r="EG32" s="2" t="s">
        <v>331</v>
      </c>
      <c r="EH32" s="1">
        <v>0</v>
      </c>
      <c r="EI32" s="2"/>
      <c r="EJ32" s="2"/>
      <c r="EK32" s="2"/>
      <c r="EL32" s="1">
        <v>0</v>
      </c>
      <c r="EM32" s="2"/>
      <c r="EN32" s="1">
        <v>0</v>
      </c>
      <c r="EO32" s="2"/>
      <c r="EP32" s="2" t="s">
        <v>299</v>
      </c>
      <c r="EQ32" s="2" t="s">
        <v>299</v>
      </c>
      <c r="ER32" s="1">
        <v>0</v>
      </c>
      <c r="ES32" s="2"/>
      <c r="ET32" s="2"/>
      <c r="EU32" s="2"/>
      <c r="EV32" s="2"/>
      <c r="EW32" s="2"/>
      <c r="EX32" s="2"/>
      <c r="EY32" s="2"/>
      <c r="EZ32" s="2"/>
      <c r="FA32" s="1">
        <v>0</v>
      </c>
      <c r="FB32" s="2"/>
      <c r="FC32" s="2"/>
      <c r="FD32" s="2"/>
      <c r="FE32" s="2" t="s">
        <v>350</v>
      </c>
      <c r="FF32" s="2" t="s">
        <v>335</v>
      </c>
      <c r="FG32" s="2"/>
      <c r="FH32" s="2"/>
      <c r="FI32" s="1">
        <v>-1</v>
      </c>
      <c r="FJ32" s="1">
        <v>-1</v>
      </c>
      <c r="FK32" s="1">
        <v>-1</v>
      </c>
      <c r="FL32" s="1">
        <v>-1</v>
      </c>
      <c r="FM32" s="1">
        <v>-1</v>
      </c>
      <c r="FN32" s="1">
        <v>-1</v>
      </c>
      <c r="FO32" s="1">
        <v>-1</v>
      </c>
      <c r="FP32" s="1">
        <v>-1</v>
      </c>
      <c r="FQ32" s="1">
        <v>-1</v>
      </c>
      <c r="FR32" s="1">
        <v>-1</v>
      </c>
      <c r="FS32" s="1">
        <v>-1</v>
      </c>
      <c r="FT32" s="1">
        <v>-1</v>
      </c>
      <c r="FU32" s="1">
        <v>-1</v>
      </c>
      <c r="FV32" s="1">
        <v>-1</v>
      </c>
      <c r="FW32" s="1">
        <v>-1</v>
      </c>
      <c r="FX32" s="1">
        <v>-15</v>
      </c>
      <c r="FY32" s="3"/>
      <c r="FZ32" s="3"/>
      <c r="GA32" s="2"/>
      <c r="GB32" s="2" t="s">
        <v>320</v>
      </c>
      <c r="GC32" s="2" t="s">
        <v>277</v>
      </c>
      <c r="GD32" s="1">
        <v>15</v>
      </c>
      <c r="GE32" s="1">
        <v>15</v>
      </c>
      <c r="GF32" s="1">
        <v>51</v>
      </c>
      <c r="GG32" s="1">
        <v>21</v>
      </c>
      <c r="GH32" s="4"/>
    </row>
    <row r="33" spans="1:190" x14ac:dyDescent="0.25">
      <c r="A33" s="1">
        <v>176</v>
      </c>
      <c r="B33" s="2" t="s">
        <v>321</v>
      </c>
      <c r="C33" s="2" t="s">
        <v>353</v>
      </c>
      <c r="D33" s="2" t="s">
        <v>422</v>
      </c>
      <c r="E33" s="2" t="s">
        <v>282</v>
      </c>
      <c r="F33" s="2" t="s">
        <v>282</v>
      </c>
      <c r="G33" s="2" t="s">
        <v>282</v>
      </c>
      <c r="H33" s="2" t="s">
        <v>282</v>
      </c>
      <c r="I33" s="2" t="s">
        <v>282</v>
      </c>
      <c r="J33" s="2" t="s">
        <v>281</v>
      </c>
      <c r="K33" s="2" t="s">
        <v>282</v>
      </c>
      <c r="L33" s="2" t="s">
        <v>282</v>
      </c>
      <c r="M33" s="2" t="s">
        <v>281</v>
      </c>
      <c r="N33" s="1">
        <v>0</v>
      </c>
      <c r="O33" s="2"/>
      <c r="P33" s="2"/>
      <c r="Q33" s="2" t="s">
        <v>423</v>
      </c>
      <c r="R33" s="2"/>
      <c r="S33" s="2"/>
      <c r="T33" s="2"/>
      <c r="U33" s="12" t="s">
        <v>464</v>
      </c>
      <c r="V33" s="1"/>
      <c r="W33" s="2"/>
      <c r="X33" s="2"/>
      <c r="Y33" s="2"/>
      <c r="Z33" s="2"/>
      <c r="AA33" s="1"/>
      <c r="AB33" s="2"/>
      <c r="AC33" s="2"/>
      <c r="AD33" s="2"/>
      <c r="AE33" s="2"/>
      <c r="AF33" s="1"/>
      <c r="AG33" s="2"/>
      <c r="AH33" s="2"/>
      <c r="AI33" s="1"/>
      <c r="AJ33" s="2"/>
      <c r="AK33" s="2"/>
      <c r="AL33" s="2"/>
      <c r="AM33" s="1"/>
      <c r="AN33" s="2"/>
      <c r="AO33" s="2"/>
      <c r="AP33" s="2"/>
      <c r="AQ33" s="2"/>
      <c r="AR33" s="1"/>
      <c r="AS33" s="2"/>
      <c r="AT33" s="2"/>
      <c r="AU33" s="2"/>
      <c r="AV33" s="2"/>
      <c r="AW33" s="1"/>
      <c r="AX33" s="2"/>
      <c r="AY33" s="2"/>
      <c r="AZ33" s="1"/>
      <c r="BA33" s="2"/>
      <c r="BB33" s="2"/>
      <c r="BC33" s="2"/>
      <c r="BD33" s="2"/>
      <c r="BE33" s="1"/>
      <c r="BF33" s="2"/>
      <c r="BG33" s="2"/>
      <c r="BH33" s="2"/>
      <c r="BI33" s="2"/>
      <c r="BJ33" s="1"/>
      <c r="BK33" s="2"/>
      <c r="BL33" s="2"/>
      <c r="BM33" s="1"/>
      <c r="BN33" s="2"/>
      <c r="BO33" s="2"/>
      <c r="BP33" s="1"/>
      <c r="BQ33" s="2"/>
      <c r="BR33" s="2"/>
      <c r="BS33" s="2"/>
      <c r="BT33" s="1"/>
      <c r="BU33" s="2"/>
      <c r="BV33" s="2"/>
      <c r="BW33" s="2"/>
      <c r="BX33" s="2"/>
      <c r="BY33" s="1"/>
      <c r="BZ33" s="2"/>
      <c r="CA33" s="2"/>
      <c r="CB33" s="1"/>
      <c r="CC33" s="2"/>
      <c r="CD33" s="2"/>
      <c r="CE33" s="1"/>
      <c r="CF33" s="2"/>
      <c r="CG33" s="2"/>
      <c r="CH33" s="2"/>
      <c r="CI33" s="2"/>
      <c r="CJ33" s="1"/>
      <c r="CK33" s="2"/>
      <c r="CL33" s="2"/>
      <c r="CM33" s="2"/>
      <c r="CN33" s="2"/>
      <c r="CO33" s="1"/>
      <c r="CP33" s="2"/>
      <c r="CQ33" s="2"/>
      <c r="CR33" s="1"/>
      <c r="CS33" s="2"/>
      <c r="CT33" s="2"/>
      <c r="CU33" s="1"/>
      <c r="CV33" s="2"/>
      <c r="CW33" s="2"/>
      <c r="CX33" s="2"/>
      <c r="CY33" s="2"/>
      <c r="CZ33" s="1"/>
      <c r="DA33" s="2"/>
      <c r="DB33" s="2"/>
      <c r="DC33" s="2"/>
      <c r="DD33" s="2"/>
      <c r="DE33" s="1"/>
      <c r="DF33" s="2"/>
      <c r="DG33" s="2"/>
      <c r="DH33" s="1"/>
      <c r="DI33" s="2"/>
      <c r="DJ33" s="2"/>
      <c r="DK33" s="1"/>
      <c r="DL33" s="2"/>
      <c r="DM33" s="2"/>
      <c r="DN33" s="2"/>
      <c r="DO33" s="2"/>
      <c r="DP33" s="1"/>
      <c r="DQ33" s="2"/>
      <c r="DR33" s="2"/>
      <c r="DS33" s="2"/>
      <c r="DT33" s="2"/>
      <c r="DU33" s="1"/>
      <c r="DV33" s="2"/>
      <c r="DW33" s="2"/>
      <c r="DX33" s="2"/>
      <c r="DY33" s="1"/>
      <c r="DZ33" s="2"/>
      <c r="EA33" s="2"/>
      <c r="EB33" s="2"/>
      <c r="EC33" s="1"/>
      <c r="ED33" s="2"/>
      <c r="EE33" s="2"/>
      <c r="EF33" s="2"/>
      <c r="EG33" s="2"/>
      <c r="EH33" s="1"/>
      <c r="EI33" s="2"/>
      <c r="EJ33" s="2"/>
      <c r="EK33" s="2"/>
      <c r="EL33" s="1"/>
      <c r="EM33" s="2"/>
      <c r="EN33" s="1"/>
      <c r="EO33" s="2"/>
      <c r="EP33" s="2"/>
      <c r="EQ33" s="2"/>
      <c r="ER33" s="1"/>
      <c r="ES33" s="2"/>
      <c r="ET33" s="2"/>
      <c r="EU33" s="2"/>
      <c r="EV33" s="2"/>
      <c r="EW33" s="2"/>
      <c r="EX33" s="2"/>
      <c r="EY33" s="2"/>
      <c r="EZ33" s="2"/>
      <c r="FA33" s="1"/>
      <c r="FB33" s="2"/>
      <c r="FC33" s="2"/>
      <c r="FD33" s="2"/>
      <c r="FE33" s="2" t="s">
        <v>316</v>
      </c>
      <c r="FF33" s="2"/>
      <c r="FG33" s="2"/>
      <c r="FH33" s="2"/>
      <c r="FI33" s="1">
        <v>-1</v>
      </c>
      <c r="FJ33" s="1">
        <v>-1</v>
      </c>
      <c r="FK33" s="1">
        <v>-1</v>
      </c>
      <c r="FL33" s="1">
        <v>-1</v>
      </c>
      <c r="FM33" s="1">
        <v>-1</v>
      </c>
      <c r="FN33" s="1"/>
      <c r="FO33" s="1"/>
      <c r="FP33" s="1"/>
      <c r="FQ33" s="1"/>
      <c r="FR33" s="1"/>
      <c r="FS33" s="1"/>
      <c r="FT33" s="1"/>
      <c r="FU33" s="1"/>
      <c r="FV33" s="1"/>
      <c r="FW33" s="1"/>
      <c r="FX33" s="1">
        <v>-5</v>
      </c>
      <c r="FY33" s="3"/>
      <c r="FZ33" s="3"/>
      <c r="GA33" s="2"/>
      <c r="GB33" s="2" t="s">
        <v>277</v>
      </c>
      <c r="GC33" s="2" t="s">
        <v>277</v>
      </c>
      <c r="GD33" s="1">
        <v>5</v>
      </c>
      <c r="GE33" s="1">
        <v>5</v>
      </c>
      <c r="GF33" s="1">
        <v>14</v>
      </c>
      <c r="GG33" s="1">
        <v>1</v>
      </c>
      <c r="GH33" s="4"/>
    </row>
    <row r="34" spans="1:190" x14ac:dyDescent="0.25">
      <c r="A34" s="1">
        <v>179</v>
      </c>
      <c r="B34" s="2" t="s">
        <v>421</v>
      </c>
      <c r="C34" s="2" t="s">
        <v>353</v>
      </c>
      <c r="D34" s="2" t="s">
        <v>377</v>
      </c>
      <c r="E34" s="2" t="s">
        <v>281</v>
      </c>
      <c r="F34" s="2" t="s">
        <v>281</v>
      </c>
      <c r="G34" s="2" t="s">
        <v>282</v>
      </c>
      <c r="H34" s="2" t="s">
        <v>282</v>
      </c>
      <c r="I34" s="2" t="s">
        <v>282</v>
      </c>
      <c r="J34" s="2" t="s">
        <v>281</v>
      </c>
      <c r="K34" s="2" t="s">
        <v>282</v>
      </c>
      <c r="L34" s="2" t="s">
        <v>282</v>
      </c>
      <c r="M34" s="2" t="s">
        <v>282</v>
      </c>
      <c r="N34" s="1">
        <v>0</v>
      </c>
      <c r="O34" s="2"/>
      <c r="P34" s="2"/>
      <c r="Q34" s="2" t="s">
        <v>337</v>
      </c>
      <c r="R34" s="2"/>
      <c r="S34" s="12" t="s">
        <v>424</v>
      </c>
      <c r="T34" s="2"/>
      <c r="U34" s="2"/>
      <c r="V34" s="1">
        <v>1</v>
      </c>
      <c r="W34" s="2" t="s">
        <v>484</v>
      </c>
      <c r="X34" s="2"/>
      <c r="Y34" s="2" t="s">
        <v>303</v>
      </c>
      <c r="Z34" s="2" t="s">
        <v>331</v>
      </c>
      <c r="AA34" s="1">
        <v>0</v>
      </c>
      <c r="AB34" s="2"/>
      <c r="AC34" s="2"/>
      <c r="AD34" s="2" t="s">
        <v>288</v>
      </c>
      <c r="AE34" s="2" t="s">
        <v>302</v>
      </c>
      <c r="AF34" s="1">
        <v>0</v>
      </c>
      <c r="AG34" s="2"/>
      <c r="AH34" s="2"/>
      <c r="AI34" s="1">
        <v>0</v>
      </c>
      <c r="AJ34" s="2"/>
      <c r="AK34" s="2"/>
      <c r="AL34" s="2" t="s">
        <v>328</v>
      </c>
      <c r="AM34" s="1">
        <v>1</v>
      </c>
      <c r="AN34" s="2" t="s">
        <v>485</v>
      </c>
      <c r="AO34" s="2"/>
      <c r="AP34" s="2" t="s">
        <v>301</v>
      </c>
      <c r="AQ34" s="2" t="s">
        <v>287</v>
      </c>
      <c r="AR34" s="1">
        <v>2</v>
      </c>
      <c r="AS34" s="2" t="s">
        <v>339</v>
      </c>
      <c r="AT34" s="2" t="s">
        <v>302</v>
      </c>
      <c r="AU34" s="2" t="s">
        <v>288</v>
      </c>
      <c r="AV34" s="2" t="s">
        <v>287</v>
      </c>
      <c r="AW34" s="1">
        <v>1</v>
      </c>
      <c r="AX34" s="2"/>
      <c r="AY34" s="2" t="s">
        <v>339</v>
      </c>
      <c r="AZ34" s="1">
        <v>0</v>
      </c>
      <c r="BA34" s="2"/>
      <c r="BB34" s="2" t="s">
        <v>296</v>
      </c>
      <c r="BC34" s="2" t="s">
        <v>301</v>
      </c>
      <c r="BD34" s="2" t="s">
        <v>297</v>
      </c>
      <c r="BE34" s="1">
        <v>0</v>
      </c>
      <c r="BF34" s="2"/>
      <c r="BG34" s="2"/>
      <c r="BH34" s="2" t="s">
        <v>324</v>
      </c>
      <c r="BI34" s="2" t="s">
        <v>339</v>
      </c>
      <c r="BJ34" s="1">
        <v>0</v>
      </c>
      <c r="BK34" s="2"/>
      <c r="BL34" s="2"/>
      <c r="BM34" s="1">
        <v>0</v>
      </c>
      <c r="BN34" s="2"/>
      <c r="BO34" s="2" t="s">
        <v>296</v>
      </c>
      <c r="BP34" s="1">
        <v>0</v>
      </c>
      <c r="BQ34" s="2"/>
      <c r="BR34" s="2" t="s">
        <v>301</v>
      </c>
      <c r="BS34" s="2" t="s">
        <v>297</v>
      </c>
      <c r="BT34" s="1">
        <v>0</v>
      </c>
      <c r="BU34" s="2"/>
      <c r="BV34" s="2"/>
      <c r="BW34" s="2" t="s">
        <v>324</v>
      </c>
      <c r="BX34" s="2" t="s">
        <v>339</v>
      </c>
      <c r="BY34" s="1">
        <v>0</v>
      </c>
      <c r="BZ34" s="2"/>
      <c r="CA34" s="2"/>
      <c r="CB34" s="1">
        <v>1</v>
      </c>
      <c r="CC34" s="2" t="s">
        <v>486</v>
      </c>
      <c r="CD34" s="2" t="s">
        <v>296</v>
      </c>
      <c r="CE34" s="1">
        <v>1</v>
      </c>
      <c r="CF34" s="2" t="s">
        <v>487</v>
      </c>
      <c r="CG34" s="2"/>
      <c r="CH34" s="2" t="s">
        <v>301</v>
      </c>
      <c r="CI34" s="2" t="s">
        <v>297</v>
      </c>
      <c r="CJ34" s="1">
        <v>0</v>
      </c>
      <c r="CK34" s="2"/>
      <c r="CL34" s="2"/>
      <c r="CM34" s="2" t="s">
        <v>288</v>
      </c>
      <c r="CN34" s="2" t="s">
        <v>339</v>
      </c>
      <c r="CO34" s="1">
        <v>0</v>
      </c>
      <c r="CP34" s="2"/>
      <c r="CQ34" s="2"/>
      <c r="CR34" s="1">
        <v>0</v>
      </c>
      <c r="CS34" s="2"/>
      <c r="CT34" s="2" t="s">
        <v>296</v>
      </c>
      <c r="CU34" s="1">
        <v>2</v>
      </c>
      <c r="CV34" s="2" t="s">
        <v>488</v>
      </c>
      <c r="CW34" s="2" t="s">
        <v>475</v>
      </c>
      <c r="CX34" s="2" t="s">
        <v>301</v>
      </c>
      <c r="CY34" s="2" t="s">
        <v>297</v>
      </c>
      <c r="CZ34" s="1">
        <v>0</v>
      </c>
      <c r="DA34" s="2"/>
      <c r="DB34" s="2"/>
      <c r="DC34" s="2" t="s">
        <v>288</v>
      </c>
      <c r="DD34" s="2" t="s">
        <v>339</v>
      </c>
      <c r="DE34" s="1">
        <v>0</v>
      </c>
      <c r="DF34" s="2"/>
      <c r="DG34" s="2"/>
      <c r="DH34" s="1">
        <v>0</v>
      </c>
      <c r="DI34" s="2"/>
      <c r="DJ34" s="2" t="s">
        <v>296</v>
      </c>
      <c r="DK34" s="1">
        <v>1</v>
      </c>
      <c r="DL34" s="2" t="s">
        <v>489</v>
      </c>
      <c r="DM34" s="2"/>
      <c r="DN34" s="2" t="s">
        <v>303</v>
      </c>
      <c r="DO34" s="2" t="s">
        <v>331</v>
      </c>
      <c r="DP34" s="1">
        <v>0</v>
      </c>
      <c r="DQ34" s="2"/>
      <c r="DR34" s="2"/>
      <c r="DS34" s="2" t="s">
        <v>298</v>
      </c>
      <c r="DT34" s="2"/>
      <c r="DU34" s="1">
        <v>0</v>
      </c>
      <c r="DV34" s="2"/>
      <c r="DW34" s="2"/>
      <c r="DX34" s="2"/>
      <c r="DY34" s="1">
        <v>1</v>
      </c>
      <c r="DZ34" s="2" t="s">
        <v>490</v>
      </c>
      <c r="EA34" s="2" t="s">
        <v>303</v>
      </c>
      <c r="EB34" s="2" t="s">
        <v>331</v>
      </c>
      <c r="EC34" s="1">
        <v>1</v>
      </c>
      <c r="ED34" s="2" t="s">
        <v>491</v>
      </c>
      <c r="EE34" s="2"/>
      <c r="EF34" s="2" t="s">
        <v>288</v>
      </c>
      <c r="EG34" s="2"/>
      <c r="EH34" s="1">
        <v>0</v>
      </c>
      <c r="EI34" s="2"/>
      <c r="EJ34" s="2"/>
      <c r="EK34" s="2"/>
      <c r="EL34" s="1">
        <v>0</v>
      </c>
      <c r="EM34" s="2"/>
      <c r="EN34" s="1">
        <v>0</v>
      </c>
      <c r="EO34" s="2"/>
      <c r="EP34" s="2" t="s">
        <v>296</v>
      </c>
      <c r="EQ34" s="2" t="s">
        <v>296</v>
      </c>
      <c r="ER34" s="1">
        <v>0</v>
      </c>
      <c r="ES34" s="2"/>
      <c r="ET34" s="2"/>
      <c r="EU34" s="2"/>
      <c r="EV34" s="2"/>
      <c r="EW34" s="2" t="s">
        <v>397</v>
      </c>
      <c r="EX34" s="2" t="s">
        <v>492</v>
      </c>
      <c r="EY34" s="2"/>
      <c r="EZ34" s="2"/>
      <c r="FA34" s="1">
        <v>3</v>
      </c>
      <c r="FB34" s="2" t="s">
        <v>493</v>
      </c>
      <c r="FC34" s="2" t="s">
        <v>494</v>
      </c>
      <c r="FD34" s="2" t="s">
        <v>495</v>
      </c>
      <c r="FE34" s="2" t="s">
        <v>437</v>
      </c>
      <c r="FF34" s="2" t="s">
        <v>335</v>
      </c>
      <c r="FG34" s="2"/>
      <c r="FH34" s="2"/>
      <c r="FI34" s="1">
        <v>-1</v>
      </c>
      <c r="FJ34" s="1">
        <v>-1</v>
      </c>
      <c r="FK34" s="1">
        <v>-1</v>
      </c>
      <c r="FL34" s="1">
        <v>-1</v>
      </c>
      <c r="FM34" s="1">
        <v>-1</v>
      </c>
      <c r="FN34" s="1">
        <v>-1</v>
      </c>
      <c r="FO34" s="1">
        <v>-1</v>
      </c>
      <c r="FP34" s="1">
        <v>-1</v>
      </c>
      <c r="FQ34" s="1">
        <v>-1</v>
      </c>
      <c r="FR34" s="1">
        <v>-1</v>
      </c>
      <c r="FS34" s="1">
        <v>-1</v>
      </c>
      <c r="FT34" s="1">
        <v>-1</v>
      </c>
      <c r="FU34" s="1">
        <v>-1</v>
      </c>
      <c r="FV34" s="1">
        <v>-1</v>
      </c>
      <c r="FW34" s="1">
        <v>-1</v>
      </c>
      <c r="FX34" s="1">
        <v>-15</v>
      </c>
      <c r="FY34" s="3"/>
      <c r="FZ34" s="3"/>
      <c r="GA34" s="2" t="s">
        <v>319</v>
      </c>
      <c r="GB34" s="2" t="s">
        <v>320</v>
      </c>
      <c r="GC34" s="2" t="s">
        <v>277</v>
      </c>
      <c r="GD34" s="1">
        <v>15</v>
      </c>
      <c r="GE34" s="1">
        <v>15</v>
      </c>
      <c r="GF34" s="1">
        <v>35</v>
      </c>
      <c r="GG34" s="1">
        <v>14</v>
      </c>
      <c r="GH34" s="4"/>
    </row>
    <row r="35" spans="1:190" x14ac:dyDescent="0.25">
      <c r="A35" s="1">
        <v>186</v>
      </c>
      <c r="B35" s="2" t="s">
        <v>347</v>
      </c>
      <c r="C35" s="2" t="s">
        <v>353</v>
      </c>
      <c r="D35" s="2" t="s">
        <v>377</v>
      </c>
      <c r="E35" s="2" t="s">
        <v>281</v>
      </c>
      <c r="F35" s="2" t="s">
        <v>282</v>
      </c>
      <c r="G35" s="2" t="s">
        <v>281</v>
      </c>
      <c r="H35" s="2" t="s">
        <v>282</v>
      </c>
      <c r="I35" s="2" t="s">
        <v>282</v>
      </c>
      <c r="J35" s="2" t="s">
        <v>281</v>
      </c>
      <c r="K35" s="2" t="s">
        <v>282</v>
      </c>
      <c r="L35" s="2" t="s">
        <v>282</v>
      </c>
      <c r="M35" s="2" t="s">
        <v>282</v>
      </c>
      <c r="N35" s="1">
        <v>0</v>
      </c>
      <c r="O35" s="2"/>
      <c r="P35" s="2"/>
      <c r="Q35" s="2" t="s">
        <v>337</v>
      </c>
      <c r="R35" s="2"/>
      <c r="S35" s="12" t="s">
        <v>424</v>
      </c>
      <c r="T35" s="2"/>
      <c r="U35" s="2"/>
      <c r="V35" s="1">
        <v>1</v>
      </c>
      <c r="W35" s="2" t="s">
        <v>365</v>
      </c>
      <c r="X35" s="2"/>
      <c r="Y35" s="2" t="s">
        <v>303</v>
      </c>
      <c r="Z35" s="2" t="s">
        <v>331</v>
      </c>
      <c r="AA35" s="1">
        <v>0</v>
      </c>
      <c r="AB35" s="2"/>
      <c r="AC35" s="2"/>
      <c r="AD35" s="2" t="s">
        <v>305</v>
      </c>
      <c r="AE35" s="2" t="s">
        <v>331</v>
      </c>
      <c r="AF35" s="1">
        <v>1</v>
      </c>
      <c r="AG35" s="2" t="s">
        <v>302</v>
      </c>
      <c r="AH35" s="2"/>
      <c r="AI35" s="1">
        <v>1</v>
      </c>
      <c r="AJ35" s="2" t="s">
        <v>496</v>
      </c>
      <c r="AK35" s="2"/>
      <c r="AL35" s="2" t="s">
        <v>296</v>
      </c>
      <c r="AM35" s="1">
        <v>1</v>
      </c>
      <c r="AN35" s="2" t="s">
        <v>497</v>
      </c>
      <c r="AO35" s="2"/>
      <c r="AP35" s="2" t="s">
        <v>294</v>
      </c>
      <c r="AQ35" s="2" t="s">
        <v>287</v>
      </c>
      <c r="AR35" s="1">
        <v>1</v>
      </c>
      <c r="AS35" s="2" t="s">
        <v>339</v>
      </c>
      <c r="AT35" s="2"/>
      <c r="AU35" s="2" t="s">
        <v>288</v>
      </c>
      <c r="AV35" s="2" t="s">
        <v>287</v>
      </c>
      <c r="AW35" s="1">
        <v>1</v>
      </c>
      <c r="AX35" s="2" t="s">
        <v>339</v>
      </c>
      <c r="AY35" s="2"/>
      <c r="AZ35" s="1">
        <v>1</v>
      </c>
      <c r="BA35" s="2" t="s">
        <v>498</v>
      </c>
      <c r="BB35" s="2" t="s">
        <v>296</v>
      </c>
      <c r="BC35" s="2" t="s">
        <v>294</v>
      </c>
      <c r="BD35" s="2" t="s">
        <v>297</v>
      </c>
      <c r="BE35" s="1">
        <v>1</v>
      </c>
      <c r="BF35" s="2" t="s">
        <v>499</v>
      </c>
      <c r="BG35" s="2"/>
      <c r="BH35" s="2" t="s">
        <v>288</v>
      </c>
      <c r="BI35" s="2" t="s">
        <v>500</v>
      </c>
      <c r="BJ35" s="1">
        <v>1</v>
      </c>
      <c r="BK35" s="2" t="s">
        <v>297</v>
      </c>
      <c r="BL35" s="2"/>
      <c r="BM35" s="1">
        <v>0</v>
      </c>
      <c r="BN35" s="2"/>
      <c r="BO35" s="2" t="s">
        <v>296</v>
      </c>
      <c r="BP35" s="1">
        <v>0</v>
      </c>
      <c r="BQ35" s="2"/>
      <c r="BR35" s="2" t="s">
        <v>301</v>
      </c>
      <c r="BS35" s="2" t="s">
        <v>297</v>
      </c>
      <c r="BT35" s="1">
        <v>0</v>
      </c>
      <c r="BU35" s="2"/>
      <c r="BV35" s="2"/>
      <c r="BW35" s="2"/>
      <c r="BX35" s="2"/>
      <c r="BY35" s="1">
        <v>0</v>
      </c>
      <c r="BZ35" s="2"/>
      <c r="CA35" s="2"/>
      <c r="CB35" s="1">
        <v>0</v>
      </c>
      <c r="CC35" s="2"/>
      <c r="CD35" s="2"/>
      <c r="CE35" s="1">
        <v>1</v>
      </c>
      <c r="CF35" s="2" t="s">
        <v>501</v>
      </c>
      <c r="CG35" s="2"/>
      <c r="CH35" s="2" t="s">
        <v>303</v>
      </c>
      <c r="CI35" s="2" t="s">
        <v>297</v>
      </c>
      <c r="CJ35" s="1">
        <v>0</v>
      </c>
      <c r="CK35" s="2"/>
      <c r="CL35" s="2"/>
      <c r="CM35" s="2" t="s">
        <v>305</v>
      </c>
      <c r="CN35" s="2" t="s">
        <v>500</v>
      </c>
      <c r="CO35" s="1">
        <v>0</v>
      </c>
      <c r="CP35" s="2"/>
      <c r="CQ35" s="2"/>
      <c r="CR35" s="1">
        <v>0</v>
      </c>
      <c r="CS35" s="2"/>
      <c r="CT35" s="2" t="s">
        <v>296</v>
      </c>
      <c r="CU35" s="1">
        <v>1</v>
      </c>
      <c r="CV35" s="2" t="s">
        <v>502</v>
      </c>
      <c r="CW35" s="2"/>
      <c r="CX35" s="2" t="s">
        <v>303</v>
      </c>
      <c r="CY35" s="2" t="s">
        <v>331</v>
      </c>
      <c r="CZ35" s="1">
        <v>1</v>
      </c>
      <c r="DA35" s="2" t="s">
        <v>499</v>
      </c>
      <c r="DB35" s="2"/>
      <c r="DC35" s="2" t="s">
        <v>305</v>
      </c>
      <c r="DD35" s="2" t="s">
        <v>331</v>
      </c>
      <c r="DE35" s="1">
        <v>1</v>
      </c>
      <c r="DF35" s="2" t="s">
        <v>499</v>
      </c>
      <c r="DG35" s="2"/>
      <c r="DH35" s="1">
        <v>0</v>
      </c>
      <c r="DI35" s="2"/>
      <c r="DJ35" s="2" t="s">
        <v>296</v>
      </c>
      <c r="DK35" s="1">
        <v>1</v>
      </c>
      <c r="DL35" s="2" t="s">
        <v>503</v>
      </c>
      <c r="DM35" s="2"/>
      <c r="DN35" s="2" t="s">
        <v>303</v>
      </c>
      <c r="DO35" s="2" t="s">
        <v>331</v>
      </c>
      <c r="DP35" s="1">
        <v>0</v>
      </c>
      <c r="DQ35" s="2"/>
      <c r="DR35" s="2"/>
      <c r="DS35" s="2" t="s">
        <v>298</v>
      </c>
      <c r="DT35" s="2" t="s">
        <v>331</v>
      </c>
      <c r="DU35" s="1">
        <v>0</v>
      </c>
      <c r="DV35" s="2"/>
      <c r="DW35" s="2"/>
      <c r="DX35" s="2" t="s">
        <v>504</v>
      </c>
      <c r="DY35" s="1">
        <v>1</v>
      </c>
      <c r="DZ35" s="2" t="s">
        <v>374</v>
      </c>
      <c r="EA35" s="2" t="s">
        <v>303</v>
      </c>
      <c r="EB35" s="2" t="s">
        <v>331</v>
      </c>
      <c r="EC35" s="1">
        <v>0</v>
      </c>
      <c r="ED35" s="2"/>
      <c r="EE35" s="2"/>
      <c r="EF35" s="2" t="s">
        <v>305</v>
      </c>
      <c r="EG35" s="2" t="s">
        <v>331</v>
      </c>
      <c r="EH35" s="1">
        <v>0</v>
      </c>
      <c r="EI35" s="2"/>
      <c r="EJ35" s="2"/>
      <c r="EK35" s="2"/>
      <c r="EL35" s="1">
        <v>0</v>
      </c>
      <c r="EM35" s="2"/>
      <c r="EN35" s="1">
        <v>0</v>
      </c>
      <c r="EO35" s="2"/>
      <c r="EP35" s="2" t="s">
        <v>328</v>
      </c>
      <c r="EQ35" s="2" t="s">
        <v>328</v>
      </c>
      <c r="ER35" s="1">
        <v>1</v>
      </c>
      <c r="ES35" s="2" t="s">
        <v>505</v>
      </c>
      <c r="ET35" s="2"/>
      <c r="EU35" s="2"/>
      <c r="EV35" s="2"/>
      <c r="EW35" s="2"/>
      <c r="EX35" s="2"/>
      <c r="EY35" s="2"/>
      <c r="EZ35" s="2"/>
      <c r="FA35" s="1">
        <v>0</v>
      </c>
      <c r="FB35" s="2"/>
      <c r="FC35" s="2"/>
      <c r="FD35" s="2"/>
      <c r="FE35" s="2" t="s">
        <v>346</v>
      </c>
      <c r="FF35" s="2" t="s">
        <v>351</v>
      </c>
      <c r="FG35" s="2" t="s">
        <v>506</v>
      </c>
      <c r="FH35" s="2"/>
      <c r="FI35" s="1">
        <v>-1</v>
      </c>
      <c r="FJ35" s="1">
        <v>-1</v>
      </c>
      <c r="FK35" s="1">
        <v>-1</v>
      </c>
      <c r="FL35" s="1">
        <v>-1</v>
      </c>
      <c r="FM35" s="1">
        <v>-1</v>
      </c>
      <c r="FN35" s="1">
        <v>-1</v>
      </c>
      <c r="FO35" s="1">
        <v>-1</v>
      </c>
      <c r="FP35" s="1">
        <v>-1</v>
      </c>
      <c r="FQ35" s="1">
        <v>-1</v>
      </c>
      <c r="FR35" s="1">
        <v>-1</v>
      </c>
      <c r="FS35" s="1">
        <v>-1</v>
      </c>
      <c r="FT35" s="1">
        <v>-1</v>
      </c>
      <c r="FU35" s="1">
        <v>-1</v>
      </c>
      <c r="FV35" s="1">
        <v>-1</v>
      </c>
      <c r="FW35" s="1">
        <v>-1</v>
      </c>
      <c r="FX35" s="1">
        <v>-15</v>
      </c>
      <c r="FY35" s="3"/>
      <c r="FZ35" s="3"/>
      <c r="GA35" s="2" t="s">
        <v>319</v>
      </c>
      <c r="GB35" s="2" t="s">
        <v>320</v>
      </c>
      <c r="GC35" s="2" t="s">
        <v>277</v>
      </c>
      <c r="GD35" s="1">
        <v>15</v>
      </c>
      <c r="GE35" s="1">
        <v>15</v>
      </c>
      <c r="GF35" s="1">
        <v>31</v>
      </c>
      <c r="GG35" s="1">
        <v>12</v>
      </c>
      <c r="GH35" s="4"/>
    </row>
    <row r="36" spans="1:190" x14ac:dyDescent="0.25">
      <c r="A36" s="1">
        <v>187</v>
      </c>
      <c r="B36" s="2" t="s">
        <v>421</v>
      </c>
      <c r="C36" s="2" t="s">
        <v>353</v>
      </c>
      <c r="D36" s="2" t="s">
        <v>377</v>
      </c>
      <c r="E36" s="2" t="s">
        <v>281</v>
      </c>
      <c r="F36" s="2" t="s">
        <v>282</v>
      </c>
      <c r="G36" s="2" t="s">
        <v>281</v>
      </c>
      <c r="H36" s="2" t="s">
        <v>282</v>
      </c>
      <c r="I36" s="2" t="s">
        <v>282</v>
      </c>
      <c r="J36" s="2" t="s">
        <v>281</v>
      </c>
      <c r="K36" s="2" t="s">
        <v>282</v>
      </c>
      <c r="L36" s="2" t="s">
        <v>282</v>
      </c>
      <c r="M36" s="2" t="s">
        <v>282</v>
      </c>
      <c r="N36" s="1">
        <v>0</v>
      </c>
      <c r="O36" s="2"/>
      <c r="P36" s="2"/>
      <c r="Q36" s="2" t="s">
        <v>283</v>
      </c>
      <c r="R36" s="2" t="s">
        <v>284</v>
      </c>
      <c r="S36" s="2"/>
      <c r="T36" s="2"/>
      <c r="U36" s="2"/>
      <c r="V36" s="1"/>
      <c r="W36" s="2"/>
      <c r="X36" s="2"/>
      <c r="Y36" s="2"/>
      <c r="Z36" s="2"/>
      <c r="AA36" s="1"/>
      <c r="AB36" s="2"/>
      <c r="AC36" s="2"/>
      <c r="AD36" s="2"/>
      <c r="AE36" s="2"/>
      <c r="AF36" s="1"/>
      <c r="AG36" s="2"/>
      <c r="AH36" s="2"/>
      <c r="AI36" s="1"/>
      <c r="AJ36" s="2"/>
      <c r="AK36" s="2"/>
      <c r="AL36" s="2"/>
      <c r="AM36" s="1"/>
      <c r="AN36" s="2"/>
      <c r="AO36" s="2"/>
      <c r="AP36" s="2"/>
      <c r="AQ36" s="2"/>
      <c r="AR36" s="1"/>
      <c r="AS36" s="2"/>
      <c r="AT36" s="2"/>
      <c r="AU36" s="2"/>
      <c r="AV36" s="2"/>
      <c r="AW36" s="1"/>
      <c r="AX36" s="2"/>
      <c r="AY36" s="2"/>
      <c r="AZ36" s="1"/>
      <c r="BA36" s="2"/>
      <c r="BB36" s="2"/>
      <c r="BC36" s="2"/>
      <c r="BD36" s="2"/>
      <c r="BE36" s="1"/>
      <c r="BF36" s="2"/>
      <c r="BG36" s="2"/>
      <c r="BH36" s="2"/>
      <c r="BI36" s="2"/>
      <c r="BJ36" s="1"/>
      <c r="BK36" s="2"/>
      <c r="BL36" s="2"/>
      <c r="BM36" s="1"/>
      <c r="BN36" s="2"/>
      <c r="BO36" s="2"/>
      <c r="BP36" s="1"/>
      <c r="BQ36" s="2"/>
      <c r="BR36" s="2"/>
      <c r="BS36" s="2"/>
      <c r="BT36" s="1"/>
      <c r="BU36" s="2"/>
      <c r="BV36" s="2"/>
      <c r="BW36" s="2"/>
      <c r="BX36" s="2"/>
      <c r="BY36" s="1"/>
      <c r="BZ36" s="2"/>
      <c r="CA36" s="2"/>
      <c r="CB36" s="1"/>
      <c r="CC36" s="2"/>
      <c r="CD36" s="2"/>
      <c r="CE36" s="1"/>
      <c r="CF36" s="2"/>
      <c r="CG36" s="2"/>
      <c r="CH36" s="2"/>
      <c r="CI36" s="2"/>
      <c r="CJ36" s="1"/>
      <c r="CK36" s="2"/>
      <c r="CL36" s="2"/>
      <c r="CM36" s="2"/>
      <c r="CN36" s="2"/>
      <c r="CO36" s="1"/>
      <c r="CP36" s="2"/>
      <c r="CQ36" s="2"/>
      <c r="CR36" s="1"/>
      <c r="CS36" s="2"/>
      <c r="CT36" s="2"/>
      <c r="CU36" s="1"/>
      <c r="CV36" s="2"/>
      <c r="CW36" s="2"/>
      <c r="CX36" s="2"/>
      <c r="CY36" s="2"/>
      <c r="CZ36" s="1"/>
      <c r="DA36" s="2"/>
      <c r="DB36" s="2"/>
      <c r="DC36" s="2"/>
      <c r="DD36" s="2"/>
      <c r="DE36" s="1"/>
      <c r="DF36" s="2"/>
      <c r="DG36" s="2"/>
      <c r="DH36" s="1"/>
      <c r="DI36" s="2"/>
      <c r="DJ36" s="2"/>
      <c r="DK36" s="1"/>
      <c r="DL36" s="2"/>
      <c r="DM36" s="2"/>
      <c r="DN36" s="2"/>
      <c r="DO36" s="2"/>
      <c r="DP36" s="1"/>
      <c r="DQ36" s="2"/>
      <c r="DR36" s="2"/>
      <c r="DS36" s="2"/>
      <c r="DT36" s="2"/>
      <c r="DU36" s="1"/>
      <c r="DV36" s="2"/>
      <c r="DW36" s="2"/>
      <c r="DX36" s="2"/>
      <c r="DY36" s="1"/>
      <c r="DZ36" s="2"/>
      <c r="EA36" s="2"/>
      <c r="EB36" s="2"/>
      <c r="EC36" s="1"/>
      <c r="ED36" s="2"/>
      <c r="EE36" s="2"/>
      <c r="EF36" s="2"/>
      <c r="EG36" s="2"/>
      <c r="EH36" s="1"/>
      <c r="EI36" s="2"/>
      <c r="EJ36" s="2"/>
      <c r="EK36" s="2"/>
      <c r="EL36" s="1"/>
      <c r="EM36" s="2"/>
      <c r="EN36" s="1"/>
      <c r="EO36" s="2"/>
      <c r="EP36" s="2"/>
      <c r="EQ36" s="2"/>
      <c r="ER36" s="1"/>
      <c r="ES36" s="2"/>
      <c r="ET36" s="2"/>
      <c r="EU36" s="2"/>
      <c r="EV36" s="2"/>
      <c r="EW36" s="2"/>
      <c r="EX36" s="2"/>
      <c r="EY36" s="2"/>
      <c r="EZ36" s="2"/>
      <c r="FA36" s="1"/>
      <c r="FB36" s="2"/>
      <c r="FC36" s="2"/>
      <c r="FD36" s="2"/>
      <c r="FE36" s="2" t="s">
        <v>346</v>
      </c>
      <c r="FF36" s="2"/>
      <c r="FG36" s="2"/>
      <c r="FH36" s="2"/>
      <c r="FI36" s="1">
        <v>-1</v>
      </c>
      <c r="FJ36" s="1">
        <v>-1</v>
      </c>
      <c r="FK36" s="1">
        <v>-1</v>
      </c>
      <c r="FL36" s="1">
        <v>-1</v>
      </c>
      <c r="FM36" s="1">
        <v>-1</v>
      </c>
      <c r="FN36" s="1"/>
      <c r="FO36" s="1"/>
      <c r="FP36" s="1"/>
      <c r="FQ36" s="1"/>
      <c r="FR36" s="1"/>
      <c r="FS36" s="1"/>
      <c r="FT36" s="1"/>
      <c r="FU36" s="1"/>
      <c r="FV36" s="1"/>
      <c r="FW36" s="1"/>
      <c r="FX36" s="1">
        <v>-5</v>
      </c>
      <c r="FY36" s="3"/>
      <c r="FZ36" s="3"/>
      <c r="GA36" s="2"/>
      <c r="GB36" s="2" t="s">
        <v>277</v>
      </c>
      <c r="GC36" s="2" t="s">
        <v>277</v>
      </c>
      <c r="GD36" s="1">
        <v>5</v>
      </c>
      <c r="GE36" s="1">
        <v>5</v>
      </c>
      <c r="GF36" s="1">
        <v>14</v>
      </c>
      <c r="GG36" s="1">
        <v>1</v>
      </c>
      <c r="GH36" s="4"/>
    </row>
    <row r="37" spans="1:190" x14ac:dyDescent="0.25">
      <c r="A37" s="1">
        <v>188</v>
      </c>
      <c r="B37" s="2" t="s">
        <v>421</v>
      </c>
      <c r="C37" s="2" t="s">
        <v>353</v>
      </c>
      <c r="D37" s="2" t="s">
        <v>377</v>
      </c>
      <c r="E37" s="2" t="s">
        <v>281</v>
      </c>
      <c r="F37" s="2" t="s">
        <v>282</v>
      </c>
      <c r="G37" s="2" t="s">
        <v>281</v>
      </c>
      <c r="H37" s="2" t="s">
        <v>282</v>
      </c>
      <c r="I37" s="2" t="s">
        <v>282</v>
      </c>
      <c r="J37" s="2" t="s">
        <v>281</v>
      </c>
      <c r="K37" s="2" t="s">
        <v>282</v>
      </c>
      <c r="L37" s="2" t="s">
        <v>282</v>
      </c>
      <c r="M37" s="2" t="s">
        <v>282</v>
      </c>
      <c r="N37" s="1">
        <v>0</v>
      </c>
      <c r="O37" s="2"/>
      <c r="P37" s="2"/>
      <c r="Q37" s="2" t="s">
        <v>283</v>
      </c>
      <c r="R37" s="2" t="s">
        <v>284</v>
      </c>
      <c r="S37" s="2"/>
      <c r="T37" s="2"/>
      <c r="U37" s="2"/>
      <c r="V37" s="1">
        <v>1</v>
      </c>
      <c r="W37" s="2" t="s">
        <v>507</v>
      </c>
      <c r="X37" s="2"/>
      <c r="Y37" s="2" t="s">
        <v>301</v>
      </c>
      <c r="Z37" s="2" t="s">
        <v>331</v>
      </c>
      <c r="AA37" s="1">
        <v>0</v>
      </c>
      <c r="AB37" s="2"/>
      <c r="AC37" s="2"/>
      <c r="AD37" s="2" t="s">
        <v>305</v>
      </c>
      <c r="AE37" s="2" t="s">
        <v>331</v>
      </c>
      <c r="AF37" s="1">
        <v>0</v>
      </c>
      <c r="AG37" s="2"/>
      <c r="AH37" s="2"/>
      <c r="AI37" s="1">
        <v>1</v>
      </c>
      <c r="AJ37" s="2" t="s">
        <v>508</v>
      </c>
      <c r="AK37" s="2"/>
      <c r="AL37" s="2" t="s">
        <v>299</v>
      </c>
      <c r="AM37" s="1">
        <v>1</v>
      </c>
      <c r="AN37" s="2" t="s">
        <v>293</v>
      </c>
      <c r="AO37" s="2"/>
      <c r="AP37" s="2" t="s">
        <v>301</v>
      </c>
      <c r="AQ37" s="2" t="s">
        <v>287</v>
      </c>
      <c r="AR37" s="1">
        <v>0</v>
      </c>
      <c r="AS37" s="2"/>
      <c r="AT37" s="2"/>
      <c r="AU37" s="2" t="s">
        <v>324</v>
      </c>
      <c r="AV37" s="2" t="s">
        <v>500</v>
      </c>
      <c r="AW37" s="1">
        <v>0</v>
      </c>
      <c r="AX37" s="2"/>
      <c r="AY37" s="2"/>
      <c r="AZ37" s="1">
        <v>1</v>
      </c>
      <c r="BA37" s="2" t="s">
        <v>509</v>
      </c>
      <c r="BB37" s="2" t="s">
        <v>299</v>
      </c>
      <c r="BC37" s="2" t="s">
        <v>310</v>
      </c>
      <c r="BD37" s="2" t="s">
        <v>297</v>
      </c>
      <c r="BE37" s="1">
        <v>0</v>
      </c>
      <c r="BF37" s="2"/>
      <c r="BG37" s="2"/>
      <c r="BH37" s="2" t="s">
        <v>324</v>
      </c>
      <c r="BI37" s="2" t="s">
        <v>500</v>
      </c>
      <c r="BJ37" s="1">
        <v>0</v>
      </c>
      <c r="BK37" s="2"/>
      <c r="BL37" s="2"/>
      <c r="BM37" s="1">
        <v>1</v>
      </c>
      <c r="BN37" s="2" t="s">
        <v>510</v>
      </c>
      <c r="BO37" s="2" t="s">
        <v>299</v>
      </c>
      <c r="BP37" s="1">
        <v>1</v>
      </c>
      <c r="BQ37" s="2" t="s">
        <v>511</v>
      </c>
      <c r="BR37" s="2" t="s">
        <v>310</v>
      </c>
      <c r="BS37" s="2" t="s">
        <v>297</v>
      </c>
      <c r="BT37" s="1">
        <v>0</v>
      </c>
      <c r="BU37" s="2"/>
      <c r="BV37" s="2"/>
      <c r="BW37" s="2" t="s">
        <v>324</v>
      </c>
      <c r="BX37" s="2" t="s">
        <v>500</v>
      </c>
      <c r="BY37" s="1">
        <v>0</v>
      </c>
      <c r="BZ37" s="2"/>
      <c r="CA37" s="2"/>
      <c r="CB37" s="1">
        <v>0</v>
      </c>
      <c r="CC37" s="2"/>
      <c r="CD37" s="2" t="s">
        <v>299</v>
      </c>
      <c r="CE37" s="1">
        <v>1</v>
      </c>
      <c r="CF37" s="2" t="s">
        <v>359</v>
      </c>
      <c r="CG37" s="2"/>
      <c r="CH37" s="2" t="s">
        <v>301</v>
      </c>
      <c r="CI37" s="2" t="s">
        <v>297</v>
      </c>
      <c r="CJ37" s="1">
        <v>0</v>
      </c>
      <c r="CK37" s="2"/>
      <c r="CL37" s="2"/>
      <c r="CM37" s="2" t="s">
        <v>305</v>
      </c>
      <c r="CN37" s="2" t="s">
        <v>500</v>
      </c>
      <c r="CO37" s="1">
        <v>0</v>
      </c>
      <c r="CP37" s="2"/>
      <c r="CQ37" s="2"/>
      <c r="CR37" s="1">
        <v>0</v>
      </c>
      <c r="CS37" s="2"/>
      <c r="CT37" s="2" t="s">
        <v>299</v>
      </c>
      <c r="CU37" s="1">
        <v>0</v>
      </c>
      <c r="CV37" s="2"/>
      <c r="CW37" s="2"/>
      <c r="CX37" s="2" t="s">
        <v>301</v>
      </c>
      <c r="CY37" s="2" t="s">
        <v>297</v>
      </c>
      <c r="CZ37" s="1">
        <v>0</v>
      </c>
      <c r="DA37" s="2"/>
      <c r="DB37" s="2"/>
      <c r="DC37" s="2" t="s">
        <v>288</v>
      </c>
      <c r="DD37" s="2" t="s">
        <v>500</v>
      </c>
      <c r="DE37" s="1">
        <v>0</v>
      </c>
      <c r="DF37" s="2"/>
      <c r="DG37" s="2"/>
      <c r="DH37" s="1">
        <v>0</v>
      </c>
      <c r="DI37" s="2"/>
      <c r="DJ37" s="2" t="s">
        <v>299</v>
      </c>
      <c r="DK37" s="1">
        <v>1</v>
      </c>
      <c r="DL37" s="2" t="s">
        <v>512</v>
      </c>
      <c r="DM37" s="2"/>
      <c r="DN37" s="2" t="s">
        <v>303</v>
      </c>
      <c r="DO37" s="2" t="s">
        <v>331</v>
      </c>
      <c r="DP37" s="1">
        <v>0</v>
      </c>
      <c r="DQ37" s="2"/>
      <c r="DR37" s="2"/>
      <c r="DS37" s="2" t="s">
        <v>298</v>
      </c>
      <c r="DT37" s="2" t="s">
        <v>331</v>
      </c>
      <c r="DU37" s="1">
        <v>0</v>
      </c>
      <c r="DV37" s="2"/>
      <c r="DW37" s="2"/>
      <c r="DX37" s="2" t="s">
        <v>412</v>
      </c>
      <c r="DY37" s="1">
        <v>1</v>
      </c>
      <c r="DZ37" s="2" t="s">
        <v>513</v>
      </c>
      <c r="EA37" s="2" t="s">
        <v>294</v>
      </c>
      <c r="EB37" s="2" t="s">
        <v>331</v>
      </c>
      <c r="EC37" s="1">
        <v>0</v>
      </c>
      <c r="ED37" s="2"/>
      <c r="EE37" s="2"/>
      <c r="EF37" s="2" t="s">
        <v>305</v>
      </c>
      <c r="EG37" s="2"/>
      <c r="EH37" s="1">
        <v>0</v>
      </c>
      <c r="EI37" s="2"/>
      <c r="EJ37" s="2"/>
      <c r="EK37" s="2" t="s">
        <v>412</v>
      </c>
      <c r="EL37" s="1">
        <v>0</v>
      </c>
      <c r="EM37" s="2"/>
      <c r="EN37" s="1">
        <v>1</v>
      </c>
      <c r="EO37" s="2" t="s">
        <v>508</v>
      </c>
      <c r="EP37" s="2" t="s">
        <v>299</v>
      </c>
      <c r="EQ37" s="2" t="s">
        <v>299</v>
      </c>
      <c r="ER37" s="1">
        <v>0</v>
      </c>
      <c r="ES37" s="2"/>
      <c r="ET37" s="2"/>
      <c r="EU37" s="2"/>
      <c r="EV37" s="2"/>
      <c r="EW37" s="2" t="s">
        <v>397</v>
      </c>
      <c r="EX37" s="2" t="s">
        <v>514</v>
      </c>
      <c r="EY37" s="2" t="s">
        <v>515</v>
      </c>
      <c r="EZ37" s="2" t="s">
        <v>516</v>
      </c>
      <c r="FA37" s="1">
        <v>2</v>
      </c>
      <c r="FB37" s="2" t="s">
        <v>517</v>
      </c>
      <c r="FC37" s="2" t="s">
        <v>518</v>
      </c>
      <c r="FD37" s="2"/>
      <c r="FE37" s="2" t="s">
        <v>346</v>
      </c>
      <c r="FF37" s="2" t="s">
        <v>351</v>
      </c>
      <c r="FG37" s="2" t="s">
        <v>519</v>
      </c>
      <c r="FH37" s="2"/>
      <c r="FI37" s="1">
        <v>-1</v>
      </c>
      <c r="FJ37" s="1">
        <v>-1</v>
      </c>
      <c r="FK37" s="1">
        <v>-1</v>
      </c>
      <c r="FL37" s="1">
        <v>-1</v>
      </c>
      <c r="FM37" s="1">
        <v>-1</v>
      </c>
      <c r="FN37" s="1">
        <v>-1</v>
      </c>
      <c r="FO37" s="1">
        <v>-1</v>
      </c>
      <c r="FP37" s="1">
        <v>-1</v>
      </c>
      <c r="FQ37" s="1">
        <v>-1</v>
      </c>
      <c r="FR37" s="1">
        <v>-1</v>
      </c>
      <c r="FS37" s="1">
        <v>-1</v>
      </c>
      <c r="FT37" s="1">
        <v>-1</v>
      </c>
      <c r="FU37" s="1">
        <v>-1</v>
      </c>
      <c r="FV37" s="1">
        <v>-1</v>
      </c>
      <c r="FW37" s="1">
        <v>-1</v>
      </c>
      <c r="FX37" s="1">
        <v>-15</v>
      </c>
      <c r="FY37" s="3"/>
      <c r="FZ37" s="3"/>
      <c r="GA37" s="2" t="s">
        <v>319</v>
      </c>
      <c r="GB37" s="2" t="s">
        <v>320</v>
      </c>
      <c r="GC37" s="2" t="s">
        <v>277</v>
      </c>
      <c r="GD37" s="1">
        <v>15</v>
      </c>
      <c r="GE37" s="1">
        <v>15</v>
      </c>
      <c r="GF37" s="1">
        <v>29</v>
      </c>
      <c r="GG37" s="1">
        <v>7</v>
      </c>
      <c r="GH37" s="4"/>
    </row>
    <row r="38" spans="1:190" x14ac:dyDescent="0.25">
      <c r="A38" s="1">
        <v>189</v>
      </c>
      <c r="B38" s="2" t="s">
        <v>321</v>
      </c>
      <c r="C38" s="2" t="s">
        <v>353</v>
      </c>
      <c r="D38" s="2" t="s">
        <v>320</v>
      </c>
      <c r="E38" s="2" t="s">
        <v>282</v>
      </c>
      <c r="F38" s="2" t="s">
        <v>282</v>
      </c>
      <c r="G38" s="2" t="s">
        <v>282</v>
      </c>
      <c r="H38" s="2" t="s">
        <v>282</v>
      </c>
      <c r="I38" s="2" t="s">
        <v>282</v>
      </c>
      <c r="J38" s="2" t="s">
        <v>281</v>
      </c>
      <c r="K38" s="2" t="s">
        <v>282</v>
      </c>
      <c r="L38" s="2" t="s">
        <v>282</v>
      </c>
      <c r="M38" s="2" t="s">
        <v>282</v>
      </c>
      <c r="N38" s="1">
        <v>0</v>
      </c>
      <c r="O38" s="2"/>
      <c r="P38" s="2"/>
      <c r="Q38" s="2" t="s">
        <v>423</v>
      </c>
      <c r="R38" s="2"/>
      <c r="S38" s="2"/>
      <c r="T38" s="2"/>
      <c r="U38" s="12" t="s">
        <v>424</v>
      </c>
      <c r="V38" s="1">
        <v>0</v>
      </c>
      <c r="W38" s="2"/>
      <c r="X38" s="2"/>
      <c r="Y38" s="2" t="s">
        <v>294</v>
      </c>
      <c r="Z38" s="2" t="s">
        <v>297</v>
      </c>
      <c r="AA38" s="1">
        <v>0</v>
      </c>
      <c r="AB38" s="2"/>
      <c r="AC38" s="2"/>
      <c r="AD38" s="2" t="s">
        <v>288</v>
      </c>
      <c r="AE38" s="2" t="s">
        <v>331</v>
      </c>
      <c r="AF38" s="1">
        <v>0</v>
      </c>
      <c r="AG38" s="2"/>
      <c r="AH38" s="2"/>
      <c r="AI38" s="1">
        <v>0</v>
      </c>
      <c r="AJ38" s="2"/>
      <c r="AK38" s="2"/>
      <c r="AL38" s="2" t="s">
        <v>299</v>
      </c>
      <c r="AM38" s="1">
        <v>0</v>
      </c>
      <c r="AN38" s="2"/>
      <c r="AO38" s="2"/>
      <c r="AP38" s="2" t="s">
        <v>301</v>
      </c>
      <c r="AQ38" s="2" t="s">
        <v>297</v>
      </c>
      <c r="AR38" s="1">
        <v>0</v>
      </c>
      <c r="AS38" s="2"/>
      <c r="AT38" s="2"/>
      <c r="AU38" s="2" t="s">
        <v>288</v>
      </c>
      <c r="AV38" s="2" t="s">
        <v>331</v>
      </c>
      <c r="AW38" s="1">
        <v>0</v>
      </c>
      <c r="AX38" s="2"/>
      <c r="AY38" s="2"/>
      <c r="AZ38" s="1">
        <v>0</v>
      </c>
      <c r="BA38" s="2"/>
      <c r="BB38" s="2" t="s">
        <v>299</v>
      </c>
      <c r="BC38" s="2" t="s">
        <v>310</v>
      </c>
      <c r="BD38" s="2" t="s">
        <v>297</v>
      </c>
      <c r="BE38" s="1">
        <v>1</v>
      </c>
      <c r="BF38" s="2" t="s">
        <v>520</v>
      </c>
      <c r="BG38" s="2"/>
      <c r="BH38" s="2" t="s">
        <v>324</v>
      </c>
      <c r="BI38" s="2" t="s">
        <v>521</v>
      </c>
      <c r="BJ38" s="1">
        <v>0</v>
      </c>
      <c r="BK38" s="2"/>
      <c r="BL38" s="2"/>
      <c r="BM38" s="1">
        <v>0</v>
      </c>
      <c r="BN38" s="2"/>
      <c r="BO38" s="2" t="s">
        <v>299</v>
      </c>
      <c r="BP38" s="1">
        <v>1</v>
      </c>
      <c r="BQ38" s="2" t="s">
        <v>522</v>
      </c>
      <c r="BR38" s="2" t="s">
        <v>303</v>
      </c>
      <c r="BS38" s="2" t="s">
        <v>297</v>
      </c>
      <c r="BT38" s="1">
        <v>0</v>
      </c>
      <c r="BU38" s="2"/>
      <c r="BV38" s="2"/>
      <c r="BW38" s="2" t="s">
        <v>298</v>
      </c>
      <c r="BX38" s="2" t="s">
        <v>331</v>
      </c>
      <c r="BY38" s="1">
        <v>0</v>
      </c>
      <c r="BZ38" s="2"/>
      <c r="CA38" s="2"/>
      <c r="CB38" s="1">
        <v>0</v>
      </c>
      <c r="CC38" s="2"/>
      <c r="CD38" s="2" t="s">
        <v>299</v>
      </c>
      <c r="CE38" s="1">
        <v>1</v>
      </c>
      <c r="CF38" s="2" t="s">
        <v>405</v>
      </c>
      <c r="CG38" s="2"/>
      <c r="CH38" s="2" t="s">
        <v>294</v>
      </c>
      <c r="CI38" s="2" t="s">
        <v>297</v>
      </c>
      <c r="CJ38" s="1">
        <v>0</v>
      </c>
      <c r="CK38" s="2"/>
      <c r="CL38" s="2"/>
      <c r="CM38" s="2" t="s">
        <v>288</v>
      </c>
      <c r="CN38" s="2" t="s">
        <v>500</v>
      </c>
      <c r="CO38" s="1">
        <v>0</v>
      </c>
      <c r="CP38" s="2"/>
      <c r="CQ38" s="2"/>
      <c r="CR38" s="1">
        <v>0</v>
      </c>
      <c r="CS38" s="2"/>
      <c r="CT38" s="2" t="s">
        <v>299</v>
      </c>
      <c r="CU38" s="1">
        <v>1</v>
      </c>
      <c r="CV38" s="2" t="s">
        <v>523</v>
      </c>
      <c r="CW38" s="2"/>
      <c r="CX38" s="2" t="s">
        <v>303</v>
      </c>
      <c r="CY38" s="2" t="s">
        <v>302</v>
      </c>
      <c r="CZ38" s="1">
        <v>0</v>
      </c>
      <c r="DA38" s="2"/>
      <c r="DB38" s="2"/>
      <c r="DC38" s="2" t="s">
        <v>298</v>
      </c>
      <c r="DD38" s="2" t="s">
        <v>302</v>
      </c>
      <c r="DE38" s="1">
        <v>0</v>
      </c>
      <c r="DF38" s="2"/>
      <c r="DG38" s="2"/>
      <c r="DH38" s="1">
        <v>0</v>
      </c>
      <c r="DI38" s="2"/>
      <c r="DJ38" s="2" t="s">
        <v>299</v>
      </c>
      <c r="DK38" s="1">
        <v>1</v>
      </c>
      <c r="DL38" s="2" t="s">
        <v>524</v>
      </c>
      <c r="DM38" s="2"/>
      <c r="DN38" s="2" t="s">
        <v>303</v>
      </c>
      <c r="DO38" s="2" t="s">
        <v>331</v>
      </c>
      <c r="DP38" s="1">
        <v>0</v>
      </c>
      <c r="DQ38" s="2"/>
      <c r="DR38" s="2"/>
      <c r="DS38" s="2" t="s">
        <v>298</v>
      </c>
      <c r="DT38" s="2" t="s">
        <v>331</v>
      </c>
      <c r="DU38" s="1">
        <v>0</v>
      </c>
      <c r="DV38" s="2"/>
      <c r="DW38" s="2"/>
      <c r="DX38" s="2" t="s">
        <v>525</v>
      </c>
      <c r="DY38" s="1">
        <v>1</v>
      </c>
      <c r="DZ38" s="2" t="s">
        <v>333</v>
      </c>
      <c r="EA38" s="2" t="s">
        <v>303</v>
      </c>
      <c r="EB38" s="2" t="s">
        <v>331</v>
      </c>
      <c r="EC38" s="1">
        <v>0</v>
      </c>
      <c r="ED38" s="2"/>
      <c r="EE38" s="2"/>
      <c r="EF38" s="2" t="s">
        <v>288</v>
      </c>
      <c r="EG38" s="2" t="s">
        <v>331</v>
      </c>
      <c r="EH38" s="1">
        <v>0</v>
      </c>
      <c r="EI38" s="2"/>
      <c r="EJ38" s="2"/>
      <c r="EK38" s="2" t="s">
        <v>526</v>
      </c>
      <c r="EL38" s="1">
        <v>0</v>
      </c>
      <c r="EM38" s="2"/>
      <c r="EN38" s="1">
        <v>0</v>
      </c>
      <c r="EO38" s="2"/>
      <c r="EP38" s="2" t="s">
        <v>328</v>
      </c>
      <c r="EQ38" s="2" t="s">
        <v>299</v>
      </c>
      <c r="ER38" s="1">
        <v>0</v>
      </c>
      <c r="ES38" s="2"/>
      <c r="ET38" s="2"/>
      <c r="EU38" s="2"/>
      <c r="EV38" s="2"/>
      <c r="EW38" s="2"/>
      <c r="EX38" s="2"/>
      <c r="EY38" s="2"/>
      <c r="EZ38" s="2"/>
      <c r="FA38" s="1">
        <v>2</v>
      </c>
      <c r="FB38" s="2" t="s">
        <v>527</v>
      </c>
      <c r="FC38" s="2" t="s">
        <v>528</v>
      </c>
      <c r="FD38" s="2"/>
      <c r="FE38" s="2" t="s">
        <v>346</v>
      </c>
      <c r="FF38" s="2" t="s">
        <v>351</v>
      </c>
      <c r="FG38" s="2"/>
      <c r="FH38" s="2"/>
      <c r="FI38" s="1">
        <v>-1</v>
      </c>
      <c r="FJ38" s="1">
        <v>-1</v>
      </c>
      <c r="FK38" s="1">
        <v>-1</v>
      </c>
      <c r="FL38" s="1">
        <v>-1</v>
      </c>
      <c r="FM38" s="1">
        <v>-1</v>
      </c>
      <c r="FN38" s="1">
        <v>-1</v>
      </c>
      <c r="FO38" s="1">
        <v>-1</v>
      </c>
      <c r="FP38" s="1">
        <v>-1</v>
      </c>
      <c r="FQ38" s="1">
        <v>-1</v>
      </c>
      <c r="FR38" s="1">
        <v>-1</v>
      </c>
      <c r="FS38" s="1">
        <v>-1</v>
      </c>
      <c r="FT38" s="1">
        <v>-1</v>
      </c>
      <c r="FU38" s="1">
        <v>-1</v>
      </c>
      <c r="FV38" s="1">
        <v>-1</v>
      </c>
      <c r="FW38" s="1">
        <v>-1</v>
      </c>
      <c r="FX38" s="1">
        <v>-15</v>
      </c>
      <c r="FY38" s="3"/>
      <c r="FZ38" s="3"/>
      <c r="GA38" s="2" t="s">
        <v>319</v>
      </c>
      <c r="GB38" s="2" t="s">
        <v>320</v>
      </c>
      <c r="GC38" s="2" t="s">
        <v>277</v>
      </c>
      <c r="GD38" s="1">
        <v>15</v>
      </c>
      <c r="GE38" s="1">
        <v>15</v>
      </c>
      <c r="GF38" s="1">
        <v>38</v>
      </c>
      <c r="GG38" s="1">
        <v>11</v>
      </c>
      <c r="GH38" s="4"/>
    </row>
    <row r="39" spans="1:190" x14ac:dyDescent="0.25">
      <c r="A39" s="1">
        <v>190</v>
      </c>
      <c r="B39" s="2" t="s">
        <v>421</v>
      </c>
      <c r="C39" s="2" t="s">
        <v>353</v>
      </c>
      <c r="D39" s="2" t="s">
        <v>280</v>
      </c>
      <c r="E39" s="2" t="s">
        <v>281</v>
      </c>
      <c r="F39" s="2" t="s">
        <v>281</v>
      </c>
      <c r="G39" s="2" t="s">
        <v>282</v>
      </c>
      <c r="H39" s="2" t="s">
        <v>282</v>
      </c>
      <c r="I39" s="2" t="s">
        <v>282</v>
      </c>
      <c r="J39" s="2" t="s">
        <v>281</v>
      </c>
      <c r="K39" s="2" t="s">
        <v>282</v>
      </c>
      <c r="L39" s="2" t="s">
        <v>282</v>
      </c>
      <c r="M39" s="2" t="s">
        <v>281</v>
      </c>
      <c r="N39" s="1">
        <v>1</v>
      </c>
      <c r="O39" s="2" t="s">
        <v>404</v>
      </c>
      <c r="P39" s="2"/>
      <c r="Q39" s="2" t="s">
        <v>337</v>
      </c>
      <c r="R39" s="2"/>
      <c r="S39" s="12" t="s">
        <v>395</v>
      </c>
      <c r="T39" s="2"/>
      <c r="U39" s="2"/>
      <c r="V39" s="1">
        <v>1</v>
      </c>
      <c r="W39" s="2" t="s">
        <v>453</v>
      </c>
      <c r="X39" s="2"/>
      <c r="Y39" s="2" t="s">
        <v>303</v>
      </c>
      <c r="Z39" s="2" t="s">
        <v>331</v>
      </c>
      <c r="AA39" s="1">
        <v>0</v>
      </c>
      <c r="AB39" s="2"/>
      <c r="AC39" s="2"/>
      <c r="AD39" s="2" t="s">
        <v>305</v>
      </c>
      <c r="AE39" s="2" t="s">
        <v>331</v>
      </c>
      <c r="AF39" s="1">
        <v>0</v>
      </c>
      <c r="AG39" s="2"/>
      <c r="AH39" s="2"/>
      <c r="AI39" s="1">
        <v>1</v>
      </c>
      <c r="AJ39" s="2" t="s">
        <v>529</v>
      </c>
      <c r="AK39" s="2"/>
      <c r="AL39" s="2" t="s">
        <v>299</v>
      </c>
      <c r="AM39" s="1">
        <v>1</v>
      </c>
      <c r="AN39" s="2" t="s">
        <v>530</v>
      </c>
      <c r="AO39" s="2"/>
      <c r="AP39" s="2" t="s">
        <v>294</v>
      </c>
      <c r="AQ39" s="2" t="s">
        <v>287</v>
      </c>
      <c r="AR39" s="1">
        <v>1</v>
      </c>
      <c r="AS39" s="2" t="s">
        <v>531</v>
      </c>
      <c r="AT39" s="2"/>
      <c r="AU39" s="2" t="s">
        <v>288</v>
      </c>
      <c r="AV39" s="2" t="s">
        <v>302</v>
      </c>
      <c r="AW39" s="1">
        <v>0</v>
      </c>
      <c r="AX39" s="2"/>
      <c r="AY39" s="2"/>
      <c r="AZ39" s="1">
        <v>1</v>
      </c>
      <c r="BA39" s="2" t="s">
        <v>532</v>
      </c>
      <c r="BB39" s="2" t="s">
        <v>299</v>
      </c>
      <c r="BC39" s="2" t="s">
        <v>294</v>
      </c>
      <c r="BD39" s="2" t="s">
        <v>521</v>
      </c>
      <c r="BE39" s="1">
        <v>1</v>
      </c>
      <c r="BF39" s="2" t="s">
        <v>297</v>
      </c>
      <c r="BG39" s="2"/>
      <c r="BH39" s="2" t="s">
        <v>324</v>
      </c>
      <c r="BI39" s="2" t="s">
        <v>339</v>
      </c>
      <c r="BJ39" s="1">
        <v>0</v>
      </c>
      <c r="BK39" s="2"/>
      <c r="BL39" s="2"/>
      <c r="BM39" s="1">
        <v>1</v>
      </c>
      <c r="BN39" s="2" t="s">
        <v>532</v>
      </c>
      <c r="BO39" s="2" t="s">
        <v>299</v>
      </c>
      <c r="BP39" s="1">
        <v>1</v>
      </c>
      <c r="BQ39" s="2" t="s">
        <v>533</v>
      </c>
      <c r="BR39" s="2" t="s">
        <v>294</v>
      </c>
      <c r="BS39" s="2" t="s">
        <v>297</v>
      </c>
      <c r="BT39" s="1">
        <v>0</v>
      </c>
      <c r="BU39" s="2"/>
      <c r="BV39" s="2"/>
      <c r="BW39" s="2" t="s">
        <v>288</v>
      </c>
      <c r="BX39" s="2" t="s">
        <v>302</v>
      </c>
      <c r="BY39" s="1">
        <v>0</v>
      </c>
      <c r="BZ39" s="2"/>
      <c r="CA39" s="2"/>
      <c r="CB39" s="1">
        <v>1</v>
      </c>
      <c r="CC39" s="2" t="s">
        <v>532</v>
      </c>
      <c r="CD39" s="2" t="s">
        <v>328</v>
      </c>
      <c r="CE39" s="1">
        <v>1</v>
      </c>
      <c r="CF39" s="2" t="s">
        <v>534</v>
      </c>
      <c r="CG39" s="2"/>
      <c r="CH39" s="2" t="s">
        <v>301</v>
      </c>
      <c r="CI39" s="2" t="s">
        <v>297</v>
      </c>
      <c r="CJ39" s="1">
        <v>0</v>
      </c>
      <c r="CK39" s="2"/>
      <c r="CL39" s="2"/>
      <c r="CM39" s="2" t="s">
        <v>288</v>
      </c>
      <c r="CN39" s="2" t="s">
        <v>302</v>
      </c>
      <c r="CO39" s="1">
        <v>0</v>
      </c>
      <c r="CP39" s="2"/>
      <c r="CQ39" s="2"/>
      <c r="CR39" s="1">
        <v>1</v>
      </c>
      <c r="CS39" s="2" t="s">
        <v>535</v>
      </c>
      <c r="CT39" s="2" t="s">
        <v>299</v>
      </c>
      <c r="CU39" s="1">
        <v>1</v>
      </c>
      <c r="CV39" s="2" t="s">
        <v>536</v>
      </c>
      <c r="CW39" s="2"/>
      <c r="CX39" s="2" t="s">
        <v>303</v>
      </c>
      <c r="CY39" s="2" t="s">
        <v>331</v>
      </c>
      <c r="CZ39" s="1">
        <v>1</v>
      </c>
      <c r="DA39" s="2" t="s">
        <v>302</v>
      </c>
      <c r="DB39" s="2"/>
      <c r="DC39" s="2" t="s">
        <v>305</v>
      </c>
      <c r="DD39" s="2" t="s">
        <v>331</v>
      </c>
      <c r="DE39" s="1">
        <v>0</v>
      </c>
      <c r="DF39" s="2"/>
      <c r="DG39" s="2"/>
      <c r="DH39" s="1">
        <v>1</v>
      </c>
      <c r="DI39" s="2" t="s">
        <v>406</v>
      </c>
      <c r="DJ39" s="2" t="s">
        <v>328</v>
      </c>
      <c r="DK39" s="1">
        <v>1</v>
      </c>
      <c r="DL39" s="2" t="s">
        <v>537</v>
      </c>
      <c r="DM39" s="2"/>
      <c r="DN39" s="2" t="s">
        <v>303</v>
      </c>
      <c r="DO39" s="2" t="s">
        <v>331</v>
      </c>
      <c r="DP39" s="1">
        <v>0</v>
      </c>
      <c r="DQ39" s="2"/>
      <c r="DR39" s="2"/>
      <c r="DS39" s="2" t="s">
        <v>298</v>
      </c>
      <c r="DT39" s="2" t="s">
        <v>331</v>
      </c>
      <c r="DU39" s="1">
        <v>0</v>
      </c>
      <c r="DV39" s="2"/>
      <c r="DW39" s="2"/>
      <c r="DX39" s="2" t="s">
        <v>538</v>
      </c>
      <c r="DY39" s="1">
        <v>1</v>
      </c>
      <c r="DZ39" s="2" t="s">
        <v>411</v>
      </c>
      <c r="EA39" s="2" t="s">
        <v>294</v>
      </c>
      <c r="EB39" s="2" t="s">
        <v>331</v>
      </c>
      <c r="EC39" s="1">
        <v>0</v>
      </c>
      <c r="ED39" s="2"/>
      <c r="EE39" s="2"/>
      <c r="EF39" s="2" t="s">
        <v>305</v>
      </c>
      <c r="EG39" s="2" t="s">
        <v>331</v>
      </c>
      <c r="EH39" s="1">
        <v>0</v>
      </c>
      <c r="EI39" s="2"/>
      <c r="EJ39" s="2"/>
      <c r="EK39" s="2" t="s">
        <v>539</v>
      </c>
      <c r="EL39" s="1">
        <v>1</v>
      </c>
      <c r="EM39" s="2" t="s">
        <v>406</v>
      </c>
      <c r="EN39" s="1">
        <v>1</v>
      </c>
      <c r="EO39" s="2" t="s">
        <v>406</v>
      </c>
      <c r="EP39" s="2" t="s">
        <v>299</v>
      </c>
      <c r="EQ39" s="2" t="s">
        <v>299</v>
      </c>
      <c r="ER39" s="1">
        <v>1</v>
      </c>
      <c r="ES39" s="2" t="s">
        <v>540</v>
      </c>
      <c r="ET39" s="2"/>
      <c r="EU39" s="2"/>
      <c r="EV39" s="2"/>
      <c r="EW39" s="2" t="s">
        <v>397</v>
      </c>
      <c r="EX39" s="2" t="s">
        <v>541</v>
      </c>
      <c r="EY39" s="2" t="s">
        <v>542</v>
      </c>
      <c r="EZ39" s="2" t="s">
        <v>543</v>
      </c>
      <c r="FA39" s="1">
        <v>3</v>
      </c>
      <c r="FB39" s="2" t="s">
        <v>544</v>
      </c>
      <c r="FC39" s="2" t="s">
        <v>545</v>
      </c>
      <c r="FD39" s="2" t="s">
        <v>546</v>
      </c>
      <c r="FE39" s="2" t="s">
        <v>346</v>
      </c>
      <c r="FF39" s="2" t="s">
        <v>317</v>
      </c>
      <c r="FG39" s="2" t="s">
        <v>547</v>
      </c>
      <c r="FH39" s="2"/>
      <c r="FI39" s="1">
        <v>-1</v>
      </c>
      <c r="FJ39" s="1">
        <v>-1</v>
      </c>
      <c r="FK39" s="1">
        <v>-1</v>
      </c>
      <c r="FL39" s="1">
        <v>-1</v>
      </c>
      <c r="FM39" s="1">
        <v>-1</v>
      </c>
      <c r="FN39" s="1">
        <v>-1</v>
      </c>
      <c r="FO39" s="1">
        <v>-1</v>
      </c>
      <c r="FP39" s="1">
        <v>-1</v>
      </c>
      <c r="FQ39" s="1">
        <v>-1</v>
      </c>
      <c r="FR39" s="1">
        <v>-1</v>
      </c>
      <c r="FS39" s="1">
        <v>-1</v>
      </c>
      <c r="FT39" s="1">
        <v>-1</v>
      </c>
      <c r="FU39" s="1">
        <v>-1</v>
      </c>
      <c r="FV39" s="1">
        <v>-1</v>
      </c>
      <c r="FW39" s="1">
        <v>-1</v>
      </c>
      <c r="FX39" s="1">
        <v>-15</v>
      </c>
      <c r="FY39" s="3"/>
      <c r="FZ39" s="3"/>
      <c r="GA39" s="2" t="s">
        <v>319</v>
      </c>
      <c r="GB39" s="2" t="s">
        <v>320</v>
      </c>
      <c r="GC39" s="2" t="s">
        <v>277</v>
      </c>
      <c r="GD39" s="1">
        <v>15</v>
      </c>
      <c r="GE39" s="1">
        <v>15</v>
      </c>
      <c r="GF39" s="1">
        <v>15</v>
      </c>
      <c r="GG39" s="1">
        <v>2</v>
      </c>
      <c r="GH39" s="4"/>
    </row>
    <row r="40" spans="1:190" x14ac:dyDescent="0.25">
      <c r="A40" s="1">
        <v>193</v>
      </c>
      <c r="B40" s="2" t="s">
        <v>347</v>
      </c>
      <c r="C40" s="2" t="s">
        <v>353</v>
      </c>
      <c r="D40" s="2" t="s">
        <v>320</v>
      </c>
      <c r="E40" s="2" t="s">
        <v>282</v>
      </c>
      <c r="F40" s="2" t="s">
        <v>282</v>
      </c>
      <c r="G40" s="2" t="s">
        <v>282</v>
      </c>
      <c r="H40" s="2" t="s">
        <v>282</v>
      </c>
      <c r="I40" s="2" t="s">
        <v>282</v>
      </c>
      <c r="J40" s="2" t="s">
        <v>281</v>
      </c>
      <c r="K40" s="2" t="s">
        <v>282</v>
      </c>
      <c r="L40" s="2" t="s">
        <v>282</v>
      </c>
      <c r="M40" s="2" t="s">
        <v>282</v>
      </c>
      <c r="N40" s="1">
        <v>0</v>
      </c>
      <c r="O40" s="2"/>
      <c r="P40" s="2"/>
      <c r="Q40" s="2" t="s">
        <v>337</v>
      </c>
      <c r="R40" s="2"/>
      <c r="S40" s="2" t="s">
        <v>378</v>
      </c>
      <c r="T40" s="2"/>
      <c r="U40" s="2"/>
      <c r="V40" s="1">
        <v>0</v>
      </c>
      <c r="W40" s="2"/>
      <c r="X40" s="2"/>
      <c r="Y40" s="2" t="s">
        <v>303</v>
      </c>
      <c r="Z40" s="2" t="s">
        <v>331</v>
      </c>
      <c r="AA40" s="1">
        <v>0</v>
      </c>
      <c r="AB40" s="2"/>
      <c r="AC40" s="2"/>
      <c r="AD40" s="2" t="s">
        <v>298</v>
      </c>
      <c r="AE40" s="2" t="s">
        <v>331</v>
      </c>
      <c r="AF40" s="1">
        <v>0</v>
      </c>
      <c r="AG40" s="2"/>
      <c r="AH40" s="2"/>
      <c r="AI40" s="1">
        <v>0</v>
      </c>
      <c r="AJ40" s="2"/>
      <c r="AK40" s="2"/>
      <c r="AL40" s="2" t="s">
        <v>366</v>
      </c>
      <c r="AM40" s="1">
        <v>0</v>
      </c>
      <c r="AN40" s="2"/>
      <c r="AO40" s="2"/>
      <c r="AP40" s="2" t="s">
        <v>301</v>
      </c>
      <c r="AQ40" s="2" t="s">
        <v>287</v>
      </c>
      <c r="AR40" s="1">
        <v>0</v>
      </c>
      <c r="AS40" s="2"/>
      <c r="AT40" s="2"/>
      <c r="AU40" s="2"/>
      <c r="AV40" s="2"/>
      <c r="AW40" s="1">
        <v>0</v>
      </c>
      <c r="AX40" s="2"/>
      <c r="AY40" s="2"/>
      <c r="AZ40" s="1">
        <v>0</v>
      </c>
      <c r="BA40" s="2"/>
      <c r="BB40" s="2"/>
      <c r="BC40" s="2" t="s">
        <v>310</v>
      </c>
      <c r="BD40" s="2" t="s">
        <v>339</v>
      </c>
      <c r="BE40" s="1">
        <v>1</v>
      </c>
      <c r="BF40" s="2"/>
      <c r="BG40" s="2" t="s">
        <v>297</v>
      </c>
      <c r="BH40" s="2" t="s">
        <v>324</v>
      </c>
      <c r="BI40" s="2" t="s">
        <v>339</v>
      </c>
      <c r="BJ40" s="1">
        <v>0</v>
      </c>
      <c r="BK40" s="2"/>
      <c r="BL40" s="2"/>
      <c r="BM40" s="1">
        <v>0</v>
      </c>
      <c r="BN40" s="2"/>
      <c r="BO40" s="2" t="s">
        <v>296</v>
      </c>
      <c r="BP40" s="1">
        <v>1</v>
      </c>
      <c r="BQ40" s="2" t="s">
        <v>548</v>
      </c>
      <c r="BR40" s="2" t="s">
        <v>286</v>
      </c>
      <c r="BS40" s="2" t="s">
        <v>297</v>
      </c>
      <c r="BT40" s="1">
        <v>0</v>
      </c>
      <c r="BU40" s="2"/>
      <c r="BV40" s="2"/>
      <c r="BW40" s="2" t="s">
        <v>288</v>
      </c>
      <c r="BX40" s="2" t="s">
        <v>287</v>
      </c>
      <c r="BY40" s="1">
        <v>0</v>
      </c>
      <c r="BZ40" s="2"/>
      <c r="CA40" s="2"/>
      <c r="CB40" s="1">
        <v>1</v>
      </c>
      <c r="CC40" s="2" t="s">
        <v>549</v>
      </c>
      <c r="CD40" s="2" t="s">
        <v>328</v>
      </c>
      <c r="CE40" s="1">
        <v>0</v>
      </c>
      <c r="CF40" s="2"/>
      <c r="CG40" s="2"/>
      <c r="CH40" s="2" t="s">
        <v>294</v>
      </c>
      <c r="CI40" s="2" t="s">
        <v>297</v>
      </c>
      <c r="CJ40" s="1">
        <v>0</v>
      </c>
      <c r="CK40" s="2"/>
      <c r="CL40" s="2"/>
      <c r="CM40" s="2" t="s">
        <v>288</v>
      </c>
      <c r="CN40" s="2" t="s">
        <v>297</v>
      </c>
      <c r="CO40" s="1">
        <v>0</v>
      </c>
      <c r="CP40" s="2"/>
      <c r="CQ40" s="2"/>
      <c r="CR40" s="1">
        <v>0</v>
      </c>
      <c r="CS40" s="2"/>
      <c r="CT40" s="2" t="s">
        <v>299</v>
      </c>
      <c r="CU40" s="1">
        <v>0</v>
      </c>
      <c r="CV40" s="2"/>
      <c r="CW40" s="2"/>
      <c r="CX40" s="2" t="s">
        <v>301</v>
      </c>
      <c r="CY40" s="2" t="s">
        <v>339</v>
      </c>
      <c r="CZ40" s="1">
        <v>1</v>
      </c>
      <c r="DA40" s="2" t="s">
        <v>297</v>
      </c>
      <c r="DB40" s="2"/>
      <c r="DC40" s="2" t="s">
        <v>324</v>
      </c>
      <c r="DD40" s="2" t="s">
        <v>339</v>
      </c>
      <c r="DE40" s="1">
        <v>0</v>
      </c>
      <c r="DF40" s="2"/>
      <c r="DG40" s="2"/>
      <c r="DH40" s="1">
        <v>0</v>
      </c>
      <c r="DI40" s="2"/>
      <c r="DJ40" s="2" t="s">
        <v>328</v>
      </c>
      <c r="DK40" s="1">
        <v>1</v>
      </c>
      <c r="DL40" s="2" t="s">
        <v>550</v>
      </c>
      <c r="DM40" s="2"/>
      <c r="DN40" s="2" t="s">
        <v>303</v>
      </c>
      <c r="DO40" s="2" t="s">
        <v>331</v>
      </c>
      <c r="DP40" s="1">
        <v>1</v>
      </c>
      <c r="DQ40" s="2" t="s">
        <v>297</v>
      </c>
      <c r="DR40" s="2"/>
      <c r="DS40" s="2" t="s">
        <v>298</v>
      </c>
      <c r="DT40" s="2" t="s">
        <v>331</v>
      </c>
      <c r="DU40" s="1">
        <v>0</v>
      </c>
      <c r="DV40" s="2"/>
      <c r="DW40" s="2"/>
      <c r="DX40" s="2"/>
      <c r="DY40" s="1">
        <v>0</v>
      </c>
      <c r="DZ40" s="2"/>
      <c r="EA40" s="2" t="s">
        <v>303</v>
      </c>
      <c r="EB40" s="2" t="s">
        <v>331</v>
      </c>
      <c r="EC40" s="1">
        <v>0</v>
      </c>
      <c r="ED40" s="2"/>
      <c r="EE40" s="2"/>
      <c r="EF40" s="2" t="s">
        <v>298</v>
      </c>
      <c r="EG40" s="2" t="s">
        <v>331</v>
      </c>
      <c r="EH40" s="1">
        <v>0</v>
      </c>
      <c r="EI40" s="2"/>
      <c r="EJ40" s="2"/>
      <c r="EK40" s="2" t="s">
        <v>551</v>
      </c>
      <c r="EL40" s="1">
        <v>0</v>
      </c>
      <c r="EM40" s="2"/>
      <c r="EN40" s="1">
        <v>0</v>
      </c>
      <c r="EO40" s="2"/>
      <c r="EP40" s="2" t="s">
        <v>328</v>
      </c>
      <c r="EQ40" s="2" t="s">
        <v>296</v>
      </c>
      <c r="ER40" s="1">
        <v>1</v>
      </c>
      <c r="ES40" s="2" t="s">
        <v>552</v>
      </c>
      <c r="ET40" s="2"/>
      <c r="EU40" s="2"/>
      <c r="EV40" s="2"/>
      <c r="EW40" s="2"/>
      <c r="EX40" s="2"/>
      <c r="EY40" s="2"/>
      <c r="EZ40" s="2"/>
      <c r="FA40" s="1">
        <v>0</v>
      </c>
      <c r="FB40" s="2"/>
      <c r="FC40" s="2"/>
      <c r="FD40" s="2"/>
      <c r="FE40" s="2" t="s">
        <v>346</v>
      </c>
      <c r="FF40" s="2" t="s">
        <v>317</v>
      </c>
      <c r="FG40" s="2" t="s">
        <v>553</v>
      </c>
      <c r="FH40" s="2"/>
      <c r="FI40" s="1">
        <v>-1</v>
      </c>
      <c r="FJ40" s="1">
        <v>-1</v>
      </c>
      <c r="FK40" s="1">
        <v>-1</v>
      </c>
      <c r="FL40" s="1">
        <v>-1</v>
      </c>
      <c r="FM40" s="1">
        <v>-1</v>
      </c>
      <c r="FN40" s="1">
        <v>-1</v>
      </c>
      <c r="FO40" s="1">
        <v>-1</v>
      </c>
      <c r="FP40" s="1">
        <v>-1</v>
      </c>
      <c r="FQ40" s="1">
        <v>-1</v>
      </c>
      <c r="FR40" s="1">
        <v>-1</v>
      </c>
      <c r="FS40" s="1">
        <v>-1</v>
      </c>
      <c r="FT40" s="1">
        <v>-1</v>
      </c>
      <c r="FU40" s="1">
        <v>-1</v>
      </c>
      <c r="FV40" s="1">
        <v>-1</v>
      </c>
      <c r="FW40" s="1">
        <v>-1</v>
      </c>
      <c r="FX40" s="1">
        <v>-15</v>
      </c>
      <c r="FY40" s="3"/>
      <c r="FZ40" s="3"/>
      <c r="GA40" s="2" t="s">
        <v>319</v>
      </c>
      <c r="GB40" s="2" t="s">
        <v>320</v>
      </c>
      <c r="GC40" s="2" t="s">
        <v>277</v>
      </c>
      <c r="GD40" s="1">
        <v>15</v>
      </c>
      <c r="GE40" s="1">
        <v>15</v>
      </c>
      <c r="GF40" s="1">
        <v>44</v>
      </c>
      <c r="GG40" s="1">
        <v>19</v>
      </c>
      <c r="GH40" s="4"/>
    </row>
    <row r="41" spans="1:190" x14ac:dyDescent="0.25">
      <c r="A41" s="1">
        <v>195</v>
      </c>
      <c r="B41" s="2" t="s">
        <v>347</v>
      </c>
      <c r="C41" s="2" t="s">
        <v>279</v>
      </c>
      <c r="D41" s="2" t="s">
        <v>280</v>
      </c>
      <c r="E41" s="2" t="s">
        <v>281</v>
      </c>
      <c r="F41" s="2" t="s">
        <v>281</v>
      </c>
      <c r="G41" s="2" t="s">
        <v>282</v>
      </c>
      <c r="H41" s="2" t="s">
        <v>282</v>
      </c>
      <c r="I41" s="2" t="s">
        <v>281</v>
      </c>
      <c r="J41" s="2" t="s">
        <v>281</v>
      </c>
      <c r="K41" s="2" t="s">
        <v>282</v>
      </c>
      <c r="L41" s="2" t="s">
        <v>282</v>
      </c>
      <c r="M41" s="2" t="s">
        <v>282</v>
      </c>
      <c r="N41" s="1">
        <v>0</v>
      </c>
      <c r="O41" s="2"/>
      <c r="P41" s="2"/>
      <c r="Q41" s="2" t="s">
        <v>337</v>
      </c>
      <c r="R41" s="2"/>
      <c r="S41" s="2" t="s">
        <v>757</v>
      </c>
      <c r="T41" s="2"/>
      <c r="U41" s="2"/>
      <c r="V41" s="1">
        <v>0</v>
      </c>
      <c r="W41" s="2"/>
      <c r="X41" s="2"/>
      <c r="Y41" s="2" t="s">
        <v>301</v>
      </c>
      <c r="Z41" s="2" t="s">
        <v>331</v>
      </c>
      <c r="AA41" s="1">
        <v>0</v>
      </c>
      <c r="AB41" s="2"/>
      <c r="AC41" s="2"/>
      <c r="AD41" s="2" t="s">
        <v>288</v>
      </c>
      <c r="AE41" s="2" t="s">
        <v>331</v>
      </c>
      <c r="AF41" s="1">
        <v>0</v>
      </c>
      <c r="AG41" s="2"/>
      <c r="AH41" s="2"/>
      <c r="AI41" s="1">
        <v>1</v>
      </c>
      <c r="AJ41" s="2" t="s">
        <v>554</v>
      </c>
      <c r="AK41" s="2"/>
      <c r="AL41" s="2" t="s">
        <v>366</v>
      </c>
      <c r="AM41" s="1">
        <v>1</v>
      </c>
      <c r="AN41" s="2" t="s">
        <v>341</v>
      </c>
      <c r="AO41" s="2"/>
      <c r="AP41" s="2" t="s">
        <v>301</v>
      </c>
      <c r="AQ41" s="2" t="s">
        <v>297</v>
      </c>
      <c r="AR41" s="1">
        <v>0</v>
      </c>
      <c r="AS41" s="2"/>
      <c r="AT41" s="2"/>
      <c r="AU41" s="2" t="s">
        <v>288</v>
      </c>
      <c r="AV41" s="2" t="s">
        <v>287</v>
      </c>
      <c r="AW41" s="1">
        <v>0</v>
      </c>
      <c r="AX41" s="2"/>
      <c r="AY41" s="2"/>
      <c r="AZ41" s="1">
        <v>0</v>
      </c>
      <c r="BA41" s="2"/>
      <c r="BB41" s="2" t="s">
        <v>328</v>
      </c>
      <c r="BC41" s="2" t="s">
        <v>301</v>
      </c>
      <c r="BD41" s="2" t="s">
        <v>297</v>
      </c>
      <c r="BE41" s="1">
        <v>1</v>
      </c>
      <c r="BF41" s="2" t="s">
        <v>531</v>
      </c>
      <c r="BG41" s="2"/>
      <c r="BH41" s="2" t="s">
        <v>324</v>
      </c>
      <c r="BI41" s="2" t="s">
        <v>339</v>
      </c>
      <c r="BJ41" s="1">
        <v>0</v>
      </c>
      <c r="BK41" s="2"/>
      <c r="BL41" s="2"/>
      <c r="BM41" s="1">
        <v>1</v>
      </c>
      <c r="BN41" s="2" t="s">
        <v>555</v>
      </c>
      <c r="BO41" s="2" t="s">
        <v>299</v>
      </c>
      <c r="BP41" s="1">
        <v>1</v>
      </c>
      <c r="BQ41" s="2" t="s">
        <v>556</v>
      </c>
      <c r="BR41" s="2" t="s">
        <v>294</v>
      </c>
      <c r="BS41" s="2" t="s">
        <v>297</v>
      </c>
      <c r="BT41" s="1">
        <v>0</v>
      </c>
      <c r="BU41" s="2"/>
      <c r="BV41" s="2"/>
      <c r="BW41" s="2" t="s">
        <v>288</v>
      </c>
      <c r="BX41" s="2" t="s">
        <v>521</v>
      </c>
      <c r="BY41" s="1">
        <v>0</v>
      </c>
      <c r="BZ41" s="2"/>
      <c r="CA41" s="2"/>
      <c r="CB41" s="1">
        <v>0</v>
      </c>
      <c r="CC41" s="2"/>
      <c r="CD41" s="2" t="s">
        <v>299</v>
      </c>
      <c r="CE41" s="1">
        <v>1</v>
      </c>
      <c r="CF41" s="2" t="s">
        <v>557</v>
      </c>
      <c r="CG41" s="2"/>
      <c r="CH41" s="2" t="s">
        <v>303</v>
      </c>
      <c r="CI41" s="2" t="s">
        <v>297</v>
      </c>
      <c r="CJ41" s="1">
        <v>0</v>
      </c>
      <c r="CK41" s="2"/>
      <c r="CL41" s="2"/>
      <c r="CM41" s="2" t="s">
        <v>298</v>
      </c>
      <c r="CN41" s="2" t="s">
        <v>302</v>
      </c>
      <c r="CO41" s="1">
        <v>0</v>
      </c>
      <c r="CP41" s="2"/>
      <c r="CQ41" s="2"/>
      <c r="CR41" s="1">
        <v>0</v>
      </c>
      <c r="CS41" s="2"/>
      <c r="CT41" s="2" t="s">
        <v>328</v>
      </c>
      <c r="CU41" s="1">
        <v>2</v>
      </c>
      <c r="CV41" s="2" t="s">
        <v>329</v>
      </c>
      <c r="CW41" s="2" t="s">
        <v>558</v>
      </c>
      <c r="CX41" s="2" t="s">
        <v>303</v>
      </c>
      <c r="CY41" s="2" t="s">
        <v>302</v>
      </c>
      <c r="CZ41" s="1">
        <v>0</v>
      </c>
      <c r="DA41" s="2"/>
      <c r="DB41" s="2"/>
      <c r="DC41" s="2" t="s">
        <v>305</v>
      </c>
      <c r="DD41" s="2" t="s">
        <v>331</v>
      </c>
      <c r="DE41" s="1">
        <v>0</v>
      </c>
      <c r="DF41" s="2"/>
      <c r="DG41" s="2"/>
      <c r="DH41" s="1">
        <v>0</v>
      </c>
      <c r="DI41" s="2"/>
      <c r="DJ41" s="2" t="s">
        <v>292</v>
      </c>
      <c r="DK41" s="1">
        <v>1</v>
      </c>
      <c r="DL41" s="2" t="s">
        <v>559</v>
      </c>
      <c r="DM41" s="2"/>
      <c r="DN41" s="2" t="s">
        <v>303</v>
      </c>
      <c r="DO41" s="2" t="s">
        <v>331</v>
      </c>
      <c r="DP41" s="1">
        <v>0</v>
      </c>
      <c r="DQ41" s="2"/>
      <c r="DR41" s="2"/>
      <c r="DS41" s="2" t="s">
        <v>298</v>
      </c>
      <c r="DT41" s="2"/>
      <c r="DU41" s="1">
        <v>0</v>
      </c>
      <c r="DV41" s="2"/>
      <c r="DW41" s="2"/>
      <c r="DX41" s="2"/>
      <c r="DY41" s="1">
        <v>1</v>
      </c>
      <c r="DZ41" s="2" t="s">
        <v>560</v>
      </c>
      <c r="EA41" s="2" t="s">
        <v>303</v>
      </c>
      <c r="EB41" s="2" t="s">
        <v>331</v>
      </c>
      <c r="EC41" s="1">
        <v>0</v>
      </c>
      <c r="ED41" s="2"/>
      <c r="EE41" s="2"/>
      <c r="EF41" s="2" t="s">
        <v>305</v>
      </c>
      <c r="EG41" s="2" t="s">
        <v>302</v>
      </c>
      <c r="EH41" s="1">
        <v>0</v>
      </c>
      <c r="EI41" s="2"/>
      <c r="EJ41" s="2"/>
      <c r="EK41" s="2" t="s">
        <v>561</v>
      </c>
      <c r="EL41" s="1">
        <v>0</v>
      </c>
      <c r="EM41" s="2"/>
      <c r="EN41" s="1">
        <v>0</v>
      </c>
      <c r="EO41" s="2"/>
      <c r="EP41" s="2" t="s">
        <v>328</v>
      </c>
      <c r="EQ41" s="2" t="s">
        <v>299</v>
      </c>
      <c r="ER41" s="1">
        <v>0</v>
      </c>
      <c r="ES41" s="2"/>
      <c r="ET41" s="2"/>
      <c r="EU41" s="2"/>
      <c r="EV41" s="2"/>
      <c r="EW41" s="2"/>
      <c r="EX41" s="2"/>
      <c r="EY41" s="2"/>
      <c r="EZ41" s="2"/>
      <c r="FA41" s="1">
        <v>1</v>
      </c>
      <c r="FB41" s="2" t="s">
        <v>562</v>
      </c>
      <c r="FC41" s="2"/>
      <c r="FD41" s="2"/>
      <c r="FE41" s="2" t="s">
        <v>346</v>
      </c>
      <c r="FF41" s="2" t="s">
        <v>335</v>
      </c>
      <c r="FG41" s="2" t="s">
        <v>563</v>
      </c>
      <c r="FH41" s="2" t="s">
        <v>564</v>
      </c>
      <c r="FI41" s="1">
        <v>-1</v>
      </c>
      <c r="FJ41" s="1">
        <v>-1</v>
      </c>
      <c r="FK41" s="1">
        <v>-1</v>
      </c>
      <c r="FL41" s="1">
        <v>-1</v>
      </c>
      <c r="FM41" s="1">
        <v>-1</v>
      </c>
      <c r="FN41" s="1">
        <v>-1</v>
      </c>
      <c r="FO41" s="1">
        <v>-1</v>
      </c>
      <c r="FP41" s="1">
        <v>-1</v>
      </c>
      <c r="FQ41" s="1">
        <v>-1</v>
      </c>
      <c r="FR41" s="1">
        <v>-1</v>
      </c>
      <c r="FS41" s="1">
        <v>-1</v>
      </c>
      <c r="FT41" s="1">
        <v>-1</v>
      </c>
      <c r="FU41" s="1">
        <v>-1</v>
      </c>
      <c r="FV41" s="1">
        <v>-1</v>
      </c>
      <c r="FW41" s="1">
        <v>-1</v>
      </c>
      <c r="FX41" s="1">
        <v>-15</v>
      </c>
      <c r="FY41" s="3"/>
      <c r="FZ41" s="3"/>
      <c r="GA41" s="2" t="s">
        <v>319</v>
      </c>
      <c r="GB41" s="2" t="s">
        <v>320</v>
      </c>
      <c r="GC41" s="2" t="s">
        <v>277</v>
      </c>
      <c r="GD41" s="1">
        <v>15</v>
      </c>
      <c r="GE41" s="1">
        <v>15</v>
      </c>
      <c r="GF41" s="1">
        <v>34</v>
      </c>
      <c r="GG41" s="1">
        <v>10</v>
      </c>
      <c r="GH41" s="4"/>
    </row>
    <row r="42" spans="1:190" x14ac:dyDescent="0.25">
      <c r="A42" s="1">
        <v>196</v>
      </c>
      <c r="B42" s="2" t="s">
        <v>421</v>
      </c>
      <c r="C42" s="2" t="s">
        <v>353</v>
      </c>
      <c r="D42" s="2" t="s">
        <v>280</v>
      </c>
      <c r="E42" s="2" t="s">
        <v>281</v>
      </c>
      <c r="F42" s="2" t="s">
        <v>281</v>
      </c>
      <c r="G42" s="2" t="s">
        <v>281</v>
      </c>
      <c r="H42" s="2" t="s">
        <v>282</v>
      </c>
      <c r="I42" s="2" t="s">
        <v>282</v>
      </c>
      <c r="J42" s="2" t="s">
        <v>281</v>
      </c>
      <c r="K42" s="2" t="s">
        <v>282</v>
      </c>
      <c r="L42" s="2" t="s">
        <v>282</v>
      </c>
      <c r="M42" s="2" t="s">
        <v>282</v>
      </c>
      <c r="N42" s="1">
        <v>0</v>
      </c>
      <c r="O42" s="2"/>
      <c r="P42" s="2"/>
      <c r="Q42" s="2" t="s">
        <v>283</v>
      </c>
      <c r="R42" s="11" t="s">
        <v>322</v>
      </c>
      <c r="S42" s="2"/>
      <c r="T42" s="2"/>
      <c r="U42" s="2"/>
      <c r="V42" s="1">
        <v>1</v>
      </c>
      <c r="W42" s="2" t="s">
        <v>565</v>
      </c>
      <c r="X42" s="2"/>
      <c r="Y42" s="2" t="s">
        <v>294</v>
      </c>
      <c r="Z42" s="2" t="s">
        <v>500</v>
      </c>
      <c r="AA42" s="1">
        <v>0</v>
      </c>
      <c r="AB42" s="2"/>
      <c r="AC42" s="2"/>
      <c r="AD42" s="2" t="s">
        <v>305</v>
      </c>
      <c r="AE42" s="2" t="s">
        <v>331</v>
      </c>
      <c r="AF42" s="1">
        <v>0</v>
      </c>
      <c r="AG42" s="2"/>
      <c r="AH42" s="2"/>
      <c r="AI42" s="1">
        <v>1</v>
      </c>
      <c r="AJ42" s="2" t="s">
        <v>566</v>
      </c>
      <c r="AK42" s="2"/>
      <c r="AL42" s="2" t="s">
        <v>299</v>
      </c>
      <c r="AM42" s="1">
        <v>1</v>
      </c>
      <c r="AN42" s="2" t="s">
        <v>567</v>
      </c>
      <c r="AO42" s="2"/>
      <c r="AP42" s="2" t="s">
        <v>301</v>
      </c>
      <c r="AQ42" s="2" t="s">
        <v>287</v>
      </c>
      <c r="AR42" s="1">
        <v>0</v>
      </c>
      <c r="AS42" s="2"/>
      <c r="AT42" s="2"/>
      <c r="AU42" s="2" t="s">
        <v>324</v>
      </c>
      <c r="AV42" s="2" t="s">
        <v>339</v>
      </c>
      <c r="AW42" s="1">
        <v>0</v>
      </c>
      <c r="AX42" s="2"/>
      <c r="AY42" s="2"/>
      <c r="AZ42" s="1">
        <v>1</v>
      </c>
      <c r="BA42" s="2" t="s">
        <v>568</v>
      </c>
      <c r="BB42" s="2" t="s">
        <v>296</v>
      </c>
      <c r="BC42" s="2" t="s">
        <v>303</v>
      </c>
      <c r="BD42" s="2" t="s">
        <v>297</v>
      </c>
      <c r="BE42" s="1">
        <v>0</v>
      </c>
      <c r="BF42" s="2"/>
      <c r="BG42" s="2"/>
      <c r="BH42" s="2" t="s">
        <v>324</v>
      </c>
      <c r="BI42" s="2" t="s">
        <v>500</v>
      </c>
      <c r="BJ42" s="1">
        <v>0</v>
      </c>
      <c r="BK42" s="2"/>
      <c r="BL42" s="2"/>
      <c r="BM42" s="1">
        <v>1</v>
      </c>
      <c r="BN42" s="2" t="s">
        <v>569</v>
      </c>
      <c r="BO42" s="2" t="s">
        <v>296</v>
      </c>
      <c r="BP42" s="1">
        <v>1</v>
      </c>
      <c r="BQ42" s="2" t="s">
        <v>570</v>
      </c>
      <c r="BR42" s="2" t="s">
        <v>294</v>
      </c>
      <c r="BS42" s="2" t="s">
        <v>297</v>
      </c>
      <c r="BT42" s="1">
        <v>0</v>
      </c>
      <c r="BU42" s="2"/>
      <c r="BV42" s="2"/>
      <c r="BW42" s="2" t="s">
        <v>288</v>
      </c>
      <c r="BX42" s="2" t="s">
        <v>339</v>
      </c>
      <c r="BY42" s="1">
        <v>0</v>
      </c>
      <c r="BZ42" s="2"/>
      <c r="CA42" s="2"/>
      <c r="CB42" s="1">
        <v>1</v>
      </c>
      <c r="CC42" s="2" t="s">
        <v>406</v>
      </c>
      <c r="CD42" s="2" t="s">
        <v>296</v>
      </c>
      <c r="CE42" s="1">
        <v>1</v>
      </c>
      <c r="CF42" s="2" t="s">
        <v>571</v>
      </c>
      <c r="CG42" s="2"/>
      <c r="CH42" s="2" t="s">
        <v>294</v>
      </c>
      <c r="CI42" s="2" t="s">
        <v>297</v>
      </c>
      <c r="CJ42" s="1">
        <v>0</v>
      </c>
      <c r="CK42" s="2"/>
      <c r="CL42" s="2"/>
      <c r="CM42" s="2" t="s">
        <v>288</v>
      </c>
      <c r="CN42" s="2" t="s">
        <v>339</v>
      </c>
      <c r="CO42" s="1">
        <v>0</v>
      </c>
      <c r="CP42" s="2"/>
      <c r="CQ42" s="2"/>
      <c r="CR42" s="1">
        <v>0</v>
      </c>
      <c r="CS42" s="2"/>
      <c r="CT42" s="2"/>
      <c r="CU42" s="1">
        <v>1</v>
      </c>
      <c r="CV42" s="2" t="s">
        <v>572</v>
      </c>
      <c r="CW42" s="2"/>
      <c r="CX42" s="2" t="s">
        <v>294</v>
      </c>
      <c r="CY42" s="2" t="s">
        <v>297</v>
      </c>
      <c r="CZ42" s="1">
        <v>0</v>
      </c>
      <c r="DA42" s="2"/>
      <c r="DB42" s="2"/>
      <c r="DC42" s="2" t="s">
        <v>288</v>
      </c>
      <c r="DD42" s="2" t="s">
        <v>339</v>
      </c>
      <c r="DE42" s="1">
        <v>0</v>
      </c>
      <c r="DF42" s="2"/>
      <c r="DG42" s="2"/>
      <c r="DH42" s="1">
        <v>0</v>
      </c>
      <c r="DI42" s="2"/>
      <c r="DJ42" s="2" t="s">
        <v>296</v>
      </c>
      <c r="DK42" s="1">
        <v>1</v>
      </c>
      <c r="DL42" s="2" t="s">
        <v>573</v>
      </c>
      <c r="DM42" s="2"/>
      <c r="DN42" s="2" t="s">
        <v>294</v>
      </c>
      <c r="DO42" s="2" t="s">
        <v>331</v>
      </c>
      <c r="DP42" s="1">
        <v>0</v>
      </c>
      <c r="DQ42" s="2"/>
      <c r="DR42" s="2"/>
      <c r="DS42" s="2" t="s">
        <v>298</v>
      </c>
      <c r="DT42" s="2" t="s">
        <v>331</v>
      </c>
      <c r="DU42" s="1">
        <v>0</v>
      </c>
      <c r="DV42" s="2"/>
      <c r="DW42" s="2"/>
      <c r="DX42" s="2"/>
      <c r="DY42" s="1">
        <v>1</v>
      </c>
      <c r="DZ42" s="2" t="s">
        <v>374</v>
      </c>
      <c r="EA42" s="2" t="s">
        <v>294</v>
      </c>
      <c r="EB42" s="2" t="s">
        <v>331</v>
      </c>
      <c r="EC42" s="1">
        <v>0</v>
      </c>
      <c r="ED42" s="2"/>
      <c r="EE42" s="2"/>
      <c r="EF42" s="2" t="s">
        <v>305</v>
      </c>
      <c r="EG42" s="2" t="s">
        <v>302</v>
      </c>
      <c r="EH42" s="1">
        <v>0</v>
      </c>
      <c r="EI42" s="2"/>
      <c r="EJ42" s="2"/>
      <c r="EK42" s="2"/>
      <c r="EL42" s="1">
        <v>0</v>
      </c>
      <c r="EM42" s="2"/>
      <c r="EN42" s="1">
        <v>0</v>
      </c>
      <c r="EO42" s="2"/>
      <c r="EP42" s="2" t="s">
        <v>328</v>
      </c>
      <c r="EQ42" s="2" t="s">
        <v>299</v>
      </c>
      <c r="ER42" s="1">
        <v>1</v>
      </c>
      <c r="ES42" s="2"/>
      <c r="ET42" s="2" t="s">
        <v>404</v>
      </c>
      <c r="EU42" s="2"/>
      <c r="EV42" s="2"/>
      <c r="EW42" s="2"/>
      <c r="EX42" s="2" t="s">
        <v>574</v>
      </c>
      <c r="EY42" s="2"/>
      <c r="EZ42" s="2"/>
      <c r="FA42" s="1">
        <v>1</v>
      </c>
      <c r="FB42" s="2"/>
      <c r="FC42" s="2" t="s">
        <v>575</v>
      </c>
      <c r="FD42" s="2"/>
      <c r="FE42" s="2" t="s">
        <v>346</v>
      </c>
      <c r="FF42" s="2" t="s">
        <v>351</v>
      </c>
      <c r="FG42" s="2" t="s">
        <v>576</v>
      </c>
      <c r="FH42" s="2"/>
      <c r="FI42" s="1">
        <v>-1</v>
      </c>
      <c r="FJ42" s="1">
        <v>-1</v>
      </c>
      <c r="FK42" s="1">
        <v>-1</v>
      </c>
      <c r="FL42" s="1">
        <v>-1</v>
      </c>
      <c r="FM42" s="1">
        <v>-1</v>
      </c>
      <c r="FN42" s="1">
        <v>-1</v>
      </c>
      <c r="FO42" s="1">
        <v>-1</v>
      </c>
      <c r="FP42" s="1">
        <v>-1</v>
      </c>
      <c r="FQ42" s="1">
        <v>-1</v>
      </c>
      <c r="FR42" s="1">
        <v>-1</v>
      </c>
      <c r="FS42" s="1">
        <v>-1</v>
      </c>
      <c r="FT42" s="1">
        <v>-1</v>
      </c>
      <c r="FU42" s="1">
        <v>-1</v>
      </c>
      <c r="FV42" s="1">
        <v>-1</v>
      </c>
      <c r="FW42" s="1">
        <v>-1</v>
      </c>
      <c r="FX42" s="1">
        <v>-15</v>
      </c>
      <c r="FY42" s="3"/>
      <c r="FZ42" s="3"/>
      <c r="GA42" s="2" t="s">
        <v>319</v>
      </c>
      <c r="GB42" s="2" t="s">
        <v>320</v>
      </c>
      <c r="GC42" s="2" t="s">
        <v>277</v>
      </c>
      <c r="GD42" s="1">
        <v>15</v>
      </c>
      <c r="GE42" s="1">
        <v>15</v>
      </c>
      <c r="GF42" s="1">
        <v>31</v>
      </c>
      <c r="GG42" s="1">
        <v>8</v>
      </c>
      <c r="GH42" s="4"/>
    </row>
    <row r="43" spans="1:190" x14ac:dyDescent="0.25">
      <c r="A43" s="1">
        <v>199</v>
      </c>
      <c r="B43" s="2" t="s">
        <v>347</v>
      </c>
      <c r="C43" s="2" t="s">
        <v>353</v>
      </c>
      <c r="D43" s="2" t="s">
        <v>377</v>
      </c>
      <c r="E43" s="2" t="s">
        <v>281</v>
      </c>
      <c r="F43" s="2" t="s">
        <v>281</v>
      </c>
      <c r="G43" s="2" t="s">
        <v>282</v>
      </c>
      <c r="H43" s="2" t="s">
        <v>282</v>
      </c>
      <c r="I43" s="2" t="s">
        <v>282</v>
      </c>
      <c r="J43" s="2" t="s">
        <v>281</v>
      </c>
      <c r="K43" s="2" t="s">
        <v>282</v>
      </c>
      <c r="L43" s="2" t="s">
        <v>282</v>
      </c>
      <c r="M43" s="2" t="s">
        <v>282</v>
      </c>
      <c r="N43" s="1">
        <v>0</v>
      </c>
      <c r="O43" s="2"/>
      <c r="P43" s="2"/>
      <c r="Q43" s="2" t="s">
        <v>283</v>
      </c>
      <c r="R43" s="11" t="s">
        <v>322</v>
      </c>
      <c r="S43" s="2"/>
      <c r="T43" s="2"/>
      <c r="U43" s="2"/>
      <c r="V43" s="1">
        <v>0</v>
      </c>
      <c r="W43" s="2"/>
      <c r="X43" s="2"/>
      <c r="Y43" s="2" t="s">
        <v>303</v>
      </c>
      <c r="Z43" s="2" t="s">
        <v>331</v>
      </c>
      <c r="AA43" s="1">
        <v>0</v>
      </c>
      <c r="AB43" s="2"/>
      <c r="AC43" s="2"/>
      <c r="AD43" s="2" t="s">
        <v>288</v>
      </c>
      <c r="AE43" s="2" t="s">
        <v>331</v>
      </c>
      <c r="AF43" s="1">
        <v>0</v>
      </c>
      <c r="AG43" s="2"/>
      <c r="AH43" s="2"/>
      <c r="AI43" s="1">
        <v>0</v>
      </c>
      <c r="AJ43" s="2"/>
      <c r="AK43" s="2"/>
      <c r="AL43" s="2" t="s">
        <v>366</v>
      </c>
      <c r="AM43" s="1">
        <v>0</v>
      </c>
      <c r="AN43" s="2"/>
      <c r="AO43" s="2"/>
      <c r="AP43" s="2" t="s">
        <v>294</v>
      </c>
      <c r="AQ43" s="2" t="s">
        <v>287</v>
      </c>
      <c r="AR43" s="1">
        <v>0</v>
      </c>
      <c r="AS43" s="2"/>
      <c r="AT43" s="2"/>
      <c r="AU43" s="2" t="s">
        <v>324</v>
      </c>
      <c r="AV43" s="2" t="s">
        <v>287</v>
      </c>
      <c r="AW43" s="1">
        <v>0</v>
      </c>
      <c r="AX43" s="2"/>
      <c r="AY43" s="2"/>
      <c r="AZ43" s="1">
        <v>0</v>
      </c>
      <c r="BA43" s="2"/>
      <c r="BB43" s="2" t="s">
        <v>296</v>
      </c>
      <c r="BC43" s="2" t="s">
        <v>303</v>
      </c>
      <c r="BD43" s="2" t="s">
        <v>297</v>
      </c>
      <c r="BE43" s="1">
        <v>0</v>
      </c>
      <c r="BF43" s="2"/>
      <c r="BG43" s="2"/>
      <c r="BH43" s="2" t="s">
        <v>324</v>
      </c>
      <c r="BI43" s="2" t="s">
        <v>287</v>
      </c>
      <c r="BJ43" s="1">
        <v>0</v>
      </c>
      <c r="BK43" s="2"/>
      <c r="BL43" s="2"/>
      <c r="BM43" s="1">
        <v>0</v>
      </c>
      <c r="BN43" s="2"/>
      <c r="BO43" s="2" t="s">
        <v>296</v>
      </c>
      <c r="BP43" s="1">
        <v>0</v>
      </c>
      <c r="BQ43" s="2"/>
      <c r="BR43" s="2" t="s">
        <v>310</v>
      </c>
      <c r="BS43" s="2" t="s">
        <v>297</v>
      </c>
      <c r="BT43" s="1">
        <v>0</v>
      </c>
      <c r="BU43" s="2"/>
      <c r="BV43" s="2"/>
      <c r="BW43" s="2" t="s">
        <v>324</v>
      </c>
      <c r="BX43" s="2" t="s">
        <v>297</v>
      </c>
      <c r="BY43" s="1">
        <v>0</v>
      </c>
      <c r="BZ43" s="2"/>
      <c r="CA43" s="2"/>
      <c r="CB43" s="1">
        <v>0</v>
      </c>
      <c r="CC43" s="2"/>
      <c r="CD43" s="2" t="s">
        <v>299</v>
      </c>
      <c r="CE43" s="1">
        <v>0</v>
      </c>
      <c r="CF43" s="2"/>
      <c r="CG43" s="2"/>
      <c r="CH43" s="2" t="s">
        <v>303</v>
      </c>
      <c r="CI43" s="2" t="s">
        <v>302</v>
      </c>
      <c r="CJ43" s="1">
        <v>1</v>
      </c>
      <c r="CK43" s="2"/>
      <c r="CL43" s="2" t="s">
        <v>297</v>
      </c>
      <c r="CM43" s="2" t="s">
        <v>305</v>
      </c>
      <c r="CN43" s="2" t="s">
        <v>302</v>
      </c>
      <c r="CO43" s="1">
        <v>0</v>
      </c>
      <c r="CP43" s="2"/>
      <c r="CQ43" s="2"/>
      <c r="CR43" s="1">
        <v>0</v>
      </c>
      <c r="CS43" s="2"/>
      <c r="CT43" s="2" t="s">
        <v>328</v>
      </c>
      <c r="CU43" s="1">
        <v>0</v>
      </c>
      <c r="CV43" s="2"/>
      <c r="CW43" s="2"/>
      <c r="CX43" s="2" t="s">
        <v>303</v>
      </c>
      <c r="CY43" s="2" t="s">
        <v>331</v>
      </c>
      <c r="CZ43" s="1">
        <v>0</v>
      </c>
      <c r="DA43" s="2"/>
      <c r="DB43" s="2"/>
      <c r="DC43" s="2" t="s">
        <v>298</v>
      </c>
      <c r="DD43" s="2" t="s">
        <v>331</v>
      </c>
      <c r="DE43" s="1">
        <v>0</v>
      </c>
      <c r="DF43" s="2"/>
      <c r="DG43" s="2"/>
      <c r="DH43" s="1">
        <v>0</v>
      </c>
      <c r="DI43" s="2"/>
      <c r="DJ43" s="2" t="s">
        <v>366</v>
      </c>
      <c r="DK43" s="1">
        <v>0</v>
      </c>
      <c r="DL43" s="2"/>
      <c r="DM43" s="2"/>
      <c r="DN43" s="2" t="s">
        <v>286</v>
      </c>
      <c r="DO43" s="2" t="s">
        <v>331</v>
      </c>
      <c r="DP43" s="1">
        <v>0</v>
      </c>
      <c r="DQ43" s="2"/>
      <c r="DR43" s="2"/>
      <c r="DS43" s="2" t="s">
        <v>298</v>
      </c>
      <c r="DT43" s="2" t="s">
        <v>331</v>
      </c>
      <c r="DU43" s="1">
        <v>0</v>
      </c>
      <c r="DV43" s="2"/>
      <c r="DW43" s="2"/>
      <c r="DX43" s="2"/>
      <c r="DY43" s="1">
        <v>0</v>
      </c>
      <c r="DZ43" s="2"/>
      <c r="EA43" s="2" t="s">
        <v>303</v>
      </c>
      <c r="EB43" s="2" t="s">
        <v>331</v>
      </c>
      <c r="EC43" s="1">
        <v>0</v>
      </c>
      <c r="ED43" s="2"/>
      <c r="EE43" s="2"/>
      <c r="EF43" s="2" t="s">
        <v>288</v>
      </c>
      <c r="EG43" s="2" t="s">
        <v>302</v>
      </c>
      <c r="EH43" s="1">
        <v>0</v>
      </c>
      <c r="EI43" s="2"/>
      <c r="EJ43" s="2"/>
      <c r="EK43" s="2"/>
      <c r="EL43" s="1">
        <v>0</v>
      </c>
      <c r="EM43" s="2"/>
      <c r="EN43" s="1">
        <v>0</v>
      </c>
      <c r="EO43" s="2"/>
      <c r="EP43" s="2" t="s">
        <v>366</v>
      </c>
      <c r="EQ43" s="2" t="s">
        <v>292</v>
      </c>
      <c r="ER43" s="1">
        <v>0</v>
      </c>
      <c r="ES43" s="2"/>
      <c r="ET43" s="2"/>
      <c r="EU43" s="2"/>
      <c r="EV43" s="2"/>
      <c r="EW43" s="2"/>
      <c r="EX43" s="2"/>
      <c r="EY43" s="2"/>
      <c r="EZ43" s="2"/>
      <c r="FA43" s="1">
        <v>0</v>
      </c>
      <c r="FB43" s="2"/>
      <c r="FC43" s="2"/>
      <c r="FD43" s="2"/>
      <c r="FE43" s="2" t="s">
        <v>346</v>
      </c>
      <c r="FF43" s="2" t="s">
        <v>317</v>
      </c>
      <c r="FG43" s="2"/>
      <c r="FH43" s="2"/>
      <c r="FI43" s="1">
        <v>-1</v>
      </c>
      <c r="FJ43" s="1">
        <v>-1</v>
      </c>
      <c r="FK43" s="1">
        <v>-1</v>
      </c>
      <c r="FL43" s="1">
        <v>-1</v>
      </c>
      <c r="FM43" s="1">
        <v>-1</v>
      </c>
      <c r="FN43" s="1">
        <v>-1</v>
      </c>
      <c r="FO43" s="1">
        <v>-1</v>
      </c>
      <c r="FP43" s="1">
        <v>-1</v>
      </c>
      <c r="FQ43" s="1">
        <v>-1</v>
      </c>
      <c r="FR43" s="1">
        <v>-1</v>
      </c>
      <c r="FS43" s="1">
        <v>-1</v>
      </c>
      <c r="FT43" s="1">
        <v>-1</v>
      </c>
      <c r="FU43" s="1">
        <v>-1</v>
      </c>
      <c r="FV43" s="1">
        <v>-1</v>
      </c>
      <c r="FW43" s="1">
        <v>-1</v>
      </c>
      <c r="FX43" s="1">
        <v>-15</v>
      </c>
      <c r="FY43" s="3"/>
      <c r="FZ43" s="3"/>
      <c r="GA43" s="2" t="s">
        <v>319</v>
      </c>
      <c r="GB43" s="2" t="s">
        <v>320</v>
      </c>
      <c r="GC43" s="2" t="s">
        <v>277</v>
      </c>
      <c r="GD43" s="1">
        <v>15</v>
      </c>
      <c r="GE43" s="1">
        <v>15</v>
      </c>
      <c r="GF43" s="1">
        <v>50</v>
      </c>
      <c r="GG43" s="1">
        <v>20</v>
      </c>
      <c r="GH43" s="4"/>
    </row>
    <row r="44" spans="1:190" x14ac:dyDescent="0.25">
      <c r="A44" s="1">
        <v>200</v>
      </c>
      <c r="B44" s="2" t="s">
        <v>347</v>
      </c>
      <c r="C44" s="2" t="s">
        <v>353</v>
      </c>
      <c r="D44" s="2" t="s">
        <v>377</v>
      </c>
      <c r="E44" s="2" t="s">
        <v>281</v>
      </c>
      <c r="F44" s="2" t="s">
        <v>282</v>
      </c>
      <c r="G44" s="2" t="s">
        <v>281</v>
      </c>
      <c r="H44" s="2" t="s">
        <v>282</v>
      </c>
      <c r="I44" s="2" t="s">
        <v>282</v>
      </c>
      <c r="J44" s="2" t="s">
        <v>281</v>
      </c>
      <c r="K44" s="2" t="s">
        <v>282</v>
      </c>
      <c r="L44" s="2" t="s">
        <v>282</v>
      </c>
      <c r="M44" s="2" t="s">
        <v>282</v>
      </c>
      <c r="N44" s="1">
        <v>1</v>
      </c>
      <c r="O44" s="2"/>
      <c r="P44" s="2" t="s">
        <v>339</v>
      </c>
      <c r="Q44" s="2" t="s">
        <v>283</v>
      </c>
      <c r="R44" s="2" t="s">
        <v>449</v>
      </c>
      <c r="S44" s="2"/>
      <c r="T44" s="2"/>
      <c r="U44" s="2"/>
      <c r="V44" s="1">
        <v>0</v>
      </c>
      <c r="W44" s="2"/>
      <c r="X44" s="2"/>
      <c r="Y44" s="2" t="s">
        <v>294</v>
      </c>
      <c r="Z44" s="2" t="s">
        <v>331</v>
      </c>
      <c r="AA44" s="1">
        <v>1</v>
      </c>
      <c r="AB44" s="2" t="s">
        <v>302</v>
      </c>
      <c r="AC44" s="2"/>
      <c r="AD44" s="2" t="s">
        <v>305</v>
      </c>
      <c r="AE44" s="2" t="s">
        <v>331</v>
      </c>
      <c r="AF44" s="1">
        <v>0</v>
      </c>
      <c r="AG44" s="2"/>
      <c r="AH44" s="2"/>
      <c r="AI44" s="1">
        <v>0</v>
      </c>
      <c r="AJ44" s="2"/>
      <c r="AK44" s="2"/>
      <c r="AL44" s="2" t="s">
        <v>296</v>
      </c>
      <c r="AM44" s="1">
        <v>1</v>
      </c>
      <c r="AN44" s="2" t="s">
        <v>577</v>
      </c>
      <c r="AO44" s="2"/>
      <c r="AP44" s="2" t="s">
        <v>301</v>
      </c>
      <c r="AQ44" s="2" t="s">
        <v>287</v>
      </c>
      <c r="AR44" s="1">
        <v>0</v>
      </c>
      <c r="AS44" s="2"/>
      <c r="AT44" s="2"/>
      <c r="AU44" s="2" t="s">
        <v>324</v>
      </c>
      <c r="AV44" s="2" t="s">
        <v>287</v>
      </c>
      <c r="AW44" s="1">
        <v>1</v>
      </c>
      <c r="AX44" s="2"/>
      <c r="AY44" s="2" t="s">
        <v>339</v>
      </c>
      <c r="AZ44" s="1">
        <v>0</v>
      </c>
      <c r="BA44" s="2"/>
      <c r="BB44" s="2" t="s">
        <v>328</v>
      </c>
      <c r="BC44" s="2" t="s">
        <v>294</v>
      </c>
      <c r="BD44" s="2" t="s">
        <v>297</v>
      </c>
      <c r="BE44" s="1">
        <v>0</v>
      </c>
      <c r="BF44" s="2"/>
      <c r="BG44" s="2"/>
      <c r="BH44" s="2" t="s">
        <v>324</v>
      </c>
      <c r="BI44" s="2" t="s">
        <v>297</v>
      </c>
      <c r="BJ44" s="1">
        <v>0</v>
      </c>
      <c r="BK44" s="2"/>
      <c r="BL44" s="2"/>
      <c r="BM44" s="1">
        <v>0</v>
      </c>
      <c r="BN44" s="2"/>
      <c r="BO44" s="2" t="s">
        <v>296</v>
      </c>
      <c r="BP44" s="1">
        <v>0</v>
      </c>
      <c r="BQ44" s="2"/>
      <c r="BR44" s="2" t="s">
        <v>294</v>
      </c>
      <c r="BS44" s="2" t="s">
        <v>297</v>
      </c>
      <c r="BT44" s="1">
        <v>0</v>
      </c>
      <c r="BU44" s="2"/>
      <c r="BV44" s="2"/>
      <c r="BW44" s="2" t="s">
        <v>288</v>
      </c>
      <c r="BX44" s="2" t="s">
        <v>331</v>
      </c>
      <c r="BY44" s="1">
        <v>0</v>
      </c>
      <c r="BZ44" s="2"/>
      <c r="CA44" s="2"/>
      <c r="CB44" s="1">
        <v>0</v>
      </c>
      <c r="CC44" s="2"/>
      <c r="CD44" s="2" t="s">
        <v>328</v>
      </c>
      <c r="CE44" s="1">
        <v>0</v>
      </c>
      <c r="CF44" s="2"/>
      <c r="CG44" s="2"/>
      <c r="CH44" s="2" t="s">
        <v>294</v>
      </c>
      <c r="CI44" s="2" t="s">
        <v>297</v>
      </c>
      <c r="CJ44" s="1">
        <v>1</v>
      </c>
      <c r="CK44" s="2" t="s">
        <v>302</v>
      </c>
      <c r="CL44" s="2"/>
      <c r="CM44" s="2" t="s">
        <v>288</v>
      </c>
      <c r="CN44" s="2" t="s">
        <v>331</v>
      </c>
      <c r="CO44" s="1">
        <v>1</v>
      </c>
      <c r="CP44" s="2" t="s">
        <v>302</v>
      </c>
      <c r="CQ44" s="2"/>
      <c r="CR44" s="1">
        <v>0</v>
      </c>
      <c r="CS44" s="2"/>
      <c r="CT44" s="2" t="s">
        <v>299</v>
      </c>
      <c r="CU44" s="1">
        <v>0</v>
      </c>
      <c r="CV44" s="2"/>
      <c r="CW44" s="2"/>
      <c r="CX44" s="2" t="s">
        <v>301</v>
      </c>
      <c r="CY44" s="2" t="s">
        <v>297</v>
      </c>
      <c r="CZ44" s="1">
        <v>0</v>
      </c>
      <c r="DA44" s="2"/>
      <c r="DB44" s="2"/>
      <c r="DC44" s="2" t="s">
        <v>288</v>
      </c>
      <c r="DD44" s="2" t="s">
        <v>297</v>
      </c>
      <c r="DE44" s="1">
        <v>1</v>
      </c>
      <c r="DF44" s="2" t="s">
        <v>302</v>
      </c>
      <c r="DG44" s="2"/>
      <c r="DH44" s="1">
        <v>0</v>
      </c>
      <c r="DI44" s="2"/>
      <c r="DJ44" s="2" t="s">
        <v>299</v>
      </c>
      <c r="DK44" s="1">
        <v>0</v>
      </c>
      <c r="DL44" s="2"/>
      <c r="DM44" s="2"/>
      <c r="DN44" s="2" t="s">
        <v>301</v>
      </c>
      <c r="DO44" s="2" t="s">
        <v>331</v>
      </c>
      <c r="DP44" s="1">
        <v>0</v>
      </c>
      <c r="DQ44" s="2"/>
      <c r="DR44" s="2"/>
      <c r="DS44" s="2" t="s">
        <v>288</v>
      </c>
      <c r="DT44" s="2" t="s">
        <v>331</v>
      </c>
      <c r="DU44" s="1">
        <v>0</v>
      </c>
      <c r="DV44" s="2"/>
      <c r="DW44" s="2"/>
      <c r="DX44" s="2"/>
      <c r="DY44" s="1">
        <v>0</v>
      </c>
      <c r="DZ44" s="2"/>
      <c r="EA44" s="2" t="s">
        <v>301</v>
      </c>
      <c r="EB44" s="2" t="s">
        <v>331</v>
      </c>
      <c r="EC44" s="1">
        <v>0</v>
      </c>
      <c r="ED44" s="2"/>
      <c r="EE44" s="2"/>
      <c r="EF44" s="2" t="s">
        <v>288</v>
      </c>
      <c r="EG44" s="2" t="s">
        <v>331</v>
      </c>
      <c r="EH44" s="1">
        <v>0</v>
      </c>
      <c r="EI44" s="2"/>
      <c r="EJ44" s="2"/>
      <c r="EK44" s="2"/>
      <c r="EL44" s="1">
        <v>0</v>
      </c>
      <c r="EM44" s="2"/>
      <c r="EN44" s="1">
        <v>0</v>
      </c>
      <c r="EO44" s="2"/>
      <c r="EP44" s="2" t="s">
        <v>299</v>
      </c>
      <c r="EQ44" s="2" t="s">
        <v>299</v>
      </c>
      <c r="ER44" s="1">
        <v>0</v>
      </c>
      <c r="ES44" s="2"/>
      <c r="ET44" s="2"/>
      <c r="EU44" s="2"/>
      <c r="EV44" s="2"/>
      <c r="EW44" s="2"/>
      <c r="EX44" s="2"/>
      <c r="EY44" s="2"/>
      <c r="EZ44" s="2"/>
      <c r="FA44" s="1">
        <v>0</v>
      </c>
      <c r="FB44" s="2"/>
      <c r="FC44" s="2"/>
      <c r="FD44" s="2"/>
      <c r="FE44" s="2" t="s">
        <v>482</v>
      </c>
      <c r="FF44" s="2" t="s">
        <v>317</v>
      </c>
      <c r="FG44" s="2"/>
      <c r="FH44" s="2"/>
      <c r="FI44" s="1">
        <v>-1</v>
      </c>
      <c r="FJ44" s="1">
        <v>-1</v>
      </c>
      <c r="FK44" s="1">
        <v>-1</v>
      </c>
      <c r="FL44" s="1">
        <v>-1</v>
      </c>
      <c r="FM44" s="1">
        <v>-1</v>
      </c>
      <c r="FN44" s="1">
        <v>-1</v>
      </c>
      <c r="FO44" s="1">
        <v>-1</v>
      </c>
      <c r="FP44" s="1">
        <v>-1</v>
      </c>
      <c r="FQ44" s="1">
        <v>-1</v>
      </c>
      <c r="FR44" s="1">
        <v>-1</v>
      </c>
      <c r="FS44" s="1">
        <v>-1</v>
      </c>
      <c r="FT44" s="1">
        <v>-1</v>
      </c>
      <c r="FU44" s="1">
        <v>-1</v>
      </c>
      <c r="FV44" s="1">
        <v>-1</v>
      </c>
      <c r="FW44" s="1">
        <v>-1</v>
      </c>
      <c r="FX44" s="1">
        <v>-15</v>
      </c>
      <c r="FY44" s="3"/>
      <c r="FZ44" s="3"/>
      <c r="GA44" s="2" t="s">
        <v>319</v>
      </c>
      <c r="GB44" s="2" t="s">
        <v>320</v>
      </c>
      <c r="GC44" s="2" t="s">
        <v>277</v>
      </c>
      <c r="GD44" s="1">
        <v>15</v>
      </c>
      <c r="GE44" s="1">
        <v>15</v>
      </c>
      <c r="GF44" s="1">
        <v>43</v>
      </c>
      <c r="GG44" s="1">
        <v>18</v>
      </c>
      <c r="GH44" s="4"/>
    </row>
    <row r="45" spans="1:190" x14ac:dyDescent="0.25">
      <c r="A45" s="1">
        <v>202</v>
      </c>
      <c r="B45" s="2" t="s">
        <v>347</v>
      </c>
      <c r="C45" s="2" t="s">
        <v>279</v>
      </c>
      <c r="D45" s="2" t="s">
        <v>280</v>
      </c>
      <c r="E45" s="2" t="s">
        <v>281</v>
      </c>
      <c r="F45" s="2" t="s">
        <v>281</v>
      </c>
      <c r="G45" s="2" t="s">
        <v>281</v>
      </c>
      <c r="H45" s="2" t="s">
        <v>282</v>
      </c>
      <c r="I45" s="2" t="s">
        <v>282</v>
      </c>
      <c r="J45" s="2" t="s">
        <v>281</v>
      </c>
      <c r="K45" s="2" t="s">
        <v>282</v>
      </c>
      <c r="L45" s="2" t="s">
        <v>282</v>
      </c>
      <c r="M45" s="2" t="s">
        <v>282</v>
      </c>
      <c r="N45" s="1">
        <v>1</v>
      </c>
      <c r="O45" s="2" t="s">
        <v>404</v>
      </c>
      <c r="P45" s="2"/>
      <c r="Q45" s="2" t="s">
        <v>283</v>
      </c>
      <c r="R45" s="11" t="s">
        <v>378</v>
      </c>
      <c r="S45" s="2"/>
      <c r="T45" s="2"/>
      <c r="U45" s="2"/>
      <c r="V45" s="1">
        <v>0</v>
      </c>
      <c r="W45" s="2"/>
      <c r="X45" s="2"/>
      <c r="Y45" s="2" t="s">
        <v>301</v>
      </c>
      <c r="Z45" s="2" t="s">
        <v>297</v>
      </c>
      <c r="AA45" s="1">
        <v>1</v>
      </c>
      <c r="AB45" s="2" t="s">
        <v>302</v>
      </c>
      <c r="AC45" s="2"/>
      <c r="AD45" s="2" t="s">
        <v>305</v>
      </c>
      <c r="AE45" s="2" t="s">
        <v>287</v>
      </c>
      <c r="AF45" s="1">
        <v>0</v>
      </c>
      <c r="AG45" s="2"/>
      <c r="AH45" s="2"/>
      <c r="AI45" s="1">
        <v>1</v>
      </c>
      <c r="AJ45" s="2" t="s">
        <v>578</v>
      </c>
      <c r="AK45" s="2"/>
      <c r="AL45" s="2" t="s">
        <v>328</v>
      </c>
      <c r="AM45" s="1">
        <v>0</v>
      </c>
      <c r="AN45" s="2"/>
      <c r="AO45" s="2"/>
      <c r="AP45" s="2" t="s">
        <v>301</v>
      </c>
      <c r="AQ45" s="2" t="s">
        <v>297</v>
      </c>
      <c r="AR45" s="1">
        <v>1</v>
      </c>
      <c r="AS45" s="2"/>
      <c r="AT45" s="2" t="s">
        <v>406</v>
      </c>
      <c r="AU45" s="2" t="s">
        <v>305</v>
      </c>
      <c r="AV45" s="2" t="s">
        <v>287</v>
      </c>
      <c r="AW45" s="1">
        <v>0</v>
      </c>
      <c r="AX45" s="2"/>
      <c r="AY45" s="2"/>
      <c r="AZ45" s="1">
        <v>1</v>
      </c>
      <c r="BA45" s="2" t="s">
        <v>579</v>
      </c>
      <c r="BB45" s="2" t="s">
        <v>328</v>
      </c>
      <c r="BC45" s="2" t="s">
        <v>310</v>
      </c>
      <c r="BD45" s="2" t="s">
        <v>297</v>
      </c>
      <c r="BE45" s="1">
        <v>1</v>
      </c>
      <c r="BF45" s="2" t="s">
        <v>531</v>
      </c>
      <c r="BG45" s="2"/>
      <c r="BH45" s="2" t="s">
        <v>324</v>
      </c>
      <c r="BI45" s="2" t="s">
        <v>287</v>
      </c>
      <c r="BJ45" s="1">
        <v>0</v>
      </c>
      <c r="BK45" s="2"/>
      <c r="BL45" s="2"/>
      <c r="BM45" s="1">
        <v>1</v>
      </c>
      <c r="BN45" s="2" t="s">
        <v>580</v>
      </c>
      <c r="BO45" s="2" t="s">
        <v>299</v>
      </c>
      <c r="BP45" s="1">
        <v>0</v>
      </c>
      <c r="BQ45" s="2"/>
      <c r="BR45" s="2" t="s">
        <v>301</v>
      </c>
      <c r="BS45" s="2" t="s">
        <v>297</v>
      </c>
      <c r="BT45" s="1">
        <v>0</v>
      </c>
      <c r="BU45" s="2"/>
      <c r="BV45" s="2"/>
      <c r="BW45" s="2" t="s">
        <v>324</v>
      </c>
      <c r="BX45" s="2" t="s">
        <v>287</v>
      </c>
      <c r="BY45" s="1">
        <v>0</v>
      </c>
      <c r="BZ45" s="2"/>
      <c r="CA45" s="2"/>
      <c r="CB45" s="1">
        <v>1</v>
      </c>
      <c r="CC45" s="2" t="s">
        <v>581</v>
      </c>
      <c r="CD45" s="2" t="s">
        <v>328</v>
      </c>
      <c r="CE45" s="1">
        <v>0</v>
      </c>
      <c r="CF45" s="2"/>
      <c r="CG45" s="2"/>
      <c r="CH45" s="2" t="s">
        <v>294</v>
      </c>
      <c r="CI45" s="2" t="s">
        <v>297</v>
      </c>
      <c r="CJ45" s="1">
        <v>1</v>
      </c>
      <c r="CK45" s="2" t="s">
        <v>302</v>
      </c>
      <c r="CL45" s="2"/>
      <c r="CM45" s="2" t="s">
        <v>288</v>
      </c>
      <c r="CN45" s="2" t="s">
        <v>339</v>
      </c>
      <c r="CO45" s="1">
        <v>0</v>
      </c>
      <c r="CP45" s="2"/>
      <c r="CQ45" s="2"/>
      <c r="CR45" s="1">
        <v>0</v>
      </c>
      <c r="CS45" s="2"/>
      <c r="CT45" s="2" t="s">
        <v>328</v>
      </c>
      <c r="CU45" s="1">
        <v>0</v>
      </c>
      <c r="CV45" s="2"/>
      <c r="CW45" s="2"/>
      <c r="CX45" s="2" t="s">
        <v>301</v>
      </c>
      <c r="CY45" s="2" t="s">
        <v>287</v>
      </c>
      <c r="CZ45" s="1">
        <v>0</v>
      </c>
      <c r="DA45" s="2"/>
      <c r="DB45" s="2"/>
      <c r="DC45" s="2" t="s">
        <v>324</v>
      </c>
      <c r="DD45" s="2" t="s">
        <v>339</v>
      </c>
      <c r="DE45" s="1">
        <v>0</v>
      </c>
      <c r="DF45" s="2"/>
      <c r="DG45" s="2"/>
      <c r="DH45" s="1">
        <v>1</v>
      </c>
      <c r="DI45" s="2" t="s">
        <v>582</v>
      </c>
      <c r="DJ45" s="2" t="s">
        <v>299</v>
      </c>
      <c r="DK45" s="1">
        <v>0</v>
      </c>
      <c r="DL45" s="2"/>
      <c r="DM45" s="2"/>
      <c r="DN45" s="2" t="s">
        <v>303</v>
      </c>
      <c r="DO45" s="2" t="s">
        <v>331</v>
      </c>
      <c r="DP45" s="1">
        <v>0</v>
      </c>
      <c r="DQ45" s="2"/>
      <c r="DR45" s="2"/>
      <c r="DS45" s="2" t="s">
        <v>298</v>
      </c>
      <c r="DT45" s="2"/>
      <c r="DU45" s="1">
        <v>0</v>
      </c>
      <c r="DV45" s="2"/>
      <c r="DW45" s="2"/>
      <c r="DX45" s="2"/>
      <c r="DY45" s="1">
        <v>0</v>
      </c>
      <c r="DZ45" s="2"/>
      <c r="EA45" s="2" t="s">
        <v>301</v>
      </c>
      <c r="EB45" s="2" t="s">
        <v>331</v>
      </c>
      <c r="EC45" s="1">
        <v>0</v>
      </c>
      <c r="ED45" s="2"/>
      <c r="EE45" s="2"/>
      <c r="EF45" s="2" t="s">
        <v>305</v>
      </c>
      <c r="EG45" s="2" t="s">
        <v>331</v>
      </c>
      <c r="EH45" s="1">
        <v>0</v>
      </c>
      <c r="EI45" s="2"/>
      <c r="EJ45" s="2"/>
      <c r="EK45" s="2"/>
      <c r="EL45" s="1">
        <v>1</v>
      </c>
      <c r="EM45" s="2" t="s">
        <v>583</v>
      </c>
      <c r="EN45" s="1">
        <v>0</v>
      </c>
      <c r="EO45" s="2"/>
      <c r="EP45" s="2"/>
      <c r="EQ45" s="2" t="s">
        <v>328</v>
      </c>
      <c r="ER45" s="1">
        <v>0</v>
      </c>
      <c r="ES45" s="2"/>
      <c r="ET45" s="2"/>
      <c r="EU45" s="2"/>
      <c r="EV45" s="2"/>
      <c r="EW45" s="2"/>
      <c r="EX45" s="2"/>
      <c r="EY45" s="2"/>
      <c r="EZ45" s="2"/>
      <c r="FA45" s="1">
        <v>0</v>
      </c>
      <c r="FB45" s="2"/>
      <c r="FC45" s="2"/>
      <c r="FD45" s="2"/>
      <c r="FE45" s="2" t="s">
        <v>437</v>
      </c>
      <c r="FF45" s="2" t="s">
        <v>335</v>
      </c>
      <c r="FG45" s="2" t="s">
        <v>584</v>
      </c>
      <c r="FH45" s="2"/>
      <c r="FI45" s="1">
        <v>-1</v>
      </c>
      <c r="FJ45" s="1">
        <v>-1</v>
      </c>
      <c r="FK45" s="1">
        <v>-1</v>
      </c>
      <c r="FL45" s="1">
        <v>-1</v>
      </c>
      <c r="FM45" s="1">
        <v>-1</v>
      </c>
      <c r="FN45" s="1">
        <v>-1</v>
      </c>
      <c r="FO45" s="1">
        <v>-1</v>
      </c>
      <c r="FP45" s="1">
        <v>-1</v>
      </c>
      <c r="FQ45" s="1">
        <v>-1</v>
      </c>
      <c r="FR45" s="1">
        <v>-1</v>
      </c>
      <c r="FS45" s="1">
        <v>-1</v>
      </c>
      <c r="FT45" s="1">
        <v>-1</v>
      </c>
      <c r="FU45" s="1">
        <v>-1</v>
      </c>
      <c r="FV45" s="1">
        <v>-1</v>
      </c>
      <c r="FW45" s="1">
        <v>-1</v>
      </c>
      <c r="FX45" s="1">
        <v>-15</v>
      </c>
      <c r="FY45" s="3"/>
      <c r="FZ45" s="3"/>
      <c r="GA45" s="2" t="s">
        <v>319</v>
      </c>
      <c r="GB45" s="2" t="s">
        <v>320</v>
      </c>
      <c r="GC45" s="2" t="s">
        <v>277</v>
      </c>
      <c r="GD45" s="1">
        <v>15</v>
      </c>
      <c r="GE45" s="1">
        <v>15</v>
      </c>
      <c r="GF45" s="1">
        <v>41</v>
      </c>
      <c r="GG45" s="1">
        <v>19</v>
      </c>
      <c r="GH45" s="4"/>
    </row>
    <row r="46" spans="1:190" x14ac:dyDescent="0.25">
      <c r="A46" s="1">
        <v>204</v>
      </c>
      <c r="B46" s="2" t="s">
        <v>347</v>
      </c>
      <c r="C46" s="2" t="s">
        <v>279</v>
      </c>
      <c r="D46" s="2" t="s">
        <v>377</v>
      </c>
      <c r="E46" s="2" t="s">
        <v>281</v>
      </c>
      <c r="F46" s="2" t="s">
        <v>281</v>
      </c>
      <c r="G46" s="2" t="s">
        <v>282</v>
      </c>
      <c r="H46" s="2" t="s">
        <v>282</v>
      </c>
      <c r="I46" s="2" t="s">
        <v>282</v>
      </c>
      <c r="J46" s="2" t="s">
        <v>281</v>
      </c>
      <c r="K46" s="2" t="s">
        <v>282</v>
      </c>
      <c r="L46" s="2" t="s">
        <v>282</v>
      </c>
      <c r="M46" s="2" t="s">
        <v>282</v>
      </c>
      <c r="N46" s="1">
        <v>0</v>
      </c>
      <c r="O46" s="2"/>
      <c r="P46" s="2"/>
      <c r="Q46" s="2" t="s">
        <v>423</v>
      </c>
      <c r="R46" s="2"/>
      <c r="S46" s="2"/>
      <c r="T46" s="2"/>
      <c r="U46" s="12" t="s">
        <v>424</v>
      </c>
      <c r="V46" s="1">
        <v>1</v>
      </c>
      <c r="W46" s="2" t="s">
        <v>585</v>
      </c>
      <c r="X46" s="2"/>
      <c r="Y46" s="2" t="s">
        <v>310</v>
      </c>
      <c r="Z46" s="2" t="s">
        <v>297</v>
      </c>
      <c r="AA46" s="1">
        <v>0</v>
      </c>
      <c r="AB46" s="2"/>
      <c r="AC46" s="2"/>
      <c r="AD46" s="2" t="s">
        <v>288</v>
      </c>
      <c r="AE46" s="2" t="s">
        <v>287</v>
      </c>
      <c r="AF46" s="1">
        <v>0</v>
      </c>
      <c r="AG46" s="2"/>
      <c r="AH46" s="2"/>
      <c r="AI46" s="1">
        <v>1</v>
      </c>
      <c r="AJ46" s="2" t="s">
        <v>586</v>
      </c>
      <c r="AK46" s="2"/>
      <c r="AL46" s="2" t="s">
        <v>328</v>
      </c>
      <c r="AM46" s="1">
        <v>1</v>
      </c>
      <c r="AN46" s="2" t="s">
        <v>405</v>
      </c>
      <c r="AO46" s="2"/>
      <c r="AP46" s="2" t="s">
        <v>294</v>
      </c>
      <c r="AQ46" s="2" t="s">
        <v>287</v>
      </c>
      <c r="AR46" s="1">
        <v>0</v>
      </c>
      <c r="AS46" s="2"/>
      <c r="AT46" s="2"/>
      <c r="AU46" s="2" t="s">
        <v>288</v>
      </c>
      <c r="AV46" s="2" t="s">
        <v>287</v>
      </c>
      <c r="AW46" s="1">
        <v>0</v>
      </c>
      <c r="AX46" s="2"/>
      <c r="AY46" s="2"/>
      <c r="AZ46" s="1">
        <v>0</v>
      </c>
      <c r="BA46" s="2"/>
      <c r="BB46" s="2" t="s">
        <v>328</v>
      </c>
      <c r="BC46" s="2" t="s">
        <v>303</v>
      </c>
      <c r="BD46" s="2" t="s">
        <v>297</v>
      </c>
      <c r="BE46" s="1">
        <v>1</v>
      </c>
      <c r="BF46" s="2" t="s">
        <v>339</v>
      </c>
      <c r="BG46" s="2"/>
      <c r="BH46" s="2" t="s">
        <v>324</v>
      </c>
      <c r="BI46" s="2" t="s">
        <v>339</v>
      </c>
      <c r="BJ46" s="1">
        <v>0</v>
      </c>
      <c r="BK46" s="2"/>
      <c r="BL46" s="2"/>
      <c r="BM46" s="1">
        <v>1</v>
      </c>
      <c r="BN46" s="2" t="s">
        <v>587</v>
      </c>
      <c r="BO46" s="2" t="s">
        <v>296</v>
      </c>
      <c r="BP46" s="1">
        <v>1</v>
      </c>
      <c r="BQ46" s="2" t="s">
        <v>588</v>
      </c>
      <c r="BR46" s="2" t="s">
        <v>303</v>
      </c>
      <c r="BS46" s="2" t="s">
        <v>297</v>
      </c>
      <c r="BT46" s="1">
        <v>0</v>
      </c>
      <c r="BU46" s="2"/>
      <c r="BV46" s="2"/>
      <c r="BW46" s="2" t="s">
        <v>288</v>
      </c>
      <c r="BX46" s="2" t="s">
        <v>287</v>
      </c>
      <c r="BY46" s="1">
        <v>0</v>
      </c>
      <c r="BZ46" s="2"/>
      <c r="CA46" s="2"/>
      <c r="CB46" s="1">
        <v>0</v>
      </c>
      <c r="CC46" s="2"/>
      <c r="CD46" s="2" t="s">
        <v>296</v>
      </c>
      <c r="CE46" s="1">
        <v>1</v>
      </c>
      <c r="CF46" s="2" t="s">
        <v>589</v>
      </c>
      <c r="CG46" s="2"/>
      <c r="CH46" s="2" t="s">
        <v>303</v>
      </c>
      <c r="CI46" s="2" t="s">
        <v>297</v>
      </c>
      <c r="CJ46" s="1">
        <v>1</v>
      </c>
      <c r="CK46" s="2" t="s">
        <v>590</v>
      </c>
      <c r="CL46" s="2"/>
      <c r="CM46" s="2" t="s">
        <v>305</v>
      </c>
      <c r="CN46" s="2" t="s">
        <v>287</v>
      </c>
      <c r="CO46" s="1">
        <v>0</v>
      </c>
      <c r="CP46" s="2"/>
      <c r="CQ46" s="2"/>
      <c r="CR46" s="1">
        <v>0</v>
      </c>
      <c r="CS46" s="2"/>
      <c r="CT46" s="2" t="s">
        <v>296</v>
      </c>
      <c r="CU46" s="1">
        <v>1</v>
      </c>
      <c r="CV46" s="2" t="s">
        <v>591</v>
      </c>
      <c r="CW46" s="2"/>
      <c r="CX46" s="2" t="s">
        <v>303</v>
      </c>
      <c r="CY46" s="2" t="s">
        <v>331</v>
      </c>
      <c r="CZ46" s="1">
        <v>0</v>
      </c>
      <c r="DA46" s="2"/>
      <c r="DB46" s="2"/>
      <c r="DC46" s="2" t="s">
        <v>298</v>
      </c>
      <c r="DD46" s="2" t="s">
        <v>331</v>
      </c>
      <c r="DE46" s="1">
        <v>0</v>
      </c>
      <c r="DF46" s="2"/>
      <c r="DG46" s="2"/>
      <c r="DH46" s="1">
        <v>1</v>
      </c>
      <c r="DI46" s="2" t="s">
        <v>406</v>
      </c>
      <c r="DJ46" s="2" t="s">
        <v>296</v>
      </c>
      <c r="DK46" s="1">
        <v>1</v>
      </c>
      <c r="DL46" s="2" t="s">
        <v>592</v>
      </c>
      <c r="DM46" s="2"/>
      <c r="DN46" s="2" t="s">
        <v>303</v>
      </c>
      <c r="DO46" s="2" t="s">
        <v>331</v>
      </c>
      <c r="DP46" s="1">
        <v>0</v>
      </c>
      <c r="DQ46" s="2"/>
      <c r="DR46" s="2"/>
      <c r="DS46" s="2" t="s">
        <v>298</v>
      </c>
      <c r="DT46" s="2" t="s">
        <v>331</v>
      </c>
      <c r="DU46" s="1">
        <v>0</v>
      </c>
      <c r="DV46" s="2"/>
      <c r="DW46" s="2"/>
      <c r="DX46" s="2" t="s">
        <v>593</v>
      </c>
      <c r="DY46" s="1">
        <v>1</v>
      </c>
      <c r="DZ46" s="2" t="s">
        <v>594</v>
      </c>
      <c r="EA46" s="2" t="s">
        <v>303</v>
      </c>
      <c r="EB46" s="2" t="s">
        <v>331</v>
      </c>
      <c r="EC46" s="1">
        <v>1</v>
      </c>
      <c r="ED46" s="2" t="s">
        <v>287</v>
      </c>
      <c r="EE46" s="2"/>
      <c r="EF46" s="2" t="s">
        <v>305</v>
      </c>
      <c r="EG46" s="2"/>
      <c r="EH46" s="1">
        <v>1</v>
      </c>
      <c r="EI46" s="2" t="s">
        <v>467</v>
      </c>
      <c r="EJ46" s="2"/>
      <c r="EK46" s="2" t="s">
        <v>593</v>
      </c>
      <c r="EL46" s="1">
        <v>0</v>
      </c>
      <c r="EM46" s="2"/>
      <c r="EN46" s="1">
        <v>1</v>
      </c>
      <c r="EO46" s="2" t="s">
        <v>406</v>
      </c>
      <c r="EP46" s="2" t="s">
        <v>296</v>
      </c>
      <c r="EQ46" s="2" t="s">
        <v>296</v>
      </c>
      <c r="ER46" s="1">
        <v>2</v>
      </c>
      <c r="ES46" s="2" t="s">
        <v>595</v>
      </c>
      <c r="ET46" s="2" t="s">
        <v>596</v>
      </c>
      <c r="EU46" s="2"/>
      <c r="EV46" s="2"/>
      <c r="EW46" s="2" t="s">
        <v>597</v>
      </c>
      <c r="EX46" s="2" t="s">
        <v>598</v>
      </c>
      <c r="EY46" s="2"/>
      <c r="EZ46" s="2"/>
      <c r="FA46" s="1">
        <v>1</v>
      </c>
      <c r="FB46" s="2" t="s">
        <v>599</v>
      </c>
      <c r="FC46" s="2"/>
      <c r="FD46" s="2"/>
      <c r="FE46" s="2" t="s">
        <v>350</v>
      </c>
      <c r="FF46" s="2" t="s">
        <v>317</v>
      </c>
      <c r="FG46" s="2" t="s">
        <v>600</v>
      </c>
      <c r="FH46" s="2"/>
      <c r="FI46" s="1">
        <v>-1</v>
      </c>
      <c r="FJ46" s="1">
        <v>-1</v>
      </c>
      <c r="FK46" s="1">
        <v>-1</v>
      </c>
      <c r="FL46" s="1">
        <v>-1</v>
      </c>
      <c r="FM46" s="1">
        <v>-1</v>
      </c>
      <c r="FN46" s="1">
        <v>-1</v>
      </c>
      <c r="FO46" s="1">
        <v>-1</v>
      </c>
      <c r="FP46" s="1">
        <v>-1</v>
      </c>
      <c r="FQ46" s="1">
        <v>-1</v>
      </c>
      <c r="FR46" s="1">
        <v>-1</v>
      </c>
      <c r="FS46" s="1">
        <v>-1</v>
      </c>
      <c r="FT46" s="1">
        <v>-1</v>
      </c>
      <c r="FU46" s="1">
        <v>-1</v>
      </c>
      <c r="FV46" s="1">
        <v>-1</v>
      </c>
      <c r="FW46" s="1">
        <v>-1</v>
      </c>
      <c r="FX46" s="1">
        <v>-15</v>
      </c>
      <c r="FY46" s="3"/>
      <c r="FZ46" s="3"/>
      <c r="GA46" s="2" t="s">
        <v>319</v>
      </c>
      <c r="GB46" s="2" t="s">
        <v>320</v>
      </c>
      <c r="GC46" s="2" t="s">
        <v>277</v>
      </c>
      <c r="GD46" s="1">
        <v>15</v>
      </c>
      <c r="GE46" s="1">
        <v>15</v>
      </c>
      <c r="GF46" s="1">
        <v>23</v>
      </c>
      <c r="GG46" s="1">
        <v>5</v>
      </c>
      <c r="GH46" s="4"/>
    </row>
    <row r="47" spans="1:190" x14ac:dyDescent="0.25">
      <c r="A47" s="1">
        <v>205</v>
      </c>
      <c r="B47" s="2" t="s">
        <v>347</v>
      </c>
      <c r="C47" s="2" t="s">
        <v>353</v>
      </c>
      <c r="D47" s="2" t="s">
        <v>377</v>
      </c>
      <c r="E47" s="2" t="s">
        <v>281</v>
      </c>
      <c r="F47" s="2" t="s">
        <v>281</v>
      </c>
      <c r="G47" s="2" t="s">
        <v>282</v>
      </c>
      <c r="H47" s="2" t="s">
        <v>282</v>
      </c>
      <c r="I47" s="2" t="s">
        <v>282</v>
      </c>
      <c r="J47" s="2" t="s">
        <v>281</v>
      </c>
      <c r="K47" s="2" t="s">
        <v>282</v>
      </c>
      <c r="L47" s="2" t="s">
        <v>282</v>
      </c>
      <c r="M47" s="2" t="s">
        <v>282</v>
      </c>
      <c r="N47" s="1">
        <v>0</v>
      </c>
      <c r="O47" s="2"/>
      <c r="P47" s="2"/>
      <c r="Q47" s="2" t="s">
        <v>423</v>
      </c>
      <c r="R47" s="2"/>
      <c r="S47" s="2"/>
      <c r="T47" s="2"/>
      <c r="U47" s="12" t="s">
        <v>424</v>
      </c>
      <c r="V47" s="1">
        <v>1</v>
      </c>
      <c r="W47" s="2" t="s">
        <v>585</v>
      </c>
      <c r="X47" s="2"/>
      <c r="Y47" s="2" t="s">
        <v>294</v>
      </c>
      <c r="Z47" s="2" t="s">
        <v>521</v>
      </c>
      <c r="AA47" s="1">
        <v>0</v>
      </c>
      <c r="AB47" s="2"/>
      <c r="AC47" s="2"/>
      <c r="AD47" s="2" t="s">
        <v>305</v>
      </c>
      <c r="AE47" s="2" t="s">
        <v>302</v>
      </c>
      <c r="AF47" s="1">
        <v>0</v>
      </c>
      <c r="AG47" s="2"/>
      <c r="AH47" s="2"/>
      <c r="AI47" s="1">
        <v>0</v>
      </c>
      <c r="AJ47" s="2"/>
      <c r="AK47" s="2"/>
      <c r="AL47" s="2" t="s">
        <v>299</v>
      </c>
      <c r="AM47" s="1">
        <v>1</v>
      </c>
      <c r="AN47" s="2" t="s">
        <v>405</v>
      </c>
      <c r="AO47" s="2"/>
      <c r="AP47" s="2" t="s">
        <v>303</v>
      </c>
      <c r="AQ47" s="2" t="s">
        <v>287</v>
      </c>
      <c r="AR47" s="1">
        <v>0</v>
      </c>
      <c r="AS47" s="2"/>
      <c r="AT47" s="2"/>
      <c r="AU47" s="2" t="s">
        <v>305</v>
      </c>
      <c r="AV47" s="2" t="s">
        <v>287</v>
      </c>
      <c r="AW47" s="1">
        <v>0</v>
      </c>
      <c r="AX47" s="2"/>
      <c r="AY47" s="2"/>
      <c r="AZ47" s="1">
        <v>0</v>
      </c>
      <c r="BA47" s="2"/>
      <c r="BB47" s="2" t="s">
        <v>299</v>
      </c>
      <c r="BC47" s="2" t="s">
        <v>294</v>
      </c>
      <c r="BD47" s="2" t="s">
        <v>297</v>
      </c>
      <c r="BE47" s="1">
        <v>0</v>
      </c>
      <c r="BF47" s="2"/>
      <c r="BG47" s="2"/>
      <c r="BH47" s="2" t="s">
        <v>324</v>
      </c>
      <c r="BI47" s="2" t="s">
        <v>297</v>
      </c>
      <c r="BJ47" s="1">
        <v>0</v>
      </c>
      <c r="BK47" s="2"/>
      <c r="BL47" s="2"/>
      <c r="BM47" s="1">
        <v>0</v>
      </c>
      <c r="BN47" s="2"/>
      <c r="BO47" s="2" t="s">
        <v>299</v>
      </c>
      <c r="BP47" s="1">
        <v>1</v>
      </c>
      <c r="BQ47" s="2" t="s">
        <v>588</v>
      </c>
      <c r="BR47" s="2" t="s">
        <v>303</v>
      </c>
      <c r="BS47" s="2" t="s">
        <v>297</v>
      </c>
      <c r="BT47" s="1">
        <v>0</v>
      </c>
      <c r="BU47" s="2"/>
      <c r="BV47" s="2"/>
      <c r="BW47" s="2" t="s">
        <v>305</v>
      </c>
      <c r="BX47" s="2" t="s">
        <v>297</v>
      </c>
      <c r="BY47" s="1">
        <v>0</v>
      </c>
      <c r="BZ47" s="2"/>
      <c r="CA47" s="2"/>
      <c r="CB47" s="1">
        <v>0</v>
      </c>
      <c r="CC47" s="2"/>
      <c r="CD47" s="2" t="s">
        <v>299</v>
      </c>
      <c r="CE47" s="1">
        <v>1</v>
      </c>
      <c r="CF47" s="2" t="s">
        <v>601</v>
      </c>
      <c r="CG47" s="2"/>
      <c r="CH47" s="2" t="s">
        <v>294</v>
      </c>
      <c r="CI47" s="2" t="s">
        <v>297</v>
      </c>
      <c r="CJ47" s="1">
        <v>0</v>
      </c>
      <c r="CK47" s="2"/>
      <c r="CL47" s="2"/>
      <c r="CM47" s="2" t="s">
        <v>305</v>
      </c>
      <c r="CN47" s="2" t="s">
        <v>297</v>
      </c>
      <c r="CO47" s="1">
        <v>0</v>
      </c>
      <c r="CP47" s="2"/>
      <c r="CQ47" s="2"/>
      <c r="CR47" s="1">
        <v>0</v>
      </c>
      <c r="CS47" s="2"/>
      <c r="CT47" s="2" t="s">
        <v>299</v>
      </c>
      <c r="CU47" s="1">
        <v>1</v>
      </c>
      <c r="CV47" s="2" t="s">
        <v>602</v>
      </c>
      <c r="CW47" s="2"/>
      <c r="CX47" s="2" t="s">
        <v>303</v>
      </c>
      <c r="CY47" s="2" t="s">
        <v>331</v>
      </c>
      <c r="CZ47" s="1">
        <v>0</v>
      </c>
      <c r="DA47" s="2"/>
      <c r="DB47" s="2"/>
      <c r="DC47" s="2" t="s">
        <v>298</v>
      </c>
      <c r="DD47" s="2" t="s">
        <v>331</v>
      </c>
      <c r="DE47" s="1">
        <v>0</v>
      </c>
      <c r="DF47" s="2"/>
      <c r="DG47" s="2"/>
      <c r="DH47" s="1">
        <v>0</v>
      </c>
      <c r="DI47" s="2"/>
      <c r="DJ47" s="2" t="s">
        <v>299</v>
      </c>
      <c r="DK47" s="1">
        <v>1</v>
      </c>
      <c r="DL47" s="2" t="s">
        <v>603</v>
      </c>
      <c r="DM47" s="2"/>
      <c r="DN47" s="2" t="s">
        <v>303</v>
      </c>
      <c r="DO47" s="2" t="s">
        <v>331</v>
      </c>
      <c r="DP47" s="1">
        <v>0</v>
      </c>
      <c r="DQ47" s="2"/>
      <c r="DR47" s="2"/>
      <c r="DS47" s="2" t="s">
        <v>298</v>
      </c>
      <c r="DT47" s="2" t="s">
        <v>331</v>
      </c>
      <c r="DU47" s="1">
        <v>0</v>
      </c>
      <c r="DV47" s="2"/>
      <c r="DW47" s="2"/>
      <c r="DX47" s="2" t="s">
        <v>604</v>
      </c>
      <c r="DY47" s="1">
        <v>1</v>
      </c>
      <c r="DZ47" s="2" t="s">
        <v>374</v>
      </c>
      <c r="EA47" s="2" t="s">
        <v>303</v>
      </c>
      <c r="EB47" s="2" t="s">
        <v>331</v>
      </c>
      <c r="EC47" s="1">
        <v>0</v>
      </c>
      <c r="ED47" s="2"/>
      <c r="EE47" s="2"/>
      <c r="EF47" s="2" t="s">
        <v>305</v>
      </c>
      <c r="EG47" s="2" t="s">
        <v>331</v>
      </c>
      <c r="EH47" s="1">
        <v>0</v>
      </c>
      <c r="EI47" s="2"/>
      <c r="EJ47" s="2"/>
      <c r="EK47" s="2" t="s">
        <v>605</v>
      </c>
      <c r="EL47" s="1">
        <v>0</v>
      </c>
      <c r="EM47" s="2"/>
      <c r="EN47" s="1">
        <v>0</v>
      </c>
      <c r="EO47" s="2"/>
      <c r="EP47" s="2" t="s">
        <v>299</v>
      </c>
      <c r="EQ47" s="2" t="s">
        <v>299</v>
      </c>
      <c r="ER47" s="1">
        <v>1</v>
      </c>
      <c r="ES47" s="2" t="s">
        <v>606</v>
      </c>
      <c r="ET47" s="2"/>
      <c r="EU47" s="2"/>
      <c r="EV47" s="2"/>
      <c r="EW47" s="2" t="s">
        <v>453</v>
      </c>
      <c r="EX47" s="2" t="s">
        <v>607</v>
      </c>
      <c r="EY47" s="2"/>
      <c r="EZ47" s="2"/>
      <c r="FA47" s="1">
        <v>0</v>
      </c>
      <c r="FB47" s="2"/>
      <c r="FC47" s="2"/>
      <c r="FD47" s="2"/>
      <c r="FE47" s="2" t="s">
        <v>350</v>
      </c>
      <c r="FF47" s="2" t="s">
        <v>317</v>
      </c>
      <c r="FG47" s="2" t="s">
        <v>608</v>
      </c>
      <c r="FH47" s="2"/>
      <c r="FI47" s="1">
        <v>-1</v>
      </c>
      <c r="FJ47" s="1">
        <v>-1</v>
      </c>
      <c r="FK47" s="1">
        <v>-1</v>
      </c>
      <c r="FL47" s="1">
        <v>-1</v>
      </c>
      <c r="FM47" s="1">
        <v>-1</v>
      </c>
      <c r="FN47" s="1">
        <v>-1</v>
      </c>
      <c r="FO47" s="1">
        <v>-1</v>
      </c>
      <c r="FP47" s="1">
        <v>-1</v>
      </c>
      <c r="FQ47" s="1">
        <v>-1</v>
      </c>
      <c r="FR47" s="1">
        <v>-1</v>
      </c>
      <c r="FS47" s="1">
        <v>-1</v>
      </c>
      <c r="FT47" s="1">
        <v>-1</v>
      </c>
      <c r="FU47" s="1">
        <v>-1</v>
      </c>
      <c r="FV47" s="1">
        <v>-1</v>
      </c>
      <c r="FW47" s="1">
        <v>-1</v>
      </c>
      <c r="FX47" s="1">
        <v>-15</v>
      </c>
      <c r="FY47" s="3"/>
      <c r="FZ47" s="3"/>
      <c r="GA47" s="2" t="s">
        <v>319</v>
      </c>
      <c r="GB47" s="2" t="s">
        <v>320</v>
      </c>
      <c r="GC47" s="2" t="s">
        <v>277</v>
      </c>
      <c r="GD47" s="1">
        <v>15</v>
      </c>
      <c r="GE47" s="1">
        <v>15</v>
      </c>
      <c r="GF47" s="1">
        <v>33</v>
      </c>
      <c r="GG47" s="1">
        <v>7</v>
      </c>
      <c r="GH47" s="4"/>
    </row>
    <row r="48" spans="1:190" x14ac:dyDescent="0.25">
      <c r="A48" s="1">
        <v>206</v>
      </c>
      <c r="B48" s="2" t="s">
        <v>321</v>
      </c>
      <c r="C48" s="2" t="s">
        <v>279</v>
      </c>
      <c r="D48" s="2" t="s">
        <v>354</v>
      </c>
      <c r="E48" s="2" t="s">
        <v>281</v>
      </c>
      <c r="F48" s="2" t="s">
        <v>281</v>
      </c>
      <c r="G48" s="2" t="s">
        <v>282</v>
      </c>
      <c r="H48" s="2" t="s">
        <v>282</v>
      </c>
      <c r="I48" s="2" t="s">
        <v>281</v>
      </c>
      <c r="J48" s="2" t="s">
        <v>282</v>
      </c>
      <c r="K48" s="2" t="s">
        <v>281</v>
      </c>
      <c r="L48" s="2" t="s">
        <v>281</v>
      </c>
      <c r="M48" s="2" t="s">
        <v>281</v>
      </c>
      <c r="N48" s="1">
        <v>0</v>
      </c>
      <c r="O48" s="2"/>
      <c r="P48" s="2"/>
      <c r="Q48" s="2" t="s">
        <v>337</v>
      </c>
      <c r="R48" s="2"/>
      <c r="S48" s="12" t="s">
        <v>395</v>
      </c>
      <c r="T48" s="2"/>
      <c r="U48" s="2"/>
      <c r="V48" s="1">
        <v>1</v>
      </c>
      <c r="W48" s="2" t="s">
        <v>609</v>
      </c>
      <c r="X48" s="2"/>
      <c r="Y48" s="2" t="s">
        <v>294</v>
      </c>
      <c r="Z48" s="2" t="s">
        <v>331</v>
      </c>
      <c r="AA48" s="1">
        <v>0</v>
      </c>
      <c r="AB48" s="2"/>
      <c r="AC48" s="2"/>
      <c r="AD48" s="2" t="s">
        <v>305</v>
      </c>
      <c r="AE48" s="2" t="s">
        <v>331</v>
      </c>
      <c r="AF48" s="1">
        <v>0</v>
      </c>
      <c r="AG48" s="2"/>
      <c r="AH48" s="2"/>
      <c r="AI48" s="1">
        <v>0</v>
      </c>
      <c r="AJ48" s="2"/>
      <c r="AK48" s="2"/>
      <c r="AL48" s="2" t="s">
        <v>328</v>
      </c>
      <c r="AM48" s="1">
        <v>1</v>
      </c>
      <c r="AN48" s="2" t="s">
        <v>357</v>
      </c>
      <c r="AO48" s="2"/>
      <c r="AP48" s="2" t="s">
        <v>301</v>
      </c>
      <c r="AQ48" s="2" t="s">
        <v>289</v>
      </c>
      <c r="AR48" s="1">
        <v>0</v>
      </c>
      <c r="AS48" s="2"/>
      <c r="AT48" s="2"/>
      <c r="AU48" s="2" t="s">
        <v>288</v>
      </c>
      <c r="AV48" s="2" t="s">
        <v>331</v>
      </c>
      <c r="AW48" s="1">
        <v>0</v>
      </c>
      <c r="AX48" s="2"/>
      <c r="AY48" s="2"/>
      <c r="AZ48" s="1">
        <v>1</v>
      </c>
      <c r="BA48" s="2" t="s">
        <v>610</v>
      </c>
      <c r="BB48" s="2" t="s">
        <v>299</v>
      </c>
      <c r="BC48" s="2"/>
      <c r="BD48" s="2"/>
      <c r="BE48" s="1">
        <v>0</v>
      </c>
      <c r="BF48" s="2"/>
      <c r="BG48" s="2"/>
      <c r="BH48" s="2"/>
      <c r="BI48" s="2"/>
      <c r="BJ48" s="1">
        <v>0</v>
      </c>
      <c r="BK48" s="2"/>
      <c r="BL48" s="2"/>
      <c r="BM48" s="1">
        <v>0</v>
      </c>
      <c r="BN48" s="2"/>
      <c r="BO48" s="2"/>
      <c r="BP48" s="1">
        <v>1</v>
      </c>
      <c r="BQ48" s="2" t="s">
        <v>611</v>
      </c>
      <c r="BR48" s="2" t="s">
        <v>301</v>
      </c>
      <c r="BS48" s="2" t="s">
        <v>521</v>
      </c>
      <c r="BT48" s="1">
        <v>0</v>
      </c>
      <c r="BU48" s="2"/>
      <c r="BV48" s="2"/>
      <c r="BW48" s="2" t="s">
        <v>288</v>
      </c>
      <c r="BX48" s="2" t="s">
        <v>331</v>
      </c>
      <c r="BY48" s="1">
        <v>0</v>
      </c>
      <c r="BZ48" s="2"/>
      <c r="CA48" s="2"/>
      <c r="CB48" s="1">
        <v>0</v>
      </c>
      <c r="CC48" s="2"/>
      <c r="CD48" s="2" t="s">
        <v>292</v>
      </c>
      <c r="CE48" s="1">
        <v>1</v>
      </c>
      <c r="CF48" s="2" t="s">
        <v>612</v>
      </c>
      <c r="CG48" s="2"/>
      <c r="CH48" s="2" t="s">
        <v>303</v>
      </c>
      <c r="CI48" s="2" t="s">
        <v>302</v>
      </c>
      <c r="CJ48" s="1">
        <v>0</v>
      </c>
      <c r="CK48" s="2"/>
      <c r="CL48" s="2"/>
      <c r="CM48" s="2" t="s">
        <v>298</v>
      </c>
      <c r="CN48" s="2" t="s">
        <v>331</v>
      </c>
      <c r="CO48" s="1">
        <v>0</v>
      </c>
      <c r="CP48" s="2"/>
      <c r="CQ48" s="2"/>
      <c r="CR48" s="1">
        <v>1</v>
      </c>
      <c r="CS48" s="2" t="s">
        <v>613</v>
      </c>
      <c r="CT48" s="2" t="s">
        <v>328</v>
      </c>
      <c r="CU48" s="1">
        <v>1</v>
      </c>
      <c r="CV48" s="2" t="s">
        <v>614</v>
      </c>
      <c r="CW48" s="2"/>
      <c r="CX48" s="2" t="s">
        <v>303</v>
      </c>
      <c r="CY48" s="2" t="s">
        <v>331</v>
      </c>
      <c r="CZ48" s="1">
        <v>0</v>
      </c>
      <c r="DA48" s="2"/>
      <c r="DB48" s="2"/>
      <c r="DC48" s="2" t="s">
        <v>298</v>
      </c>
      <c r="DD48" s="2" t="s">
        <v>331</v>
      </c>
      <c r="DE48" s="1">
        <v>0</v>
      </c>
      <c r="DF48" s="2"/>
      <c r="DG48" s="2"/>
      <c r="DH48" s="1">
        <v>0</v>
      </c>
      <c r="DI48" s="2"/>
      <c r="DJ48" s="2" t="s">
        <v>296</v>
      </c>
      <c r="DK48" s="1">
        <v>1</v>
      </c>
      <c r="DL48" s="2" t="s">
        <v>615</v>
      </c>
      <c r="DM48" s="2"/>
      <c r="DN48" s="2" t="s">
        <v>303</v>
      </c>
      <c r="DO48" s="2" t="s">
        <v>331</v>
      </c>
      <c r="DP48" s="1">
        <v>0</v>
      </c>
      <c r="DQ48" s="2"/>
      <c r="DR48" s="2"/>
      <c r="DS48" s="2" t="s">
        <v>298</v>
      </c>
      <c r="DT48" s="2" t="s">
        <v>331</v>
      </c>
      <c r="DU48" s="1">
        <v>0</v>
      </c>
      <c r="DV48" s="2"/>
      <c r="DW48" s="2"/>
      <c r="DX48" s="2"/>
      <c r="DY48" s="1">
        <v>1</v>
      </c>
      <c r="DZ48" s="2" t="s">
        <v>616</v>
      </c>
      <c r="EA48" s="2" t="s">
        <v>294</v>
      </c>
      <c r="EB48" s="2" t="s">
        <v>331</v>
      </c>
      <c r="EC48" s="1">
        <v>0</v>
      </c>
      <c r="ED48" s="2"/>
      <c r="EE48" s="2"/>
      <c r="EF48" s="2" t="s">
        <v>305</v>
      </c>
      <c r="EG48" s="2" t="s">
        <v>331</v>
      </c>
      <c r="EH48" s="1">
        <v>0</v>
      </c>
      <c r="EI48" s="2"/>
      <c r="EJ48" s="2"/>
      <c r="EK48" s="2"/>
      <c r="EL48" s="1">
        <v>0</v>
      </c>
      <c r="EM48" s="2"/>
      <c r="EN48" s="1">
        <v>0</v>
      </c>
      <c r="EO48" s="2"/>
      <c r="EP48" s="2" t="s">
        <v>296</v>
      </c>
      <c r="EQ48" s="2" t="s">
        <v>299</v>
      </c>
      <c r="ER48" s="1">
        <v>0</v>
      </c>
      <c r="ES48" s="2"/>
      <c r="ET48" s="2"/>
      <c r="EU48" s="2"/>
      <c r="EV48" s="2"/>
      <c r="EW48" s="2"/>
      <c r="EX48" s="2"/>
      <c r="EY48" s="2"/>
      <c r="EZ48" s="2"/>
      <c r="FA48" s="1">
        <v>1</v>
      </c>
      <c r="FB48" s="2" t="s">
        <v>617</v>
      </c>
      <c r="FC48" s="2"/>
      <c r="FD48" s="2"/>
      <c r="FE48" s="2" t="s">
        <v>316</v>
      </c>
      <c r="FF48" s="2" t="s">
        <v>335</v>
      </c>
      <c r="FG48" s="2" t="s">
        <v>618</v>
      </c>
      <c r="FH48" s="2"/>
      <c r="FI48" s="1">
        <v>-1</v>
      </c>
      <c r="FJ48" s="1">
        <v>-1</v>
      </c>
      <c r="FK48" s="1">
        <v>-1</v>
      </c>
      <c r="FL48" s="1">
        <v>-1</v>
      </c>
      <c r="FM48" s="1">
        <v>-1</v>
      </c>
      <c r="FN48" s="1">
        <v>-1</v>
      </c>
      <c r="FO48" s="1">
        <v>-1</v>
      </c>
      <c r="FP48" s="1">
        <v>-1</v>
      </c>
      <c r="FQ48" s="1">
        <v>-1</v>
      </c>
      <c r="FR48" s="1">
        <v>-1</v>
      </c>
      <c r="FS48" s="1">
        <v>-1</v>
      </c>
      <c r="FT48" s="1">
        <v>-1</v>
      </c>
      <c r="FU48" s="1">
        <v>-1</v>
      </c>
      <c r="FV48" s="1">
        <v>-1</v>
      </c>
      <c r="FW48" s="1">
        <v>-1</v>
      </c>
      <c r="FX48" s="1">
        <v>-15</v>
      </c>
      <c r="FY48" s="3"/>
      <c r="FZ48" s="3"/>
      <c r="GA48" s="2" t="s">
        <v>319</v>
      </c>
      <c r="GB48" s="2" t="s">
        <v>320</v>
      </c>
      <c r="GC48" s="2" t="s">
        <v>277</v>
      </c>
      <c r="GD48" s="1">
        <v>15</v>
      </c>
      <c r="GE48" s="1">
        <v>15</v>
      </c>
      <c r="GF48" s="1">
        <v>40</v>
      </c>
      <c r="GG48" s="1">
        <v>15</v>
      </c>
      <c r="GH48" s="4"/>
    </row>
    <row r="49" spans="1:190" x14ac:dyDescent="0.25">
      <c r="A49" s="1">
        <v>207</v>
      </c>
      <c r="B49" s="2" t="s">
        <v>421</v>
      </c>
      <c r="C49" s="2"/>
      <c r="D49" s="2" t="s">
        <v>422</v>
      </c>
      <c r="E49" s="2" t="s">
        <v>281</v>
      </c>
      <c r="F49" s="2" t="s">
        <v>282</v>
      </c>
      <c r="G49" s="2" t="s">
        <v>282</v>
      </c>
      <c r="H49" s="2" t="s">
        <v>282</v>
      </c>
      <c r="I49" s="2" t="s">
        <v>282</v>
      </c>
      <c r="J49" s="2" t="s">
        <v>281</v>
      </c>
      <c r="K49" s="2" t="s">
        <v>282</v>
      </c>
      <c r="L49" s="2" t="s">
        <v>282</v>
      </c>
      <c r="M49" s="2" t="s">
        <v>282</v>
      </c>
      <c r="N49" s="1">
        <v>0</v>
      </c>
      <c r="O49" s="2"/>
      <c r="P49" s="2"/>
      <c r="Q49" s="2" t="s">
        <v>355</v>
      </c>
      <c r="R49" s="2"/>
      <c r="S49" s="2"/>
      <c r="T49" s="11" t="s">
        <v>322</v>
      </c>
      <c r="U49" s="2"/>
      <c r="V49" s="1">
        <v>1</v>
      </c>
      <c r="W49" s="2" t="s">
        <v>466</v>
      </c>
      <c r="X49" s="2"/>
      <c r="Y49" s="2" t="s">
        <v>294</v>
      </c>
      <c r="Z49" s="2" t="s">
        <v>297</v>
      </c>
      <c r="AA49" s="1">
        <v>1</v>
      </c>
      <c r="AB49" s="2" t="s">
        <v>331</v>
      </c>
      <c r="AC49" s="2"/>
      <c r="AD49" s="2" t="s">
        <v>298</v>
      </c>
      <c r="AE49" s="2"/>
      <c r="AF49" s="1">
        <v>0</v>
      </c>
      <c r="AG49" s="2"/>
      <c r="AH49" s="2"/>
      <c r="AI49" s="1">
        <v>0</v>
      </c>
      <c r="AJ49" s="2"/>
      <c r="AK49" s="2"/>
      <c r="AL49" s="2" t="s">
        <v>299</v>
      </c>
      <c r="AM49" s="1">
        <v>0</v>
      </c>
      <c r="AN49" s="2"/>
      <c r="AO49" s="2"/>
      <c r="AP49" s="2"/>
      <c r="AQ49" s="2"/>
      <c r="AR49" s="1">
        <v>0</v>
      </c>
      <c r="AS49" s="2"/>
      <c r="AT49" s="2"/>
      <c r="AU49" s="2"/>
      <c r="AV49" s="2"/>
      <c r="AW49" s="1">
        <v>0</v>
      </c>
      <c r="AX49" s="2"/>
      <c r="AY49" s="2"/>
      <c r="AZ49" s="1">
        <v>0</v>
      </c>
      <c r="BA49" s="2"/>
      <c r="BB49" s="2"/>
      <c r="BC49" s="2"/>
      <c r="BD49" s="2"/>
      <c r="BE49" s="1">
        <v>0</v>
      </c>
      <c r="BF49" s="2"/>
      <c r="BG49" s="2"/>
      <c r="BH49" s="2"/>
      <c r="BI49" s="2"/>
      <c r="BJ49" s="1">
        <v>0</v>
      </c>
      <c r="BK49" s="2"/>
      <c r="BL49" s="2"/>
      <c r="BM49" s="1">
        <v>0</v>
      </c>
      <c r="BN49" s="2"/>
      <c r="BO49" s="2"/>
      <c r="BP49" s="1">
        <v>0</v>
      </c>
      <c r="BQ49" s="2"/>
      <c r="BR49" s="2"/>
      <c r="BS49" s="2"/>
      <c r="BT49" s="1">
        <v>0</v>
      </c>
      <c r="BU49" s="2"/>
      <c r="BV49" s="2"/>
      <c r="BW49" s="2"/>
      <c r="BX49" s="2"/>
      <c r="BY49" s="1">
        <v>0</v>
      </c>
      <c r="BZ49" s="2"/>
      <c r="CA49" s="2"/>
      <c r="CB49" s="1">
        <v>0</v>
      </c>
      <c r="CC49" s="2"/>
      <c r="CD49" s="2"/>
      <c r="CE49" s="1">
        <v>1</v>
      </c>
      <c r="CF49" s="2" t="s">
        <v>619</v>
      </c>
      <c r="CG49" s="2"/>
      <c r="CH49" s="2" t="s">
        <v>294</v>
      </c>
      <c r="CI49" s="2" t="s">
        <v>297</v>
      </c>
      <c r="CJ49" s="1">
        <v>0</v>
      </c>
      <c r="CK49" s="2"/>
      <c r="CL49" s="2"/>
      <c r="CM49" s="2" t="s">
        <v>288</v>
      </c>
      <c r="CN49" s="2" t="s">
        <v>331</v>
      </c>
      <c r="CO49" s="1">
        <v>0</v>
      </c>
      <c r="CP49" s="2"/>
      <c r="CQ49" s="2"/>
      <c r="CR49" s="1">
        <v>0</v>
      </c>
      <c r="CS49" s="2"/>
      <c r="CT49" s="2" t="s">
        <v>299</v>
      </c>
      <c r="CU49" s="1">
        <v>1</v>
      </c>
      <c r="CV49" s="2" t="s">
        <v>620</v>
      </c>
      <c r="CW49" s="2"/>
      <c r="CX49" s="2" t="s">
        <v>301</v>
      </c>
      <c r="CY49" s="2" t="s">
        <v>297</v>
      </c>
      <c r="CZ49" s="1">
        <v>0</v>
      </c>
      <c r="DA49" s="2"/>
      <c r="DB49" s="2"/>
      <c r="DC49" s="2" t="s">
        <v>324</v>
      </c>
      <c r="DD49" s="2" t="s">
        <v>297</v>
      </c>
      <c r="DE49" s="1">
        <v>0</v>
      </c>
      <c r="DF49" s="2"/>
      <c r="DG49" s="2"/>
      <c r="DH49" s="1">
        <v>0</v>
      </c>
      <c r="DI49" s="2"/>
      <c r="DJ49" s="2" t="s">
        <v>299</v>
      </c>
      <c r="DK49" s="1">
        <v>0</v>
      </c>
      <c r="DL49" s="2"/>
      <c r="DM49" s="2"/>
      <c r="DN49" s="2"/>
      <c r="DO49" s="2"/>
      <c r="DP49" s="1">
        <v>0</v>
      </c>
      <c r="DQ49" s="2"/>
      <c r="DR49" s="2"/>
      <c r="DS49" s="2"/>
      <c r="DT49" s="2"/>
      <c r="DU49" s="1">
        <v>0</v>
      </c>
      <c r="DV49" s="2"/>
      <c r="DW49" s="2"/>
      <c r="DX49" s="2"/>
      <c r="DY49" s="1">
        <v>0</v>
      </c>
      <c r="DZ49" s="2"/>
      <c r="EA49" s="2"/>
      <c r="EB49" s="2"/>
      <c r="EC49" s="1">
        <v>0</v>
      </c>
      <c r="ED49" s="2"/>
      <c r="EE49" s="2"/>
      <c r="EF49" s="2"/>
      <c r="EG49" s="2"/>
      <c r="EH49" s="1">
        <v>0</v>
      </c>
      <c r="EI49" s="2"/>
      <c r="EJ49" s="2"/>
      <c r="EK49" s="2"/>
      <c r="EL49" s="1">
        <v>0</v>
      </c>
      <c r="EM49" s="2"/>
      <c r="EN49" s="1">
        <v>0</v>
      </c>
      <c r="EO49" s="2"/>
      <c r="EP49" s="2"/>
      <c r="EQ49" s="2"/>
      <c r="ER49" s="1">
        <v>1</v>
      </c>
      <c r="ES49" s="2" t="s">
        <v>621</v>
      </c>
      <c r="ET49" s="2"/>
      <c r="EU49" s="2"/>
      <c r="EV49" s="2"/>
      <c r="EW49" s="2"/>
      <c r="EX49" s="2"/>
      <c r="EY49" s="2"/>
      <c r="EZ49" s="2"/>
      <c r="FA49" s="1">
        <v>1</v>
      </c>
      <c r="FB49" s="2" t="s">
        <v>622</v>
      </c>
      <c r="FC49" s="2"/>
      <c r="FD49" s="2"/>
      <c r="FE49" s="2" t="s">
        <v>350</v>
      </c>
      <c r="FF49" s="2" t="s">
        <v>351</v>
      </c>
      <c r="FG49" s="2"/>
      <c r="FH49" s="2"/>
      <c r="FI49" s="1">
        <v>-1</v>
      </c>
      <c r="FJ49" s="1">
        <v>-1</v>
      </c>
      <c r="FK49" s="1">
        <v>-1</v>
      </c>
      <c r="FL49" s="1">
        <v>-1</v>
      </c>
      <c r="FM49" s="1">
        <v>-1</v>
      </c>
      <c r="FN49" s="1">
        <v>-1</v>
      </c>
      <c r="FO49" s="1">
        <v>-1</v>
      </c>
      <c r="FP49" s="1">
        <v>-1</v>
      </c>
      <c r="FQ49" s="1">
        <v>-1</v>
      </c>
      <c r="FR49" s="1">
        <v>-1</v>
      </c>
      <c r="FS49" s="1">
        <v>-1</v>
      </c>
      <c r="FT49" s="1">
        <v>-1</v>
      </c>
      <c r="FU49" s="1">
        <v>-1</v>
      </c>
      <c r="FV49" s="1">
        <v>-1</v>
      </c>
      <c r="FW49" s="1">
        <v>-1</v>
      </c>
      <c r="FX49" s="1">
        <v>-15</v>
      </c>
      <c r="FY49" s="3"/>
      <c r="FZ49" s="3"/>
      <c r="GA49" s="2"/>
      <c r="GB49" s="2" t="s">
        <v>320</v>
      </c>
      <c r="GC49" s="2" t="s">
        <v>277</v>
      </c>
      <c r="GD49" s="1">
        <v>15</v>
      </c>
      <c r="GE49" s="1">
        <v>15</v>
      </c>
      <c r="GF49" s="1">
        <v>72</v>
      </c>
      <c r="GG49" s="1">
        <v>59</v>
      </c>
      <c r="GH49" s="4"/>
    </row>
    <row r="50" spans="1:190" x14ac:dyDescent="0.25">
      <c r="A50" s="1">
        <v>208</v>
      </c>
      <c r="B50" s="2" t="s">
        <v>278</v>
      </c>
      <c r="C50" s="2" t="s">
        <v>279</v>
      </c>
      <c r="D50" s="2" t="s">
        <v>320</v>
      </c>
      <c r="E50" s="2" t="s">
        <v>282</v>
      </c>
      <c r="F50" s="2" t="s">
        <v>281</v>
      </c>
      <c r="G50" s="2" t="s">
        <v>282</v>
      </c>
      <c r="H50" s="2" t="s">
        <v>282</v>
      </c>
      <c r="I50" s="2" t="s">
        <v>282</v>
      </c>
      <c r="J50" s="2" t="s">
        <v>282</v>
      </c>
      <c r="K50" s="2" t="s">
        <v>282</v>
      </c>
      <c r="L50" s="2" t="s">
        <v>282</v>
      </c>
      <c r="M50" s="2" t="s">
        <v>282</v>
      </c>
      <c r="N50" s="1">
        <v>1</v>
      </c>
      <c r="O50" s="2" t="s">
        <v>623</v>
      </c>
      <c r="P50" s="2"/>
      <c r="Q50" s="2" t="s">
        <v>355</v>
      </c>
      <c r="R50" s="2"/>
      <c r="S50" s="2"/>
      <c r="T50" s="11" t="s">
        <v>322</v>
      </c>
      <c r="U50" s="2"/>
      <c r="V50" s="1">
        <v>1</v>
      </c>
      <c r="W50" s="2" t="s">
        <v>466</v>
      </c>
      <c r="X50" s="2"/>
      <c r="Y50" s="2" t="s">
        <v>294</v>
      </c>
      <c r="Z50" s="2" t="s">
        <v>302</v>
      </c>
      <c r="AA50" s="1">
        <v>0</v>
      </c>
      <c r="AB50" s="2"/>
      <c r="AC50" s="2"/>
      <c r="AD50" s="2" t="s">
        <v>305</v>
      </c>
      <c r="AE50" s="2"/>
      <c r="AF50" s="1">
        <v>0</v>
      </c>
      <c r="AG50" s="2"/>
      <c r="AH50" s="2"/>
      <c r="AI50" s="1">
        <v>1</v>
      </c>
      <c r="AJ50" s="2" t="s">
        <v>624</v>
      </c>
      <c r="AK50" s="2"/>
      <c r="AL50" s="2" t="s">
        <v>299</v>
      </c>
      <c r="AM50" s="1">
        <v>0</v>
      </c>
      <c r="AN50" s="2"/>
      <c r="AO50" s="2"/>
      <c r="AP50" s="2"/>
      <c r="AQ50" s="2"/>
      <c r="AR50" s="1">
        <v>0</v>
      </c>
      <c r="AS50" s="2"/>
      <c r="AT50" s="2"/>
      <c r="AU50" s="2"/>
      <c r="AV50" s="2"/>
      <c r="AW50" s="1">
        <v>0</v>
      </c>
      <c r="AX50" s="2"/>
      <c r="AY50" s="2"/>
      <c r="AZ50" s="1">
        <v>0</v>
      </c>
      <c r="BA50" s="2"/>
      <c r="BB50" s="2"/>
      <c r="BC50" s="2" t="s">
        <v>294</v>
      </c>
      <c r="BD50" s="2"/>
      <c r="BE50" s="1">
        <v>0</v>
      </c>
      <c r="BF50" s="2"/>
      <c r="BG50" s="2"/>
      <c r="BH50" s="2"/>
      <c r="BI50" s="2"/>
      <c r="BJ50" s="1">
        <v>0</v>
      </c>
      <c r="BK50" s="2"/>
      <c r="BL50" s="2"/>
      <c r="BM50" s="1">
        <v>0</v>
      </c>
      <c r="BN50" s="2"/>
      <c r="BO50" s="2"/>
      <c r="BP50" s="1">
        <v>1</v>
      </c>
      <c r="BQ50" s="2" t="s">
        <v>385</v>
      </c>
      <c r="BR50" s="2" t="s">
        <v>301</v>
      </c>
      <c r="BS50" s="2" t="s">
        <v>297</v>
      </c>
      <c r="BT50" s="1">
        <v>0</v>
      </c>
      <c r="BU50" s="2"/>
      <c r="BV50" s="2"/>
      <c r="BW50" s="2" t="s">
        <v>288</v>
      </c>
      <c r="BX50" s="2" t="s">
        <v>339</v>
      </c>
      <c r="BY50" s="1">
        <v>0</v>
      </c>
      <c r="BZ50" s="2"/>
      <c r="CA50" s="2"/>
      <c r="CB50" s="1">
        <v>0</v>
      </c>
      <c r="CC50" s="2"/>
      <c r="CD50" s="2" t="s">
        <v>299</v>
      </c>
      <c r="CE50" s="1">
        <v>0</v>
      </c>
      <c r="CF50" s="2"/>
      <c r="CG50" s="2"/>
      <c r="CH50" s="2"/>
      <c r="CI50" s="2"/>
      <c r="CJ50" s="1">
        <v>0</v>
      </c>
      <c r="CK50" s="2"/>
      <c r="CL50" s="2"/>
      <c r="CM50" s="2"/>
      <c r="CN50" s="2"/>
      <c r="CO50" s="1">
        <v>0</v>
      </c>
      <c r="CP50" s="2"/>
      <c r="CQ50" s="2"/>
      <c r="CR50" s="1">
        <v>0</v>
      </c>
      <c r="CS50" s="2"/>
      <c r="CT50" s="2"/>
      <c r="CU50" s="1">
        <v>1</v>
      </c>
      <c r="CV50" s="2" t="s">
        <v>625</v>
      </c>
      <c r="CW50" s="2"/>
      <c r="CX50" s="2" t="s">
        <v>294</v>
      </c>
      <c r="CY50" s="2" t="s">
        <v>302</v>
      </c>
      <c r="CZ50" s="1">
        <v>0</v>
      </c>
      <c r="DA50" s="2"/>
      <c r="DB50" s="2"/>
      <c r="DC50" s="2" t="s">
        <v>288</v>
      </c>
      <c r="DD50" s="2" t="s">
        <v>302</v>
      </c>
      <c r="DE50" s="1">
        <v>0</v>
      </c>
      <c r="DF50" s="2"/>
      <c r="DG50" s="2"/>
      <c r="DH50" s="1">
        <v>1</v>
      </c>
      <c r="DI50" s="2" t="s">
        <v>626</v>
      </c>
      <c r="DJ50" s="2" t="s">
        <v>299</v>
      </c>
      <c r="DK50" s="1">
        <v>0</v>
      </c>
      <c r="DL50" s="2"/>
      <c r="DM50" s="2"/>
      <c r="DN50" s="2"/>
      <c r="DO50" s="2"/>
      <c r="DP50" s="1">
        <v>0</v>
      </c>
      <c r="DQ50" s="2"/>
      <c r="DR50" s="2"/>
      <c r="DS50" s="2"/>
      <c r="DT50" s="2"/>
      <c r="DU50" s="1">
        <v>0</v>
      </c>
      <c r="DV50" s="2"/>
      <c r="DW50" s="2"/>
      <c r="DX50" s="2"/>
      <c r="DY50" s="1">
        <v>0</v>
      </c>
      <c r="DZ50" s="2"/>
      <c r="EA50" s="2"/>
      <c r="EB50" s="2"/>
      <c r="EC50" s="1">
        <v>0</v>
      </c>
      <c r="ED50" s="2"/>
      <c r="EE50" s="2"/>
      <c r="EF50" s="2"/>
      <c r="EG50" s="2"/>
      <c r="EH50" s="1">
        <v>0</v>
      </c>
      <c r="EI50" s="2"/>
      <c r="EJ50" s="2"/>
      <c r="EK50" s="2"/>
      <c r="EL50" s="1">
        <v>0</v>
      </c>
      <c r="EM50" s="2"/>
      <c r="EN50" s="1">
        <v>0</v>
      </c>
      <c r="EO50" s="2"/>
      <c r="EP50" s="2"/>
      <c r="EQ50" s="2"/>
      <c r="ER50" s="1">
        <v>1</v>
      </c>
      <c r="ES50" s="2" t="s">
        <v>621</v>
      </c>
      <c r="ET50" s="2"/>
      <c r="EU50" s="2"/>
      <c r="EV50" s="2"/>
      <c r="EW50" s="2"/>
      <c r="EX50" s="2"/>
      <c r="EY50" s="2"/>
      <c r="EZ50" s="2"/>
      <c r="FA50" s="1">
        <v>1</v>
      </c>
      <c r="FB50" s="2" t="s">
        <v>627</v>
      </c>
      <c r="FC50" s="2"/>
      <c r="FD50" s="2"/>
      <c r="FE50" s="2" t="s">
        <v>425</v>
      </c>
      <c r="FF50" s="2" t="s">
        <v>351</v>
      </c>
      <c r="FG50" s="2"/>
      <c r="FH50" s="2"/>
      <c r="FI50" s="1">
        <v>-1</v>
      </c>
      <c r="FJ50" s="1">
        <v>-1</v>
      </c>
      <c r="FK50" s="1">
        <v>-1</v>
      </c>
      <c r="FL50" s="1">
        <v>-1</v>
      </c>
      <c r="FM50" s="1">
        <v>-1</v>
      </c>
      <c r="FN50" s="1">
        <v>-1</v>
      </c>
      <c r="FO50" s="1">
        <v>-1</v>
      </c>
      <c r="FP50" s="1">
        <v>-1</v>
      </c>
      <c r="FQ50" s="1">
        <v>-1</v>
      </c>
      <c r="FR50" s="1">
        <v>-1</v>
      </c>
      <c r="FS50" s="1">
        <v>-1</v>
      </c>
      <c r="FT50" s="1">
        <v>-1</v>
      </c>
      <c r="FU50" s="1">
        <v>-1</v>
      </c>
      <c r="FV50" s="1">
        <v>-1</v>
      </c>
      <c r="FW50" s="1">
        <v>-1</v>
      </c>
      <c r="FX50" s="1">
        <v>-15</v>
      </c>
      <c r="FY50" s="3"/>
      <c r="FZ50" s="3"/>
      <c r="GA50" s="2"/>
      <c r="GB50" s="2" t="s">
        <v>320</v>
      </c>
      <c r="GC50" s="2" t="s">
        <v>277</v>
      </c>
      <c r="GD50" s="1">
        <v>15</v>
      </c>
      <c r="GE50" s="1">
        <v>15</v>
      </c>
      <c r="GF50" s="1">
        <v>68</v>
      </c>
      <c r="GG50" s="1">
        <v>56</v>
      </c>
      <c r="GH50" s="4"/>
    </row>
    <row r="51" spans="1:190" x14ac:dyDescent="0.25">
      <c r="A51" s="1">
        <v>209</v>
      </c>
      <c r="B51" s="2" t="s">
        <v>347</v>
      </c>
      <c r="C51" s="2" t="s">
        <v>353</v>
      </c>
      <c r="D51" s="2" t="s">
        <v>377</v>
      </c>
      <c r="E51" s="2" t="s">
        <v>281</v>
      </c>
      <c r="F51" s="2" t="s">
        <v>282</v>
      </c>
      <c r="G51" s="2" t="s">
        <v>281</v>
      </c>
      <c r="H51" s="2" t="s">
        <v>282</v>
      </c>
      <c r="I51" s="2" t="s">
        <v>282</v>
      </c>
      <c r="J51" s="2" t="s">
        <v>281</v>
      </c>
      <c r="K51" s="2" t="s">
        <v>282</v>
      </c>
      <c r="L51" s="2" t="s">
        <v>282</v>
      </c>
      <c r="M51" s="2" t="s">
        <v>282</v>
      </c>
      <c r="N51" s="1">
        <v>0</v>
      </c>
      <c r="O51" s="2"/>
      <c r="P51" s="2"/>
      <c r="Q51" s="2" t="s">
        <v>423</v>
      </c>
      <c r="R51" s="2"/>
      <c r="S51" s="2"/>
      <c r="T51" s="2"/>
      <c r="U51" s="12" t="s">
        <v>464</v>
      </c>
      <c r="V51" s="1">
        <v>1</v>
      </c>
      <c r="W51" s="2" t="s">
        <v>585</v>
      </c>
      <c r="X51" s="2"/>
      <c r="Y51" s="2" t="s">
        <v>301</v>
      </c>
      <c r="Z51" s="2" t="s">
        <v>297</v>
      </c>
      <c r="AA51" s="1">
        <v>0</v>
      </c>
      <c r="AB51" s="2"/>
      <c r="AC51" s="2"/>
      <c r="AD51" s="2" t="s">
        <v>305</v>
      </c>
      <c r="AE51" s="2" t="s">
        <v>297</v>
      </c>
      <c r="AF51" s="1">
        <v>0</v>
      </c>
      <c r="AG51" s="2"/>
      <c r="AH51" s="2"/>
      <c r="AI51" s="1">
        <v>1</v>
      </c>
      <c r="AJ51" s="2" t="s">
        <v>628</v>
      </c>
      <c r="AK51" s="2"/>
      <c r="AL51" s="2" t="s">
        <v>299</v>
      </c>
      <c r="AM51" s="1">
        <v>1</v>
      </c>
      <c r="AN51" s="2" t="s">
        <v>405</v>
      </c>
      <c r="AO51" s="2"/>
      <c r="AP51" s="2" t="s">
        <v>303</v>
      </c>
      <c r="AQ51" s="2" t="s">
        <v>287</v>
      </c>
      <c r="AR51" s="1">
        <v>0</v>
      </c>
      <c r="AS51" s="2"/>
      <c r="AT51" s="2"/>
      <c r="AU51" s="2" t="s">
        <v>288</v>
      </c>
      <c r="AV51" s="2" t="s">
        <v>287</v>
      </c>
      <c r="AW51" s="1">
        <v>0</v>
      </c>
      <c r="AX51" s="2"/>
      <c r="AY51" s="2"/>
      <c r="AZ51" s="1">
        <v>0</v>
      </c>
      <c r="BA51" s="2"/>
      <c r="BB51" s="2" t="s">
        <v>328</v>
      </c>
      <c r="BC51" s="2" t="s">
        <v>294</v>
      </c>
      <c r="BD51" s="2" t="s">
        <v>297</v>
      </c>
      <c r="BE51" s="1">
        <v>0</v>
      </c>
      <c r="BF51" s="2"/>
      <c r="BG51" s="2"/>
      <c r="BH51" s="2" t="s">
        <v>288</v>
      </c>
      <c r="BI51" s="2" t="s">
        <v>297</v>
      </c>
      <c r="BJ51" s="1">
        <v>0</v>
      </c>
      <c r="BK51" s="2"/>
      <c r="BL51" s="2"/>
      <c r="BM51" s="1">
        <v>0</v>
      </c>
      <c r="BN51" s="2"/>
      <c r="BO51" s="2" t="s">
        <v>328</v>
      </c>
      <c r="BP51" s="1">
        <v>1</v>
      </c>
      <c r="BQ51" s="2" t="s">
        <v>629</v>
      </c>
      <c r="BR51" s="2" t="s">
        <v>294</v>
      </c>
      <c r="BS51" s="2" t="s">
        <v>297</v>
      </c>
      <c r="BT51" s="1">
        <v>0</v>
      </c>
      <c r="BU51" s="2"/>
      <c r="BV51" s="2"/>
      <c r="BW51" s="2" t="s">
        <v>298</v>
      </c>
      <c r="BX51" s="2" t="s">
        <v>297</v>
      </c>
      <c r="BY51" s="1">
        <v>0</v>
      </c>
      <c r="BZ51" s="2"/>
      <c r="CA51" s="2"/>
      <c r="CB51" s="1">
        <v>0</v>
      </c>
      <c r="CC51" s="2"/>
      <c r="CD51" s="2" t="s">
        <v>328</v>
      </c>
      <c r="CE51" s="1">
        <v>1</v>
      </c>
      <c r="CF51" s="2" t="s">
        <v>630</v>
      </c>
      <c r="CG51" s="2"/>
      <c r="CH51" s="2" t="s">
        <v>294</v>
      </c>
      <c r="CI51" s="2" t="s">
        <v>297</v>
      </c>
      <c r="CJ51" s="1">
        <v>0</v>
      </c>
      <c r="CK51" s="2"/>
      <c r="CL51" s="2"/>
      <c r="CM51" s="2" t="s">
        <v>305</v>
      </c>
      <c r="CN51" s="2" t="s">
        <v>297</v>
      </c>
      <c r="CO51" s="1">
        <v>0</v>
      </c>
      <c r="CP51" s="2"/>
      <c r="CQ51" s="2"/>
      <c r="CR51" s="1">
        <v>0</v>
      </c>
      <c r="CS51" s="2"/>
      <c r="CT51" s="2" t="s">
        <v>328</v>
      </c>
      <c r="CU51" s="1">
        <v>1</v>
      </c>
      <c r="CV51" s="2" t="s">
        <v>631</v>
      </c>
      <c r="CW51" s="2"/>
      <c r="CX51" s="2" t="s">
        <v>294</v>
      </c>
      <c r="CY51" s="2" t="s">
        <v>302</v>
      </c>
      <c r="CZ51" s="1">
        <v>0</v>
      </c>
      <c r="DA51" s="2"/>
      <c r="DB51" s="2"/>
      <c r="DC51" s="2" t="s">
        <v>298</v>
      </c>
      <c r="DD51" s="2" t="s">
        <v>302</v>
      </c>
      <c r="DE51" s="1">
        <v>0</v>
      </c>
      <c r="DF51" s="2"/>
      <c r="DG51" s="2"/>
      <c r="DH51" s="1">
        <v>0</v>
      </c>
      <c r="DI51" s="2"/>
      <c r="DJ51" s="2" t="s">
        <v>328</v>
      </c>
      <c r="DK51" s="1">
        <v>1</v>
      </c>
      <c r="DL51" s="2" t="s">
        <v>632</v>
      </c>
      <c r="DM51" s="2"/>
      <c r="DN51" s="2" t="s">
        <v>303</v>
      </c>
      <c r="DO51" s="2" t="s">
        <v>331</v>
      </c>
      <c r="DP51" s="1">
        <v>0</v>
      </c>
      <c r="DQ51" s="2"/>
      <c r="DR51" s="2"/>
      <c r="DS51" s="2" t="s">
        <v>298</v>
      </c>
      <c r="DT51" s="2" t="s">
        <v>331</v>
      </c>
      <c r="DU51" s="1">
        <v>0</v>
      </c>
      <c r="DV51" s="2"/>
      <c r="DW51" s="2"/>
      <c r="DX51" s="2" t="s">
        <v>633</v>
      </c>
      <c r="DY51" s="1">
        <v>1</v>
      </c>
      <c r="DZ51" s="2" t="s">
        <v>374</v>
      </c>
      <c r="EA51" s="2" t="s">
        <v>294</v>
      </c>
      <c r="EB51" s="2" t="s">
        <v>297</v>
      </c>
      <c r="EC51" s="1">
        <v>0</v>
      </c>
      <c r="ED51" s="2"/>
      <c r="EE51" s="2"/>
      <c r="EF51" s="2" t="s">
        <v>298</v>
      </c>
      <c r="EG51" s="2" t="s">
        <v>297</v>
      </c>
      <c r="EH51" s="1">
        <v>0</v>
      </c>
      <c r="EI51" s="2"/>
      <c r="EJ51" s="2"/>
      <c r="EK51" s="2" t="s">
        <v>460</v>
      </c>
      <c r="EL51" s="1">
        <v>0</v>
      </c>
      <c r="EM51" s="2"/>
      <c r="EN51" s="1">
        <v>0</v>
      </c>
      <c r="EO51" s="2"/>
      <c r="EP51" s="2" t="s">
        <v>299</v>
      </c>
      <c r="EQ51" s="2"/>
      <c r="ER51" s="1">
        <v>1</v>
      </c>
      <c r="ES51" s="2" t="s">
        <v>404</v>
      </c>
      <c r="ET51" s="2"/>
      <c r="EU51" s="2"/>
      <c r="EV51" s="2"/>
      <c r="EW51" s="2"/>
      <c r="EX51" s="2"/>
      <c r="EY51" s="2"/>
      <c r="EZ51" s="2"/>
      <c r="FA51" s="1">
        <v>0</v>
      </c>
      <c r="FB51" s="2"/>
      <c r="FC51" s="2"/>
      <c r="FD51" s="2"/>
      <c r="FE51" s="2" t="s">
        <v>350</v>
      </c>
      <c r="FF51" s="2" t="s">
        <v>335</v>
      </c>
      <c r="FG51" s="2" t="s">
        <v>634</v>
      </c>
      <c r="FH51" s="2"/>
      <c r="FI51" s="1">
        <v>-1</v>
      </c>
      <c r="FJ51" s="1">
        <v>-1</v>
      </c>
      <c r="FK51" s="1">
        <v>-1</v>
      </c>
      <c r="FL51" s="1">
        <v>-1</v>
      </c>
      <c r="FM51" s="1">
        <v>-1</v>
      </c>
      <c r="FN51" s="1">
        <v>-1</v>
      </c>
      <c r="FO51" s="1">
        <v>-1</v>
      </c>
      <c r="FP51" s="1">
        <v>-1</v>
      </c>
      <c r="FQ51" s="1">
        <v>-1</v>
      </c>
      <c r="FR51" s="1">
        <v>-1</v>
      </c>
      <c r="FS51" s="1">
        <v>-1</v>
      </c>
      <c r="FT51" s="1">
        <v>-1</v>
      </c>
      <c r="FU51" s="1">
        <v>-1</v>
      </c>
      <c r="FV51" s="1">
        <v>-1</v>
      </c>
      <c r="FW51" s="1">
        <v>-1</v>
      </c>
      <c r="FX51" s="1">
        <v>-15</v>
      </c>
      <c r="FY51" s="3"/>
      <c r="FZ51" s="3"/>
      <c r="GA51" s="2" t="s">
        <v>319</v>
      </c>
      <c r="GB51" s="2" t="s">
        <v>320</v>
      </c>
      <c r="GC51" s="2" t="s">
        <v>277</v>
      </c>
      <c r="GD51" s="1">
        <v>15</v>
      </c>
      <c r="GE51" s="1">
        <v>15</v>
      </c>
      <c r="GF51" s="1">
        <v>35</v>
      </c>
      <c r="GG51" s="1">
        <v>9</v>
      </c>
      <c r="GH51" s="4"/>
    </row>
    <row r="52" spans="1:190" x14ac:dyDescent="0.25">
      <c r="A52" s="1">
        <v>211</v>
      </c>
      <c r="B52" s="2" t="s">
        <v>347</v>
      </c>
      <c r="C52" s="2" t="s">
        <v>353</v>
      </c>
      <c r="D52" s="2" t="s">
        <v>377</v>
      </c>
      <c r="E52" s="2" t="s">
        <v>281</v>
      </c>
      <c r="F52" s="2" t="s">
        <v>282</v>
      </c>
      <c r="G52" s="2" t="s">
        <v>281</v>
      </c>
      <c r="H52" s="2" t="s">
        <v>282</v>
      </c>
      <c r="I52" s="2" t="s">
        <v>282</v>
      </c>
      <c r="J52" s="2" t="s">
        <v>281</v>
      </c>
      <c r="K52" s="2" t="s">
        <v>282</v>
      </c>
      <c r="L52" s="2" t="s">
        <v>282</v>
      </c>
      <c r="M52" s="2" t="s">
        <v>282</v>
      </c>
      <c r="N52" s="1">
        <v>0</v>
      </c>
      <c r="O52" s="2"/>
      <c r="P52" s="2"/>
      <c r="Q52" s="2" t="s">
        <v>355</v>
      </c>
      <c r="R52" s="2"/>
      <c r="S52" s="2"/>
      <c r="T52" s="11" t="s">
        <v>284</v>
      </c>
      <c r="U52" s="2"/>
      <c r="V52" s="1">
        <v>1</v>
      </c>
      <c r="W52" s="2" t="s">
        <v>635</v>
      </c>
      <c r="X52" s="2"/>
      <c r="Y52" s="2" t="s">
        <v>303</v>
      </c>
      <c r="Z52" s="2" t="s">
        <v>331</v>
      </c>
      <c r="AA52" s="1">
        <v>0</v>
      </c>
      <c r="AB52" s="2"/>
      <c r="AC52" s="2"/>
      <c r="AD52" s="2" t="s">
        <v>305</v>
      </c>
      <c r="AE52" s="2" t="s">
        <v>500</v>
      </c>
      <c r="AF52" s="1">
        <v>0</v>
      </c>
      <c r="AG52" s="2"/>
      <c r="AH52" s="2"/>
      <c r="AI52" s="1">
        <v>0</v>
      </c>
      <c r="AJ52" s="2"/>
      <c r="AK52" s="2"/>
      <c r="AL52" s="2" t="s">
        <v>299</v>
      </c>
      <c r="AM52" s="1">
        <v>1</v>
      </c>
      <c r="AN52" s="2" t="s">
        <v>636</v>
      </c>
      <c r="AO52" s="2"/>
      <c r="AP52" s="2" t="s">
        <v>294</v>
      </c>
      <c r="AQ52" s="2" t="s">
        <v>287</v>
      </c>
      <c r="AR52" s="1">
        <v>1</v>
      </c>
      <c r="AS52" s="2" t="s">
        <v>339</v>
      </c>
      <c r="AT52" s="2"/>
      <c r="AU52" s="2" t="s">
        <v>288</v>
      </c>
      <c r="AV52" s="2" t="s">
        <v>287</v>
      </c>
      <c r="AW52" s="1">
        <v>1</v>
      </c>
      <c r="AX52" s="2" t="s">
        <v>339</v>
      </c>
      <c r="AY52" s="2"/>
      <c r="AZ52" s="1">
        <v>0</v>
      </c>
      <c r="BA52" s="2"/>
      <c r="BB52" s="2" t="s">
        <v>299</v>
      </c>
      <c r="BC52" s="2" t="s">
        <v>303</v>
      </c>
      <c r="BD52" s="2" t="s">
        <v>331</v>
      </c>
      <c r="BE52" s="1">
        <v>0</v>
      </c>
      <c r="BF52" s="2"/>
      <c r="BG52" s="2"/>
      <c r="BH52" s="2" t="s">
        <v>298</v>
      </c>
      <c r="BI52" s="2" t="s">
        <v>297</v>
      </c>
      <c r="BJ52" s="1">
        <v>0</v>
      </c>
      <c r="BK52" s="2"/>
      <c r="BL52" s="2"/>
      <c r="BM52" s="1">
        <v>0</v>
      </c>
      <c r="BN52" s="2"/>
      <c r="BO52" s="2" t="s">
        <v>292</v>
      </c>
      <c r="BP52" s="1">
        <v>1</v>
      </c>
      <c r="BQ52" s="2" t="s">
        <v>637</v>
      </c>
      <c r="BR52" s="2" t="s">
        <v>303</v>
      </c>
      <c r="BS52" s="2" t="s">
        <v>297</v>
      </c>
      <c r="BT52" s="1">
        <v>0</v>
      </c>
      <c r="BU52" s="2"/>
      <c r="BV52" s="2"/>
      <c r="BW52" s="2" t="s">
        <v>288</v>
      </c>
      <c r="BX52" s="2" t="s">
        <v>297</v>
      </c>
      <c r="BY52" s="1">
        <v>0</v>
      </c>
      <c r="BZ52" s="2"/>
      <c r="CA52" s="2"/>
      <c r="CB52" s="1">
        <v>0</v>
      </c>
      <c r="CC52" s="2"/>
      <c r="CD52" s="2" t="s">
        <v>366</v>
      </c>
      <c r="CE52" s="1">
        <v>1</v>
      </c>
      <c r="CF52" s="2" t="s">
        <v>397</v>
      </c>
      <c r="CG52" s="2"/>
      <c r="CH52" s="2" t="s">
        <v>303</v>
      </c>
      <c r="CI52" s="2" t="s">
        <v>500</v>
      </c>
      <c r="CJ52" s="1">
        <v>1</v>
      </c>
      <c r="CK52" s="2" t="s">
        <v>297</v>
      </c>
      <c r="CL52" s="2"/>
      <c r="CM52" s="2" t="s">
        <v>298</v>
      </c>
      <c r="CN52" s="2" t="s">
        <v>500</v>
      </c>
      <c r="CO52" s="1">
        <v>0</v>
      </c>
      <c r="CP52" s="2"/>
      <c r="CQ52" s="2"/>
      <c r="CR52" s="1">
        <v>0</v>
      </c>
      <c r="CS52" s="2"/>
      <c r="CT52" s="2" t="s">
        <v>296</v>
      </c>
      <c r="CU52" s="1">
        <v>1</v>
      </c>
      <c r="CV52" s="2" t="s">
        <v>372</v>
      </c>
      <c r="CW52" s="2"/>
      <c r="CX52" s="2" t="s">
        <v>303</v>
      </c>
      <c r="CY52" s="2" t="s">
        <v>297</v>
      </c>
      <c r="CZ52" s="1">
        <v>1</v>
      </c>
      <c r="DA52" s="2" t="s">
        <v>638</v>
      </c>
      <c r="DB52" s="2"/>
      <c r="DC52" s="2" t="s">
        <v>305</v>
      </c>
      <c r="DD52" s="2" t="s">
        <v>500</v>
      </c>
      <c r="DE52" s="1">
        <v>0</v>
      </c>
      <c r="DF52" s="2"/>
      <c r="DG52" s="2"/>
      <c r="DH52" s="1">
        <v>0</v>
      </c>
      <c r="DI52" s="2"/>
      <c r="DJ52" s="2" t="s">
        <v>299</v>
      </c>
      <c r="DK52" s="1">
        <v>1</v>
      </c>
      <c r="DL52" s="2" t="s">
        <v>308</v>
      </c>
      <c r="DM52" s="2"/>
      <c r="DN52" s="2" t="s">
        <v>303</v>
      </c>
      <c r="DO52" s="2" t="s">
        <v>331</v>
      </c>
      <c r="DP52" s="1">
        <v>0</v>
      </c>
      <c r="DQ52" s="2"/>
      <c r="DR52" s="2"/>
      <c r="DS52" s="2" t="s">
        <v>298</v>
      </c>
      <c r="DT52" s="2" t="s">
        <v>331</v>
      </c>
      <c r="DU52" s="1">
        <v>0</v>
      </c>
      <c r="DV52" s="2"/>
      <c r="DW52" s="2"/>
      <c r="DX52" s="2"/>
      <c r="DY52" s="1">
        <v>1</v>
      </c>
      <c r="DZ52" s="2" t="s">
        <v>513</v>
      </c>
      <c r="EA52" s="2" t="s">
        <v>303</v>
      </c>
      <c r="EB52" s="2" t="s">
        <v>331</v>
      </c>
      <c r="EC52" s="1">
        <v>0</v>
      </c>
      <c r="ED52" s="2"/>
      <c r="EE52" s="2"/>
      <c r="EF52" s="2" t="s">
        <v>298</v>
      </c>
      <c r="EG52" s="2" t="s">
        <v>297</v>
      </c>
      <c r="EH52" s="1">
        <v>0</v>
      </c>
      <c r="EI52" s="2"/>
      <c r="EJ52" s="2"/>
      <c r="EK52" s="2"/>
      <c r="EL52" s="1">
        <v>0</v>
      </c>
      <c r="EM52" s="2"/>
      <c r="EN52" s="1">
        <v>0</v>
      </c>
      <c r="EO52" s="2"/>
      <c r="EP52" s="2" t="s">
        <v>296</v>
      </c>
      <c r="EQ52" s="2" t="s">
        <v>296</v>
      </c>
      <c r="ER52" s="1">
        <v>0</v>
      </c>
      <c r="ES52" s="2"/>
      <c r="ET52" s="2"/>
      <c r="EU52" s="2"/>
      <c r="EV52" s="2"/>
      <c r="EW52" s="2"/>
      <c r="EX52" s="2"/>
      <c r="EY52" s="2"/>
      <c r="EZ52" s="2"/>
      <c r="FA52" s="1">
        <v>0</v>
      </c>
      <c r="FB52" s="2"/>
      <c r="FC52" s="2"/>
      <c r="FD52" s="2"/>
      <c r="FE52" s="2" t="s">
        <v>350</v>
      </c>
      <c r="FF52" s="2" t="s">
        <v>317</v>
      </c>
      <c r="FG52" s="2" t="s">
        <v>639</v>
      </c>
      <c r="FH52" s="2"/>
      <c r="FI52" s="1">
        <v>-1</v>
      </c>
      <c r="FJ52" s="1">
        <v>-1</v>
      </c>
      <c r="FK52" s="1">
        <v>-1</v>
      </c>
      <c r="FL52" s="1">
        <v>-1</v>
      </c>
      <c r="FM52" s="1">
        <v>-1</v>
      </c>
      <c r="FN52" s="1">
        <v>-1</v>
      </c>
      <c r="FO52" s="1">
        <v>-1</v>
      </c>
      <c r="FP52" s="1">
        <v>-1</v>
      </c>
      <c r="FQ52" s="1">
        <v>-1</v>
      </c>
      <c r="FR52" s="1">
        <v>-1</v>
      </c>
      <c r="FS52" s="1">
        <v>-1</v>
      </c>
      <c r="FT52" s="1">
        <v>-1</v>
      </c>
      <c r="FU52" s="1">
        <v>-1</v>
      </c>
      <c r="FV52" s="1">
        <v>-1</v>
      </c>
      <c r="FW52" s="1">
        <v>-1</v>
      </c>
      <c r="FX52" s="1">
        <v>-15</v>
      </c>
      <c r="FY52" s="3"/>
      <c r="FZ52" s="3"/>
      <c r="GA52" s="2" t="s">
        <v>319</v>
      </c>
      <c r="GB52" s="2" t="s">
        <v>320</v>
      </c>
      <c r="GC52" s="2" t="s">
        <v>277</v>
      </c>
      <c r="GD52" s="1">
        <v>15</v>
      </c>
      <c r="GE52" s="1">
        <v>15</v>
      </c>
      <c r="GF52" s="1">
        <v>34</v>
      </c>
      <c r="GG52" s="1">
        <v>9</v>
      </c>
      <c r="GH52" s="4"/>
    </row>
    <row r="53" spans="1:190" x14ac:dyDescent="0.25">
      <c r="A53" s="1">
        <v>213</v>
      </c>
      <c r="B53" s="2" t="s">
        <v>321</v>
      </c>
      <c r="C53" s="2" t="s">
        <v>353</v>
      </c>
      <c r="D53" s="2" t="s">
        <v>320</v>
      </c>
      <c r="E53" s="2" t="s">
        <v>282</v>
      </c>
      <c r="F53" s="2" t="s">
        <v>282</v>
      </c>
      <c r="G53" s="2" t="s">
        <v>282</v>
      </c>
      <c r="H53" s="2" t="s">
        <v>282</v>
      </c>
      <c r="I53" s="2" t="s">
        <v>282</v>
      </c>
      <c r="J53" s="2" t="s">
        <v>281</v>
      </c>
      <c r="K53" s="2" t="s">
        <v>282</v>
      </c>
      <c r="L53" s="2" t="s">
        <v>282</v>
      </c>
      <c r="M53" s="2" t="s">
        <v>282</v>
      </c>
      <c r="N53" s="1">
        <v>0</v>
      </c>
      <c r="O53" s="2"/>
      <c r="P53" s="2"/>
      <c r="Q53" s="2" t="s">
        <v>423</v>
      </c>
      <c r="R53" s="2"/>
      <c r="S53" s="2"/>
      <c r="T53" s="2"/>
      <c r="U53" s="12" t="s">
        <v>464</v>
      </c>
      <c r="V53" s="1">
        <v>1</v>
      </c>
      <c r="W53" s="2" t="s">
        <v>640</v>
      </c>
      <c r="X53" s="2"/>
      <c r="Y53" s="2" t="s">
        <v>301</v>
      </c>
      <c r="Z53" s="2" t="s">
        <v>297</v>
      </c>
      <c r="AA53" s="1">
        <v>0</v>
      </c>
      <c r="AB53" s="2"/>
      <c r="AC53" s="2"/>
      <c r="AD53" s="2" t="s">
        <v>305</v>
      </c>
      <c r="AE53" s="2" t="s">
        <v>287</v>
      </c>
      <c r="AF53" s="1">
        <v>0</v>
      </c>
      <c r="AG53" s="2"/>
      <c r="AH53" s="2"/>
      <c r="AI53" s="1">
        <v>0</v>
      </c>
      <c r="AJ53" s="2"/>
      <c r="AK53" s="2"/>
      <c r="AL53" s="2" t="s">
        <v>366</v>
      </c>
      <c r="AM53" s="1">
        <v>1</v>
      </c>
      <c r="AN53" s="2" t="s">
        <v>641</v>
      </c>
      <c r="AO53" s="2"/>
      <c r="AP53" s="2" t="s">
        <v>301</v>
      </c>
      <c r="AQ53" s="2" t="s">
        <v>287</v>
      </c>
      <c r="AR53" s="1">
        <v>0</v>
      </c>
      <c r="AS53" s="2"/>
      <c r="AT53" s="2"/>
      <c r="AU53" s="2" t="s">
        <v>288</v>
      </c>
      <c r="AV53" s="2" t="s">
        <v>287</v>
      </c>
      <c r="AW53" s="1">
        <v>0</v>
      </c>
      <c r="AX53" s="2"/>
      <c r="AY53" s="2"/>
      <c r="AZ53" s="1">
        <v>0</v>
      </c>
      <c r="BA53" s="2"/>
      <c r="BB53" s="2" t="s">
        <v>296</v>
      </c>
      <c r="BC53" s="2" t="s">
        <v>301</v>
      </c>
      <c r="BD53" s="2" t="s">
        <v>297</v>
      </c>
      <c r="BE53" s="1">
        <v>0</v>
      </c>
      <c r="BF53" s="2"/>
      <c r="BG53" s="2"/>
      <c r="BH53" s="2" t="s">
        <v>288</v>
      </c>
      <c r="BI53" s="2"/>
      <c r="BJ53" s="1">
        <v>0</v>
      </c>
      <c r="BK53" s="2"/>
      <c r="BL53" s="2"/>
      <c r="BM53" s="1">
        <v>0</v>
      </c>
      <c r="BN53" s="2"/>
      <c r="BO53" s="2" t="s">
        <v>296</v>
      </c>
      <c r="BP53" s="1">
        <v>0</v>
      </c>
      <c r="BQ53" s="2"/>
      <c r="BR53" s="2" t="s">
        <v>294</v>
      </c>
      <c r="BS53" s="2" t="s">
        <v>297</v>
      </c>
      <c r="BT53" s="1">
        <v>0</v>
      </c>
      <c r="BU53" s="2"/>
      <c r="BV53" s="2"/>
      <c r="BW53" s="2" t="s">
        <v>324</v>
      </c>
      <c r="BX53" s="2" t="s">
        <v>302</v>
      </c>
      <c r="BY53" s="1">
        <v>0</v>
      </c>
      <c r="BZ53" s="2"/>
      <c r="CA53" s="2"/>
      <c r="CB53" s="1">
        <v>0</v>
      </c>
      <c r="CC53" s="2"/>
      <c r="CD53" s="2" t="s">
        <v>296</v>
      </c>
      <c r="CE53" s="1">
        <v>0</v>
      </c>
      <c r="CF53" s="2"/>
      <c r="CG53" s="2"/>
      <c r="CH53" s="2" t="s">
        <v>303</v>
      </c>
      <c r="CI53" s="2" t="s">
        <v>297</v>
      </c>
      <c r="CJ53" s="1">
        <v>0</v>
      </c>
      <c r="CK53" s="2"/>
      <c r="CL53" s="2"/>
      <c r="CM53" s="2" t="s">
        <v>305</v>
      </c>
      <c r="CN53" s="2" t="s">
        <v>302</v>
      </c>
      <c r="CO53" s="1">
        <v>0</v>
      </c>
      <c r="CP53" s="2"/>
      <c r="CQ53" s="2"/>
      <c r="CR53" s="1">
        <v>0</v>
      </c>
      <c r="CS53" s="2"/>
      <c r="CT53" s="2" t="s">
        <v>296</v>
      </c>
      <c r="CU53" s="1">
        <v>0</v>
      </c>
      <c r="CV53" s="2"/>
      <c r="CW53" s="2"/>
      <c r="CX53" s="2" t="s">
        <v>303</v>
      </c>
      <c r="CY53" s="2" t="s">
        <v>302</v>
      </c>
      <c r="CZ53" s="1">
        <v>0</v>
      </c>
      <c r="DA53" s="2"/>
      <c r="DB53" s="2"/>
      <c r="DC53" s="2" t="s">
        <v>305</v>
      </c>
      <c r="DD53" s="2" t="s">
        <v>331</v>
      </c>
      <c r="DE53" s="1">
        <v>0</v>
      </c>
      <c r="DF53" s="2"/>
      <c r="DG53" s="2"/>
      <c r="DH53" s="1">
        <v>0</v>
      </c>
      <c r="DI53" s="2"/>
      <c r="DJ53" s="2" t="s">
        <v>296</v>
      </c>
      <c r="DK53" s="1">
        <v>0</v>
      </c>
      <c r="DL53" s="2"/>
      <c r="DM53" s="2"/>
      <c r="DN53" s="2" t="s">
        <v>303</v>
      </c>
      <c r="DO53" s="2" t="s">
        <v>331</v>
      </c>
      <c r="DP53" s="1">
        <v>0</v>
      </c>
      <c r="DQ53" s="2"/>
      <c r="DR53" s="2"/>
      <c r="DS53" s="2" t="s">
        <v>298</v>
      </c>
      <c r="DT53" s="2" t="s">
        <v>331</v>
      </c>
      <c r="DU53" s="1">
        <v>0</v>
      </c>
      <c r="DV53" s="2"/>
      <c r="DW53" s="2"/>
      <c r="DX53" s="2"/>
      <c r="DY53" s="1">
        <v>0</v>
      </c>
      <c r="DZ53" s="2"/>
      <c r="EA53" s="2" t="s">
        <v>294</v>
      </c>
      <c r="EB53" s="2" t="s">
        <v>331</v>
      </c>
      <c r="EC53" s="1">
        <v>0</v>
      </c>
      <c r="ED53" s="2"/>
      <c r="EE53" s="2"/>
      <c r="EF53" s="2" t="s">
        <v>288</v>
      </c>
      <c r="EG53" s="2" t="s">
        <v>331</v>
      </c>
      <c r="EH53" s="1">
        <v>0</v>
      </c>
      <c r="EI53" s="2"/>
      <c r="EJ53" s="2"/>
      <c r="EK53" s="2"/>
      <c r="EL53" s="1">
        <v>0</v>
      </c>
      <c r="EM53" s="2"/>
      <c r="EN53" s="1">
        <v>0</v>
      </c>
      <c r="EO53" s="2"/>
      <c r="EP53" s="2" t="s">
        <v>328</v>
      </c>
      <c r="EQ53" s="2" t="s">
        <v>299</v>
      </c>
      <c r="ER53" s="1">
        <v>0</v>
      </c>
      <c r="ES53" s="2"/>
      <c r="ET53" s="2"/>
      <c r="EU53" s="2"/>
      <c r="EV53" s="2"/>
      <c r="EW53" s="2"/>
      <c r="EX53" s="2"/>
      <c r="EY53" s="2"/>
      <c r="EZ53" s="2"/>
      <c r="FA53" s="1">
        <v>0</v>
      </c>
      <c r="FB53" s="2"/>
      <c r="FC53" s="2"/>
      <c r="FD53" s="2"/>
      <c r="FE53" s="2" t="s">
        <v>316</v>
      </c>
      <c r="FF53" s="2" t="s">
        <v>335</v>
      </c>
      <c r="FG53" s="2" t="s">
        <v>642</v>
      </c>
      <c r="FH53" s="2"/>
      <c r="FI53" s="1">
        <v>-1</v>
      </c>
      <c r="FJ53" s="1">
        <v>-1</v>
      </c>
      <c r="FK53" s="1">
        <v>-1</v>
      </c>
      <c r="FL53" s="1">
        <v>-1</v>
      </c>
      <c r="FM53" s="1">
        <v>-1</v>
      </c>
      <c r="FN53" s="1">
        <v>-1</v>
      </c>
      <c r="FO53" s="1">
        <v>-1</v>
      </c>
      <c r="FP53" s="1">
        <v>-1</v>
      </c>
      <c r="FQ53" s="1">
        <v>-1</v>
      </c>
      <c r="FR53" s="1">
        <v>-1</v>
      </c>
      <c r="FS53" s="1">
        <v>-1</v>
      </c>
      <c r="FT53" s="1">
        <v>-1</v>
      </c>
      <c r="FU53" s="1">
        <v>-1</v>
      </c>
      <c r="FV53" s="1">
        <v>-1</v>
      </c>
      <c r="FW53" s="1">
        <v>-1</v>
      </c>
      <c r="FX53" s="1">
        <v>-15</v>
      </c>
      <c r="FY53" s="3"/>
      <c r="FZ53" s="3"/>
      <c r="GA53" s="2" t="s">
        <v>319</v>
      </c>
      <c r="GB53" s="2" t="s">
        <v>320</v>
      </c>
      <c r="GC53" s="2" t="s">
        <v>277</v>
      </c>
      <c r="GD53" s="1">
        <v>15</v>
      </c>
      <c r="GE53" s="1">
        <v>15</v>
      </c>
      <c r="GF53" s="1">
        <v>48</v>
      </c>
      <c r="GG53" s="1">
        <v>19</v>
      </c>
      <c r="GH53" s="4"/>
    </row>
    <row r="54" spans="1:190" x14ac:dyDescent="0.25">
      <c r="A54" s="1">
        <v>215</v>
      </c>
      <c r="B54" s="2" t="s">
        <v>376</v>
      </c>
      <c r="C54" s="2" t="s">
        <v>353</v>
      </c>
      <c r="D54" s="2" t="s">
        <v>422</v>
      </c>
      <c r="E54" s="2" t="s">
        <v>282</v>
      </c>
      <c r="F54" s="2" t="s">
        <v>282</v>
      </c>
      <c r="G54" s="2" t="s">
        <v>281</v>
      </c>
      <c r="H54" s="2" t="s">
        <v>282</v>
      </c>
      <c r="I54" s="2" t="s">
        <v>282</v>
      </c>
      <c r="J54" s="2" t="s">
        <v>281</v>
      </c>
      <c r="K54" s="2" t="s">
        <v>282</v>
      </c>
      <c r="L54" s="2" t="s">
        <v>282</v>
      </c>
      <c r="M54" s="2" t="s">
        <v>282</v>
      </c>
      <c r="N54" s="1">
        <v>0</v>
      </c>
      <c r="O54" s="2"/>
      <c r="P54" s="2"/>
      <c r="Q54" s="2" t="s">
        <v>337</v>
      </c>
      <c r="R54" s="2"/>
      <c r="S54" s="12" t="s">
        <v>424</v>
      </c>
      <c r="T54" s="2"/>
      <c r="U54" s="2"/>
      <c r="V54" s="1">
        <v>2</v>
      </c>
      <c r="W54" s="2" t="s">
        <v>453</v>
      </c>
      <c r="X54" s="2" t="s">
        <v>365</v>
      </c>
      <c r="Y54" s="2" t="s">
        <v>303</v>
      </c>
      <c r="Z54" s="2" t="s">
        <v>302</v>
      </c>
      <c r="AA54" s="1">
        <v>0</v>
      </c>
      <c r="AB54" s="2"/>
      <c r="AC54" s="2"/>
      <c r="AD54" s="2" t="s">
        <v>305</v>
      </c>
      <c r="AE54" s="2" t="s">
        <v>287</v>
      </c>
      <c r="AF54" s="1">
        <v>0</v>
      </c>
      <c r="AG54" s="2"/>
      <c r="AH54" s="2"/>
      <c r="AI54" s="1">
        <v>0</v>
      </c>
      <c r="AJ54" s="2"/>
      <c r="AK54" s="2"/>
      <c r="AL54" s="2" t="s">
        <v>299</v>
      </c>
      <c r="AM54" s="1">
        <v>1</v>
      </c>
      <c r="AN54" s="2" t="s">
        <v>643</v>
      </c>
      <c r="AO54" s="2"/>
      <c r="AP54" s="2" t="s">
        <v>301</v>
      </c>
      <c r="AQ54" s="2" t="s">
        <v>287</v>
      </c>
      <c r="AR54" s="1">
        <v>0</v>
      </c>
      <c r="AS54" s="2"/>
      <c r="AT54" s="2"/>
      <c r="AU54" s="2" t="s">
        <v>324</v>
      </c>
      <c r="AV54" s="2" t="s">
        <v>287</v>
      </c>
      <c r="AW54" s="1">
        <v>0</v>
      </c>
      <c r="AX54" s="2"/>
      <c r="AY54" s="2"/>
      <c r="AZ54" s="1">
        <v>1</v>
      </c>
      <c r="BA54" s="2" t="s">
        <v>644</v>
      </c>
      <c r="BB54" s="2" t="s">
        <v>296</v>
      </c>
      <c r="BC54" s="2"/>
      <c r="BD54" s="2"/>
      <c r="BE54" s="1">
        <v>0</v>
      </c>
      <c r="BF54" s="2"/>
      <c r="BG54" s="2"/>
      <c r="BH54" s="2"/>
      <c r="BI54" s="2"/>
      <c r="BJ54" s="1">
        <v>0</v>
      </c>
      <c r="BK54" s="2"/>
      <c r="BL54" s="2"/>
      <c r="BM54" s="1">
        <v>0</v>
      </c>
      <c r="BN54" s="2"/>
      <c r="BO54" s="2"/>
      <c r="BP54" s="1">
        <v>1</v>
      </c>
      <c r="BQ54" s="2" t="s">
        <v>645</v>
      </c>
      <c r="BR54" s="2" t="s">
        <v>310</v>
      </c>
      <c r="BS54" s="2" t="s">
        <v>297</v>
      </c>
      <c r="BT54" s="1">
        <v>0</v>
      </c>
      <c r="BU54" s="2"/>
      <c r="BV54" s="2"/>
      <c r="BW54" s="2" t="s">
        <v>324</v>
      </c>
      <c r="BX54" s="2" t="s">
        <v>339</v>
      </c>
      <c r="BY54" s="1">
        <v>0</v>
      </c>
      <c r="BZ54" s="2"/>
      <c r="CA54" s="2"/>
      <c r="CB54" s="1">
        <v>1</v>
      </c>
      <c r="CC54" s="2" t="s">
        <v>646</v>
      </c>
      <c r="CD54" s="2" t="s">
        <v>296</v>
      </c>
      <c r="CE54" s="1">
        <v>1</v>
      </c>
      <c r="CF54" s="2" t="s">
        <v>647</v>
      </c>
      <c r="CG54" s="2"/>
      <c r="CH54" s="2" t="s">
        <v>303</v>
      </c>
      <c r="CI54" s="2" t="s">
        <v>297</v>
      </c>
      <c r="CJ54" s="1">
        <v>0</v>
      </c>
      <c r="CK54" s="2"/>
      <c r="CL54" s="2"/>
      <c r="CM54" s="2" t="s">
        <v>305</v>
      </c>
      <c r="CN54" s="2" t="s">
        <v>500</v>
      </c>
      <c r="CO54" s="1">
        <v>0</v>
      </c>
      <c r="CP54" s="2"/>
      <c r="CQ54" s="2"/>
      <c r="CR54" s="1">
        <v>0</v>
      </c>
      <c r="CS54" s="2"/>
      <c r="CT54" s="2" t="s">
        <v>296</v>
      </c>
      <c r="CU54" s="1">
        <v>1</v>
      </c>
      <c r="CV54" s="2" t="s">
        <v>648</v>
      </c>
      <c r="CW54" s="2"/>
      <c r="CX54" s="2" t="s">
        <v>303</v>
      </c>
      <c r="CY54" s="2" t="s">
        <v>302</v>
      </c>
      <c r="CZ54" s="1">
        <v>0</v>
      </c>
      <c r="DA54" s="2"/>
      <c r="DB54" s="2"/>
      <c r="DC54" s="2" t="s">
        <v>305</v>
      </c>
      <c r="DD54" s="2" t="s">
        <v>302</v>
      </c>
      <c r="DE54" s="1">
        <v>0</v>
      </c>
      <c r="DF54" s="2"/>
      <c r="DG54" s="2"/>
      <c r="DH54" s="1">
        <v>0</v>
      </c>
      <c r="DI54" s="2"/>
      <c r="DJ54" s="2" t="s">
        <v>299</v>
      </c>
      <c r="DK54" s="1">
        <v>1</v>
      </c>
      <c r="DL54" s="2" t="s">
        <v>362</v>
      </c>
      <c r="DM54" s="2"/>
      <c r="DN54" s="2" t="s">
        <v>303</v>
      </c>
      <c r="DO54" s="2" t="s">
        <v>331</v>
      </c>
      <c r="DP54" s="1">
        <v>0</v>
      </c>
      <c r="DQ54" s="2"/>
      <c r="DR54" s="2"/>
      <c r="DS54" s="2" t="s">
        <v>298</v>
      </c>
      <c r="DT54" s="2" t="s">
        <v>331</v>
      </c>
      <c r="DU54" s="1">
        <v>0</v>
      </c>
      <c r="DV54" s="2"/>
      <c r="DW54" s="2"/>
      <c r="DX54" s="2" t="s">
        <v>649</v>
      </c>
      <c r="DY54" s="1">
        <v>1</v>
      </c>
      <c r="DZ54" s="2" t="s">
        <v>650</v>
      </c>
      <c r="EA54" s="2" t="s">
        <v>303</v>
      </c>
      <c r="EB54" s="2" t="s">
        <v>331</v>
      </c>
      <c r="EC54" s="1">
        <v>0</v>
      </c>
      <c r="ED54" s="2"/>
      <c r="EE54" s="2"/>
      <c r="EF54" s="2" t="s">
        <v>305</v>
      </c>
      <c r="EG54" s="2" t="s">
        <v>331</v>
      </c>
      <c r="EH54" s="1">
        <v>0</v>
      </c>
      <c r="EI54" s="2"/>
      <c r="EJ54" s="2"/>
      <c r="EK54" s="2" t="s">
        <v>651</v>
      </c>
      <c r="EL54" s="1">
        <v>0</v>
      </c>
      <c r="EM54" s="2"/>
      <c r="EN54" s="1">
        <v>0</v>
      </c>
      <c r="EO54" s="2"/>
      <c r="EP54" s="2" t="s">
        <v>296</v>
      </c>
      <c r="EQ54" s="2" t="s">
        <v>296</v>
      </c>
      <c r="ER54" s="1">
        <v>0</v>
      </c>
      <c r="ES54" s="2"/>
      <c r="ET54" s="2"/>
      <c r="EU54" s="2"/>
      <c r="EV54" s="2"/>
      <c r="EW54" s="2"/>
      <c r="EX54" s="2"/>
      <c r="EY54" s="2"/>
      <c r="EZ54" s="2"/>
      <c r="FA54" s="1">
        <v>0</v>
      </c>
      <c r="FB54" s="2"/>
      <c r="FC54" s="2"/>
      <c r="FD54" s="2"/>
      <c r="FE54" s="2" t="s">
        <v>350</v>
      </c>
      <c r="FF54" s="2" t="s">
        <v>351</v>
      </c>
      <c r="FG54" s="2"/>
      <c r="FH54" s="2"/>
      <c r="FI54" s="1">
        <v>-1</v>
      </c>
      <c r="FJ54" s="1">
        <v>-1</v>
      </c>
      <c r="FK54" s="1">
        <v>-1</v>
      </c>
      <c r="FL54" s="1">
        <v>-1</v>
      </c>
      <c r="FM54" s="1">
        <v>-1</v>
      </c>
      <c r="FN54" s="1">
        <v>-1</v>
      </c>
      <c r="FO54" s="1">
        <v>-1</v>
      </c>
      <c r="FP54" s="1">
        <v>-1</v>
      </c>
      <c r="FQ54" s="1">
        <v>-1</v>
      </c>
      <c r="FR54" s="1">
        <v>-1</v>
      </c>
      <c r="FS54" s="1">
        <v>-1</v>
      </c>
      <c r="FT54" s="1">
        <v>-1</v>
      </c>
      <c r="FU54" s="1">
        <v>-1</v>
      </c>
      <c r="FV54" s="1">
        <v>-1</v>
      </c>
      <c r="FW54" s="1">
        <v>-1</v>
      </c>
      <c r="FX54" s="1">
        <v>-15</v>
      </c>
      <c r="FY54" s="3"/>
      <c r="FZ54" s="3"/>
      <c r="GA54" s="2" t="s">
        <v>319</v>
      </c>
      <c r="GB54" s="2" t="s">
        <v>320</v>
      </c>
      <c r="GC54" s="2" t="s">
        <v>277</v>
      </c>
      <c r="GD54" s="1">
        <v>15</v>
      </c>
      <c r="GE54" s="1">
        <v>15</v>
      </c>
      <c r="GF54" s="1">
        <v>40</v>
      </c>
      <c r="GG54" s="1">
        <v>16</v>
      </c>
      <c r="GH54" s="4"/>
    </row>
    <row r="55" spans="1:190" x14ac:dyDescent="0.25">
      <c r="A55" s="1">
        <v>216</v>
      </c>
      <c r="B55" s="2" t="s">
        <v>376</v>
      </c>
      <c r="C55" s="2" t="s">
        <v>279</v>
      </c>
      <c r="D55" s="2" t="s">
        <v>320</v>
      </c>
      <c r="E55" s="2" t="s">
        <v>282</v>
      </c>
      <c r="F55" s="2" t="s">
        <v>282</v>
      </c>
      <c r="G55" s="2" t="s">
        <v>282</v>
      </c>
      <c r="H55" s="2" t="s">
        <v>282</v>
      </c>
      <c r="I55" s="2" t="s">
        <v>282</v>
      </c>
      <c r="J55" s="2" t="s">
        <v>281</v>
      </c>
      <c r="K55" s="2" t="s">
        <v>282</v>
      </c>
      <c r="L55" s="2" t="s">
        <v>282</v>
      </c>
      <c r="M55" s="2" t="s">
        <v>282</v>
      </c>
      <c r="N55" s="1">
        <v>0</v>
      </c>
      <c r="O55" s="2"/>
      <c r="P55" s="2"/>
      <c r="Q55" s="2" t="s">
        <v>423</v>
      </c>
      <c r="R55" s="2"/>
      <c r="S55" s="2"/>
      <c r="T55" s="2"/>
      <c r="U55" s="2" t="s">
        <v>652</v>
      </c>
      <c r="V55" s="1">
        <v>0</v>
      </c>
      <c r="W55" s="2"/>
      <c r="X55" s="2"/>
      <c r="Y55" s="2"/>
      <c r="Z55" s="2"/>
      <c r="AA55" s="1">
        <v>0</v>
      </c>
      <c r="AB55" s="2"/>
      <c r="AC55" s="2"/>
      <c r="AD55" s="2"/>
      <c r="AE55" s="2"/>
      <c r="AF55" s="1">
        <v>0</v>
      </c>
      <c r="AG55" s="2"/>
      <c r="AH55" s="2"/>
      <c r="AI55" s="1">
        <v>0</v>
      </c>
      <c r="AJ55" s="2"/>
      <c r="AK55" s="2"/>
      <c r="AL55" s="2"/>
      <c r="AM55" s="1">
        <v>0</v>
      </c>
      <c r="AN55" s="2"/>
      <c r="AO55" s="2"/>
      <c r="AP55" s="2"/>
      <c r="AQ55" s="2"/>
      <c r="AR55" s="1">
        <v>0</v>
      </c>
      <c r="AS55" s="2"/>
      <c r="AT55" s="2"/>
      <c r="AU55" s="2"/>
      <c r="AV55" s="2"/>
      <c r="AW55" s="1">
        <v>0</v>
      </c>
      <c r="AX55" s="2"/>
      <c r="AY55" s="2"/>
      <c r="AZ55" s="1">
        <v>0</v>
      </c>
      <c r="BA55" s="2"/>
      <c r="BB55" s="2"/>
      <c r="BC55" s="2" t="s">
        <v>294</v>
      </c>
      <c r="BD55" s="2" t="s">
        <v>297</v>
      </c>
      <c r="BE55" s="1">
        <v>0</v>
      </c>
      <c r="BF55" s="2"/>
      <c r="BG55" s="2"/>
      <c r="BH55" s="2" t="s">
        <v>324</v>
      </c>
      <c r="BI55" s="2" t="s">
        <v>297</v>
      </c>
      <c r="BJ55" s="1">
        <v>0</v>
      </c>
      <c r="BK55" s="2"/>
      <c r="BL55" s="2"/>
      <c r="BM55" s="1">
        <v>1</v>
      </c>
      <c r="BN55" s="2" t="s">
        <v>653</v>
      </c>
      <c r="BO55" s="2" t="s">
        <v>299</v>
      </c>
      <c r="BP55" s="1">
        <v>1</v>
      </c>
      <c r="BQ55" s="2" t="s">
        <v>654</v>
      </c>
      <c r="BR55" s="2" t="s">
        <v>294</v>
      </c>
      <c r="BS55" s="2" t="s">
        <v>297</v>
      </c>
      <c r="BT55" s="1">
        <v>0</v>
      </c>
      <c r="BU55" s="2"/>
      <c r="BV55" s="2"/>
      <c r="BW55" s="2" t="s">
        <v>324</v>
      </c>
      <c r="BX55" s="2" t="s">
        <v>287</v>
      </c>
      <c r="BY55" s="1">
        <v>0</v>
      </c>
      <c r="BZ55" s="2"/>
      <c r="CA55" s="2"/>
      <c r="CB55" s="1">
        <v>0</v>
      </c>
      <c r="CC55" s="2"/>
      <c r="CD55" s="2" t="s">
        <v>296</v>
      </c>
      <c r="CE55" s="1">
        <v>1</v>
      </c>
      <c r="CF55" s="2" t="s">
        <v>359</v>
      </c>
      <c r="CG55" s="2"/>
      <c r="CH55" s="2" t="s">
        <v>303</v>
      </c>
      <c r="CI55" s="2" t="s">
        <v>297</v>
      </c>
      <c r="CJ55" s="1">
        <v>0</v>
      </c>
      <c r="CK55" s="2"/>
      <c r="CL55" s="2"/>
      <c r="CM55" s="2" t="s">
        <v>305</v>
      </c>
      <c r="CN55" s="2" t="s">
        <v>297</v>
      </c>
      <c r="CO55" s="1">
        <v>0</v>
      </c>
      <c r="CP55" s="2"/>
      <c r="CQ55" s="2"/>
      <c r="CR55" s="1">
        <v>0</v>
      </c>
      <c r="CS55" s="2"/>
      <c r="CT55" s="2" t="s">
        <v>299</v>
      </c>
      <c r="CU55" s="1">
        <v>1</v>
      </c>
      <c r="CV55" s="2" t="s">
        <v>655</v>
      </c>
      <c r="CW55" s="2"/>
      <c r="CX55" s="2" t="s">
        <v>303</v>
      </c>
      <c r="CY55" s="2" t="s">
        <v>297</v>
      </c>
      <c r="CZ55" s="1">
        <v>0</v>
      </c>
      <c r="DA55" s="2"/>
      <c r="DB55" s="2"/>
      <c r="DC55" s="2" t="s">
        <v>298</v>
      </c>
      <c r="DD55" s="2" t="s">
        <v>297</v>
      </c>
      <c r="DE55" s="1">
        <v>0</v>
      </c>
      <c r="DF55" s="2"/>
      <c r="DG55" s="2"/>
      <c r="DH55" s="1">
        <v>0</v>
      </c>
      <c r="DI55" s="2"/>
      <c r="DJ55" s="2" t="s">
        <v>296</v>
      </c>
      <c r="DK55" s="1">
        <v>1</v>
      </c>
      <c r="DL55" s="2" t="s">
        <v>603</v>
      </c>
      <c r="DM55" s="2"/>
      <c r="DN55" s="2" t="s">
        <v>303</v>
      </c>
      <c r="DO55" s="2" t="s">
        <v>331</v>
      </c>
      <c r="DP55" s="1">
        <v>0</v>
      </c>
      <c r="DQ55" s="2"/>
      <c r="DR55" s="2"/>
      <c r="DS55" s="2" t="s">
        <v>298</v>
      </c>
      <c r="DT55" s="2" t="s">
        <v>331</v>
      </c>
      <c r="DU55" s="1">
        <v>0</v>
      </c>
      <c r="DV55" s="2"/>
      <c r="DW55" s="2"/>
      <c r="DX55" s="2" t="s">
        <v>656</v>
      </c>
      <c r="DY55" s="1">
        <v>1</v>
      </c>
      <c r="DZ55" s="2" t="s">
        <v>374</v>
      </c>
      <c r="EA55" s="2" t="s">
        <v>303</v>
      </c>
      <c r="EB55" s="2" t="s">
        <v>331</v>
      </c>
      <c r="EC55" s="1">
        <v>0</v>
      </c>
      <c r="ED55" s="2"/>
      <c r="EE55" s="2"/>
      <c r="EF55" s="2" t="s">
        <v>305</v>
      </c>
      <c r="EG55" s="2" t="s">
        <v>331</v>
      </c>
      <c r="EH55" s="1">
        <v>0</v>
      </c>
      <c r="EI55" s="2"/>
      <c r="EJ55" s="2"/>
      <c r="EK55" s="2"/>
      <c r="EL55" s="1">
        <v>0</v>
      </c>
      <c r="EM55" s="2"/>
      <c r="EN55" s="1">
        <v>0</v>
      </c>
      <c r="EO55" s="2"/>
      <c r="EP55" s="2" t="s">
        <v>296</v>
      </c>
      <c r="EQ55" s="2" t="s">
        <v>299</v>
      </c>
      <c r="ER55" s="1">
        <v>0</v>
      </c>
      <c r="ES55" s="2"/>
      <c r="ET55" s="2"/>
      <c r="EU55" s="2"/>
      <c r="EV55" s="2"/>
      <c r="EW55" s="2" t="s">
        <v>370</v>
      </c>
      <c r="EX55" s="2" t="s">
        <v>657</v>
      </c>
      <c r="EY55" s="2"/>
      <c r="EZ55" s="2"/>
      <c r="FA55" s="1">
        <v>0</v>
      </c>
      <c r="FB55" s="2"/>
      <c r="FC55" s="2"/>
      <c r="FD55" s="2"/>
      <c r="FE55" s="2" t="s">
        <v>437</v>
      </c>
      <c r="FF55" s="2" t="s">
        <v>351</v>
      </c>
      <c r="FG55" s="2" t="s">
        <v>658</v>
      </c>
      <c r="FH55" s="2"/>
      <c r="FI55" s="1">
        <v>-1</v>
      </c>
      <c r="FJ55" s="1">
        <v>-1</v>
      </c>
      <c r="FK55" s="1">
        <v>-1</v>
      </c>
      <c r="FL55" s="1">
        <v>-1</v>
      </c>
      <c r="FM55" s="1">
        <v>-1</v>
      </c>
      <c r="FN55" s="1">
        <v>-1</v>
      </c>
      <c r="FO55" s="1">
        <v>-1</v>
      </c>
      <c r="FP55" s="1">
        <v>-1</v>
      </c>
      <c r="FQ55" s="1">
        <v>-1</v>
      </c>
      <c r="FR55" s="1">
        <v>-1</v>
      </c>
      <c r="FS55" s="1">
        <v>-1</v>
      </c>
      <c r="FT55" s="1">
        <v>-1</v>
      </c>
      <c r="FU55" s="1">
        <v>-1</v>
      </c>
      <c r="FV55" s="1">
        <v>-1</v>
      </c>
      <c r="FW55" s="1">
        <v>-1</v>
      </c>
      <c r="FX55" s="1">
        <v>-15</v>
      </c>
      <c r="FY55" s="3"/>
      <c r="FZ55" s="3"/>
      <c r="GA55" s="2" t="s">
        <v>319</v>
      </c>
      <c r="GB55" s="2" t="s">
        <v>320</v>
      </c>
      <c r="GC55" s="2" t="s">
        <v>277</v>
      </c>
      <c r="GD55" s="1">
        <v>15</v>
      </c>
      <c r="GE55" s="1">
        <v>15</v>
      </c>
      <c r="GF55" s="1">
        <v>48</v>
      </c>
      <c r="GG55" s="1">
        <v>27</v>
      </c>
      <c r="GH55" s="4"/>
    </row>
    <row r="56" spans="1:190" x14ac:dyDescent="0.25">
      <c r="A56" s="1">
        <v>217</v>
      </c>
      <c r="B56" s="2" t="s">
        <v>376</v>
      </c>
      <c r="C56" s="2" t="s">
        <v>353</v>
      </c>
      <c r="D56" s="2" t="s">
        <v>320</v>
      </c>
      <c r="E56" s="2" t="s">
        <v>282</v>
      </c>
      <c r="F56" s="2" t="s">
        <v>282</v>
      </c>
      <c r="G56" s="2" t="s">
        <v>282</v>
      </c>
      <c r="H56" s="2" t="s">
        <v>282</v>
      </c>
      <c r="I56" s="2" t="s">
        <v>282</v>
      </c>
      <c r="J56" s="2" t="s">
        <v>281</v>
      </c>
      <c r="K56" s="2" t="s">
        <v>282</v>
      </c>
      <c r="L56" s="2" t="s">
        <v>282</v>
      </c>
      <c r="M56" s="2" t="s">
        <v>282</v>
      </c>
      <c r="N56" s="1">
        <v>0</v>
      </c>
      <c r="O56" s="2"/>
      <c r="P56" s="2"/>
      <c r="Q56" s="2" t="s">
        <v>423</v>
      </c>
      <c r="R56" s="2"/>
      <c r="S56" s="2"/>
      <c r="T56" s="2"/>
      <c r="U56" s="2" t="s">
        <v>652</v>
      </c>
      <c r="V56" s="1">
        <v>1</v>
      </c>
      <c r="W56" s="2" t="s">
        <v>374</v>
      </c>
      <c r="X56" s="2"/>
      <c r="Y56" s="2" t="s">
        <v>294</v>
      </c>
      <c r="Z56" s="2" t="s">
        <v>302</v>
      </c>
      <c r="AA56" s="1">
        <v>0</v>
      </c>
      <c r="AB56" s="2"/>
      <c r="AC56" s="2"/>
      <c r="AD56" s="2" t="s">
        <v>305</v>
      </c>
      <c r="AE56" s="2" t="s">
        <v>302</v>
      </c>
      <c r="AF56" s="1">
        <v>0</v>
      </c>
      <c r="AG56" s="2"/>
      <c r="AH56" s="2"/>
      <c r="AI56" s="1">
        <v>0</v>
      </c>
      <c r="AJ56" s="2"/>
      <c r="AK56" s="2"/>
      <c r="AL56" s="2" t="s">
        <v>299</v>
      </c>
      <c r="AM56" s="1">
        <v>0</v>
      </c>
      <c r="AN56" s="2"/>
      <c r="AO56" s="2"/>
      <c r="AP56" s="2" t="s">
        <v>301</v>
      </c>
      <c r="AQ56" s="2" t="s">
        <v>297</v>
      </c>
      <c r="AR56" s="1">
        <v>0</v>
      </c>
      <c r="AS56" s="2"/>
      <c r="AT56" s="2"/>
      <c r="AU56" s="2" t="s">
        <v>288</v>
      </c>
      <c r="AV56" s="2" t="s">
        <v>302</v>
      </c>
      <c r="AW56" s="1">
        <v>0</v>
      </c>
      <c r="AX56" s="2"/>
      <c r="AY56" s="2"/>
      <c r="AZ56" s="1">
        <v>0</v>
      </c>
      <c r="BA56" s="2"/>
      <c r="BB56" s="2" t="s">
        <v>299</v>
      </c>
      <c r="BC56" s="2" t="s">
        <v>294</v>
      </c>
      <c r="BD56" s="2" t="s">
        <v>297</v>
      </c>
      <c r="BE56" s="1">
        <v>0</v>
      </c>
      <c r="BF56" s="2"/>
      <c r="BG56" s="2"/>
      <c r="BH56" s="2" t="s">
        <v>324</v>
      </c>
      <c r="BI56" s="2" t="s">
        <v>339</v>
      </c>
      <c r="BJ56" s="1">
        <v>0</v>
      </c>
      <c r="BK56" s="2"/>
      <c r="BL56" s="2"/>
      <c r="BM56" s="1">
        <v>1</v>
      </c>
      <c r="BN56" s="2" t="s">
        <v>653</v>
      </c>
      <c r="BO56" s="2" t="s">
        <v>299</v>
      </c>
      <c r="BP56" s="1">
        <v>1</v>
      </c>
      <c r="BQ56" s="2" t="s">
        <v>659</v>
      </c>
      <c r="BR56" s="2" t="s">
        <v>294</v>
      </c>
      <c r="BS56" s="2" t="s">
        <v>297</v>
      </c>
      <c r="BT56" s="1">
        <v>0</v>
      </c>
      <c r="BU56" s="2"/>
      <c r="BV56" s="2"/>
      <c r="BW56" s="2" t="s">
        <v>288</v>
      </c>
      <c r="BX56" s="2" t="s">
        <v>287</v>
      </c>
      <c r="BY56" s="1">
        <v>0</v>
      </c>
      <c r="BZ56" s="2"/>
      <c r="CA56" s="2"/>
      <c r="CB56" s="1">
        <v>0</v>
      </c>
      <c r="CC56" s="2"/>
      <c r="CD56" s="2" t="s">
        <v>296</v>
      </c>
      <c r="CE56" s="1">
        <v>1</v>
      </c>
      <c r="CF56" s="2" t="s">
        <v>359</v>
      </c>
      <c r="CG56" s="2"/>
      <c r="CH56" s="2" t="s">
        <v>303</v>
      </c>
      <c r="CI56" s="2" t="s">
        <v>297</v>
      </c>
      <c r="CJ56" s="1">
        <v>0</v>
      </c>
      <c r="CK56" s="2"/>
      <c r="CL56" s="2"/>
      <c r="CM56" s="2" t="s">
        <v>305</v>
      </c>
      <c r="CN56" s="2" t="s">
        <v>287</v>
      </c>
      <c r="CO56" s="1">
        <v>0</v>
      </c>
      <c r="CP56" s="2"/>
      <c r="CQ56" s="2"/>
      <c r="CR56" s="1">
        <v>0</v>
      </c>
      <c r="CS56" s="2"/>
      <c r="CT56" s="2" t="s">
        <v>299</v>
      </c>
      <c r="CU56" s="1">
        <v>1</v>
      </c>
      <c r="CV56" s="2" t="s">
        <v>660</v>
      </c>
      <c r="CW56" s="2"/>
      <c r="CX56" s="2" t="s">
        <v>310</v>
      </c>
      <c r="CY56" s="2" t="s">
        <v>297</v>
      </c>
      <c r="CZ56" s="1">
        <v>0</v>
      </c>
      <c r="DA56" s="2"/>
      <c r="DB56" s="2"/>
      <c r="DC56" s="2" t="s">
        <v>324</v>
      </c>
      <c r="DD56" s="2" t="s">
        <v>287</v>
      </c>
      <c r="DE56" s="1">
        <v>0</v>
      </c>
      <c r="DF56" s="2"/>
      <c r="DG56" s="2"/>
      <c r="DH56" s="1">
        <v>0</v>
      </c>
      <c r="DI56" s="2"/>
      <c r="DJ56" s="2" t="s">
        <v>296</v>
      </c>
      <c r="DK56" s="1">
        <v>1</v>
      </c>
      <c r="DL56" s="2" t="s">
        <v>603</v>
      </c>
      <c r="DM56" s="2"/>
      <c r="DN56" s="2" t="s">
        <v>303</v>
      </c>
      <c r="DO56" s="2" t="s">
        <v>331</v>
      </c>
      <c r="DP56" s="1">
        <v>0</v>
      </c>
      <c r="DQ56" s="2"/>
      <c r="DR56" s="2"/>
      <c r="DS56" s="2" t="s">
        <v>298</v>
      </c>
      <c r="DT56" s="2" t="s">
        <v>331</v>
      </c>
      <c r="DU56" s="1">
        <v>0</v>
      </c>
      <c r="DV56" s="2"/>
      <c r="DW56" s="2"/>
      <c r="DX56" s="2" t="s">
        <v>656</v>
      </c>
      <c r="DY56" s="1">
        <v>1</v>
      </c>
      <c r="DZ56" s="2" t="s">
        <v>374</v>
      </c>
      <c r="EA56" s="2" t="s">
        <v>303</v>
      </c>
      <c r="EB56" s="2" t="s">
        <v>331</v>
      </c>
      <c r="EC56" s="1">
        <v>0</v>
      </c>
      <c r="ED56" s="2"/>
      <c r="EE56" s="2"/>
      <c r="EF56" s="2" t="s">
        <v>305</v>
      </c>
      <c r="EG56" s="2" t="s">
        <v>331</v>
      </c>
      <c r="EH56" s="1">
        <v>0</v>
      </c>
      <c r="EI56" s="2"/>
      <c r="EJ56" s="2"/>
      <c r="EK56" s="2"/>
      <c r="EL56" s="1">
        <v>0</v>
      </c>
      <c r="EM56" s="2"/>
      <c r="EN56" s="1">
        <v>0</v>
      </c>
      <c r="EO56" s="2"/>
      <c r="EP56" s="2" t="s">
        <v>296</v>
      </c>
      <c r="EQ56" s="2" t="s">
        <v>299</v>
      </c>
      <c r="ER56" s="1">
        <v>0</v>
      </c>
      <c r="ES56" s="2"/>
      <c r="ET56" s="2"/>
      <c r="EU56" s="2"/>
      <c r="EV56" s="2"/>
      <c r="EW56" s="2" t="s">
        <v>397</v>
      </c>
      <c r="EX56" s="2" t="s">
        <v>661</v>
      </c>
      <c r="EY56" s="2"/>
      <c r="EZ56" s="2"/>
      <c r="FA56" s="1">
        <v>0</v>
      </c>
      <c r="FB56" s="2"/>
      <c r="FC56" s="2"/>
      <c r="FD56" s="2"/>
      <c r="FE56" s="2" t="s">
        <v>437</v>
      </c>
      <c r="FF56" s="2" t="s">
        <v>351</v>
      </c>
      <c r="FG56" s="2" t="s">
        <v>662</v>
      </c>
      <c r="FH56" s="2"/>
      <c r="FI56" s="1">
        <v>-1</v>
      </c>
      <c r="FJ56" s="1">
        <v>-1</v>
      </c>
      <c r="FK56" s="1">
        <v>-1</v>
      </c>
      <c r="FL56" s="1">
        <v>-1</v>
      </c>
      <c r="FM56" s="1">
        <v>-1</v>
      </c>
      <c r="FN56" s="1">
        <v>-1</v>
      </c>
      <c r="FO56" s="1">
        <v>-1</v>
      </c>
      <c r="FP56" s="1">
        <v>-1</v>
      </c>
      <c r="FQ56" s="1">
        <v>-1</v>
      </c>
      <c r="FR56" s="1">
        <v>-1</v>
      </c>
      <c r="FS56" s="1">
        <v>-1</v>
      </c>
      <c r="FT56" s="1">
        <v>-1</v>
      </c>
      <c r="FU56" s="1">
        <v>-1</v>
      </c>
      <c r="FV56" s="1">
        <v>-1</v>
      </c>
      <c r="FW56" s="1">
        <v>-1</v>
      </c>
      <c r="FX56" s="1">
        <v>-15</v>
      </c>
      <c r="FY56" s="3"/>
      <c r="FZ56" s="3"/>
      <c r="GA56" s="2" t="s">
        <v>319</v>
      </c>
      <c r="GB56" s="2" t="s">
        <v>320</v>
      </c>
      <c r="GC56" s="2" t="s">
        <v>277</v>
      </c>
      <c r="GD56" s="1">
        <v>15</v>
      </c>
      <c r="GE56" s="1">
        <v>15</v>
      </c>
      <c r="GF56" s="1">
        <v>36</v>
      </c>
      <c r="GG56" s="1">
        <v>9</v>
      </c>
      <c r="GH56" s="4"/>
    </row>
    <row r="57" spans="1:190" x14ac:dyDescent="0.25">
      <c r="A57" s="1">
        <v>219</v>
      </c>
      <c r="B57" s="2" t="s">
        <v>347</v>
      </c>
      <c r="C57" s="2" t="s">
        <v>279</v>
      </c>
      <c r="D57" s="2" t="s">
        <v>377</v>
      </c>
      <c r="E57" s="2" t="s">
        <v>281</v>
      </c>
      <c r="F57" s="2" t="s">
        <v>282</v>
      </c>
      <c r="G57" s="2" t="s">
        <v>282</v>
      </c>
      <c r="H57" s="2" t="s">
        <v>282</v>
      </c>
      <c r="I57" s="2" t="s">
        <v>282</v>
      </c>
      <c r="J57" s="2" t="s">
        <v>281</v>
      </c>
      <c r="K57" s="2" t="s">
        <v>282</v>
      </c>
      <c r="L57" s="2" t="s">
        <v>281</v>
      </c>
      <c r="M57" s="2" t="s">
        <v>282</v>
      </c>
      <c r="N57" s="1">
        <v>0</v>
      </c>
      <c r="O57" s="2"/>
      <c r="P57" s="2"/>
      <c r="Q57" s="2" t="s">
        <v>355</v>
      </c>
      <c r="R57" s="2"/>
      <c r="S57" s="2"/>
      <c r="T57" s="11" t="s">
        <v>322</v>
      </c>
      <c r="U57" s="2"/>
      <c r="V57" s="1">
        <v>1</v>
      </c>
      <c r="W57" s="2" t="s">
        <v>374</v>
      </c>
      <c r="X57" s="2"/>
      <c r="Y57" s="2" t="s">
        <v>303</v>
      </c>
      <c r="Z57" s="2" t="s">
        <v>331</v>
      </c>
      <c r="AA57" s="1">
        <v>0</v>
      </c>
      <c r="AB57" s="2"/>
      <c r="AC57" s="2"/>
      <c r="AD57" s="2" t="s">
        <v>305</v>
      </c>
      <c r="AE57" s="2" t="s">
        <v>331</v>
      </c>
      <c r="AF57" s="1">
        <v>0</v>
      </c>
      <c r="AG57" s="2"/>
      <c r="AH57" s="2"/>
      <c r="AI57" s="1">
        <v>0</v>
      </c>
      <c r="AJ57" s="2"/>
      <c r="AK57" s="2"/>
      <c r="AL57" s="2" t="s">
        <v>292</v>
      </c>
      <c r="AM57" s="1">
        <v>0</v>
      </c>
      <c r="AN57" s="2"/>
      <c r="AO57" s="2"/>
      <c r="AP57" s="2"/>
      <c r="AQ57" s="2"/>
      <c r="AR57" s="1">
        <v>0</v>
      </c>
      <c r="AS57" s="2"/>
      <c r="AT57" s="2"/>
      <c r="AU57" s="2"/>
      <c r="AV57" s="2"/>
      <c r="AW57" s="1">
        <v>0</v>
      </c>
      <c r="AX57" s="2"/>
      <c r="AY57" s="2"/>
      <c r="AZ57" s="1">
        <v>0</v>
      </c>
      <c r="BA57" s="2"/>
      <c r="BB57" s="2"/>
      <c r="BC57" s="2" t="s">
        <v>301</v>
      </c>
      <c r="BD57" s="2" t="s">
        <v>339</v>
      </c>
      <c r="BE57" s="1">
        <v>0</v>
      </c>
      <c r="BF57" s="2"/>
      <c r="BG57" s="2"/>
      <c r="BH57" s="2" t="s">
        <v>324</v>
      </c>
      <c r="BI57" s="2" t="s">
        <v>339</v>
      </c>
      <c r="BJ57" s="1">
        <v>0</v>
      </c>
      <c r="BK57" s="2"/>
      <c r="BL57" s="2"/>
      <c r="BM57" s="1">
        <v>0</v>
      </c>
      <c r="BN57" s="2"/>
      <c r="BO57" s="2" t="s">
        <v>292</v>
      </c>
      <c r="BP57" s="1">
        <v>1</v>
      </c>
      <c r="BQ57" s="2" t="s">
        <v>663</v>
      </c>
      <c r="BR57" s="2" t="s">
        <v>294</v>
      </c>
      <c r="BS57" s="2" t="s">
        <v>297</v>
      </c>
      <c r="BT57" s="1">
        <v>0</v>
      </c>
      <c r="BU57" s="2"/>
      <c r="BV57" s="2"/>
      <c r="BW57" s="2" t="s">
        <v>305</v>
      </c>
      <c r="BX57" s="2" t="s">
        <v>302</v>
      </c>
      <c r="BY57" s="1">
        <v>0</v>
      </c>
      <c r="BZ57" s="2"/>
      <c r="CA57" s="2"/>
      <c r="CB57" s="1">
        <v>0</v>
      </c>
      <c r="CC57" s="2"/>
      <c r="CD57" s="2" t="s">
        <v>328</v>
      </c>
      <c r="CE57" s="1">
        <v>1</v>
      </c>
      <c r="CF57" s="2" t="s">
        <v>664</v>
      </c>
      <c r="CG57" s="2"/>
      <c r="CH57" s="2" t="s">
        <v>294</v>
      </c>
      <c r="CI57" s="2" t="s">
        <v>297</v>
      </c>
      <c r="CJ57" s="1">
        <v>0</v>
      </c>
      <c r="CK57" s="2"/>
      <c r="CL57" s="2"/>
      <c r="CM57" s="2" t="s">
        <v>288</v>
      </c>
      <c r="CN57" s="2" t="s">
        <v>297</v>
      </c>
      <c r="CO57" s="1">
        <v>0</v>
      </c>
      <c r="CP57" s="2"/>
      <c r="CQ57" s="2"/>
      <c r="CR57" s="1">
        <v>0</v>
      </c>
      <c r="CS57" s="2"/>
      <c r="CT57" s="2" t="s">
        <v>292</v>
      </c>
      <c r="CU57" s="1">
        <v>0</v>
      </c>
      <c r="CV57" s="2"/>
      <c r="CW57" s="2"/>
      <c r="CX57" s="2"/>
      <c r="CY57" s="2"/>
      <c r="CZ57" s="1">
        <v>0</v>
      </c>
      <c r="DA57" s="2"/>
      <c r="DB57" s="2"/>
      <c r="DC57" s="2"/>
      <c r="DD57" s="2"/>
      <c r="DE57" s="1">
        <v>0</v>
      </c>
      <c r="DF57" s="2"/>
      <c r="DG57" s="2"/>
      <c r="DH57" s="1">
        <v>0</v>
      </c>
      <c r="DI57" s="2"/>
      <c r="DJ57" s="2"/>
      <c r="DK57" s="1">
        <v>1</v>
      </c>
      <c r="DL57" s="2" t="s">
        <v>411</v>
      </c>
      <c r="DM57" s="2"/>
      <c r="DN57" s="2" t="s">
        <v>294</v>
      </c>
      <c r="DO57" s="2" t="s">
        <v>331</v>
      </c>
      <c r="DP57" s="1">
        <v>0</v>
      </c>
      <c r="DQ57" s="2"/>
      <c r="DR57" s="2"/>
      <c r="DS57" s="2" t="s">
        <v>305</v>
      </c>
      <c r="DT57" s="2" t="s">
        <v>331</v>
      </c>
      <c r="DU57" s="1">
        <v>0</v>
      </c>
      <c r="DV57" s="2"/>
      <c r="DW57" s="2"/>
      <c r="DX57" s="2"/>
      <c r="DY57" s="1">
        <v>1</v>
      </c>
      <c r="DZ57" s="2" t="s">
        <v>384</v>
      </c>
      <c r="EA57" s="2" t="s">
        <v>301</v>
      </c>
      <c r="EB57" s="2" t="s">
        <v>297</v>
      </c>
      <c r="EC57" s="1">
        <v>0</v>
      </c>
      <c r="ED57" s="2"/>
      <c r="EE57" s="2"/>
      <c r="EF57" s="2" t="s">
        <v>288</v>
      </c>
      <c r="EG57" s="2" t="s">
        <v>297</v>
      </c>
      <c r="EH57" s="1">
        <v>0</v>
      </c>
      <c r="EI57" s="2"/>
      <c r="EJ57" s="2"/>
      <c r="EK57" s="2"/>
      <c r="EL57" s="1">
        <v>0</v>
      </c>
      <c r="EM57" s="2"/>
      <c r="EN57" s="1">
        <v>0</v>
      </c>
      <c r="EO57" s="2"/>
      <c r="EP57" s="2" t="s">
        <v>292</v>
      </c>
      <c r="EQ57" s="2" t="s">
        <v>328</v>
      </c>
      <c r="ER57" s="1">
        <v>0</v>
      </c>
      <c r="ES57" s="2"/>
      <c r="ET57" s="2"/>
      <c r="EU57" s="2"/>
      <c r="EV57" s="2"/>
      <c r="EW57" s="2"/>
      <c r="EX57" s="2"/>
      <c r="EY57" s="2"/>
      <c r="EZ57" s="2"/>
      <c r="FA57" s="1">
        <v>0</v>
      </c>
      <c r="FB57" s="2"/>
      <c r="FC57" s="2"/>
      <c r="FD57" s="2"/>
      <c r="FE57" s="2" t="s">
        <v>350</v>
      </c>
      <c r="FF57" s="2" t="s">
        <v>351</v>
      </c>
      <c r="FG57" s="2" t="s">
        <v>665</v>
      </c>
      <c r="FH57" s="2"/>
      <c r="FI57" s="1">
        <v>-1</v>
      </c>
      <c r="FJ57" s="1">
        <v>-1</v>
      </c>
      <c r="FK57" s="1">
        <v>-1</v>
      </c>
      <c r="FL57" s="1">
        <v>-1</v>
      </c>
      <c r="FM57" s="1">
        <v>-1</v>
      </c>
      <c r="FN57" s="1">
        <v>-1</v>
      </c>
      <c r="FO57" s="1">
        <v>-1</v>
      </c>
      <c r="FP57" s="1">
        <v>-1</v>
      </c>
      <c r="FQ57" s="1">
        <v>-1</v>
      </c>
      <c r="FR57" s="1">
        <v>-1</v>
      </c>
      <c r="FS57" s="1">
        <v>-1</v>
      </c>
      <c r="FT57" s="1">
        <v>-1</v>
      </c>
      <c r="FU57" s="1">
        <v>-1</v>
      </c>
      <c r="FV57" s="1">
        <v>-1</v>
      </c>
      <c r="FW57" s="1">
        <v>-1</v>
      </c>
      <c r="FX57" s="1">
        <v>-15</v>
      </c>
      <c r="FY57" s="3"/>
      <c r="FZ57" s="3"/>
      <c r="GA57" s="2"/>
      <c r="GB57" s="2" t="s">
        <v>320</v>
      </c>
      <c r="GC57" s="2" t="s">
        <v>277</v>
      </c>
      <c r="GD57" s="1">
        <v>15</v>
      </c>
      <c r="GE57" s="1">
        <v>15</v>
      </c>
      <c r="GF57" s="1">
        <v>53</v>
      </c>
      <c r="GG57" s="1">
        <v>29</v>
      </c>
      <c r="GH57" s="4"/>
    </row>
    <row r="58" spans="1:190" x14ac:dyDescent="0.25">
      <c r="A58" s="1">
        <v>221</v>
      </c>
      <c r="B58" s="2" t="s">
        <v>376</v>
      </c>
      <c r="C58" s="2" t="s">
        <v>353</v>
      </c>
      <c r="D58" s="2" t="s">
        <v>422</v>
      </c>
      <c r="E58" s="2" t="s">
        <v>282</v>
      </c>
      <c r="F58" s="2" t="s">
        <v>281</v>
      </c>
      <c r="G58" s="2" t="s">
        <v>282</v>
      </c>
      <c r="H58" s="2" t="s">
        <v>282</v>
      </c>
      <c r="I58" s="2" t="s">
        <v>282</v>
      </c>
      <c r="J58" s="2" t="s">
        <v>281</v>
      </c>
      <c r="K58" s="2" t="s">
        <v>282</v>
      </c>
      <c r="L58" s="2" t="s">
        <v>282</v>
      </c>
      <c r="M58" s="2" t="s">
        <v>282</v>
      </c>
      <c r="N58" s="1">
        <v>0</v>
      </c>
      <c r="O58" s="2"/>
      <c r="P58" s="2"/>
      <c r="Q58" s="2" t="s">
        <v>423</v>
      </c>
      <c r="R58" s="2"/>
      <c r="S58" s="2"/>
      <c r="T58" s="2"/>
      <c r="U58" s="2" t="s">
        <v>463</v>
      </c>
      <c r="V58" s="1">
        <v>1</v>
      </c>
      <c r="W58" s="2" t="s">
        <v>585</v>
      </c>
      <c r="X58" s="2"/>
      <c r="Y58" s="2" t="s">
        <v>310</v>
      </c>
      <c r="Z58" s="2" t="s">
        <v>297</v>
      </c>
      <c r="AA58" s="1">
        <v>0</v>
      </c>
      <c r="AB58" s="2"/>
      <c r="AC58" s="2"/>
      <c r="AD58" s="2" t="s">
        <v>288</v>
      </c>
      <c r="AE58" s="2" t="s">
        <v>302</v>
      </c>
      <c r="AF58" s="1">
        <v>0</v>
      </c>
      <c r="AG58" s="2"/>
      <c r="AH58" s="2"/>
      <c r="AI58" s="1">
        <v>1</v>
      </c>
      <c r="AJ58" s="2" t="s">
        <v>666</v>
      </c>
      <c r="AK58" s="2"/>
      <c r="AL58" s="2" t="s">
        <v>292</v>
      </c>
      <c r="AM58" s="1">
        <v>0</v>
      </c>
      <c r="AN58" s="2"/>
      <c r="AO58" s="2"/>
      <c r="AP58" s="2"/>
      <c r="AQ58" s="2"/>
      <c r="AR58" s="1">
        <v>0</v>
      </c>
      <c r="AS58" s="2"/>
      <c r="AT58" s="2"/>
      <c r="AU58" s="2"/>
      <c r="AV58" s="2"/>
      <c r="AW58" s="1">
        <v>0</v>
      </c>
      <c r="AX58" s="2"/>
      <c r="AY58" s="2"/>
      <c r="AZ58" s="1">
        <v>0</v>
      </c>
      <c r="BA58" s="2"/>
      <c r="BB58" s="2"/>
      <c r="BC58" s="2"/>
      <c r="BD58" s="2"/>
      <c r="BE58" s="1">
        <v>0</v>
      </c>
      <c r="BF58" s="2"/>
      <c r="BG58" s="2"/>
      <c r="BH58" s="2"/>
      <c r="BI58" s="2"/>
      <c r="BJ58" s="1">
        <v>0</v>
      </c>
      <c r="BK58" s="2"/>
      <c r="BL58" s="2"/>
      <c r="BM58" s="1">
        <v>0</v>
      </c>
      <c r="BN58" s="2"/>
      <c r="BO58" s="2"/>
      <c r="BP58" s="1">
        <v>0</v>
      </c>
      <c r="BQ58" s="2"/>
      <c r="BR58" s="2" t="s">
        <v>303</v>
      </c>
      <c r="BS58" s="2" t="s">
        <v>302</v>
      </c>
      <c r="BT58" s="1">
        <v>0</v>
      </c>
      <c r="BU58" s="2"/>
      <c r="BV58" s="2"/>
      <c r="BW58" s="2" t="s">
        <v>288</v>
      </c>
      <c r="BX58" s="2" t="s">
        <v>302</v>
      </c>
      <c r="BY58" s="1">
        <v>0</v>
      </c>
      <c r="BZ58" s="2"/>
      <c r="CA58" s="2"/>
      <c r="CB58" s="1">
        <v>0</v>
      </c>
      <c r="CC58" s="2"/>
      <c r="CD58" s="2" t="s">
        <v>296</v>
      </c>
      <c r="CE58" s="1">
        <v>1</v>
      </c>
      <c r="CF58" s="2" t="s">
        <v>359</v>
      </c>
      <c r="CG58" s="2"/>
      <c r="CH58" s="2" t="s">
        <v>294</v>
      </c>
      <c r="CI58" s="2" t="s">
        <v>297</v>
      </c>
      <c r="CJ58" s="1">
        <v>0</v>
      </c>
      <c r="CK58" s="2"/>
      <c r="CL58" s="2"/>
      <c r="CM58" s="2" t="s">
        <v>288</v>
      </c>
      <c r="CN58" s="2" t="s">
        <v>297</v>
      </c>
      <c r="CO58" s="1">
        <v>0</v>
      </c>
      <c r="CP58" s="2"/>
      <c r="CQ58" s="2"/>
      <c r="CR58" s="1">
        <v>0</v>
      </c>
      <c r="CS58" s="2"/>
      <c r="CT58" s="2" t="s">
        <v>296</v>
      </c>
      <c r="CU58" s="1">
        <v>0</v>
      </c>
      <c r="CV58" s="2"/>
      <c r="CW58" s="2"/>
      <c r="CX58" s="2"/>
      <c r="CY58" s="2"/>
      <c r="CZ58" s="1">
        <v>0</v>
      </c>
      <c r="DA58" s="2"/>
      <c r="DB58" s="2"/>
      <c r="DC58" s="2"/>
      <c r="DD58" s="2"/>
      <c r="DE58" s="1">
        <v>0</v>
      </c>
      <c r="DF58" s="2"/>
      <c r="DG58" s="2"/>
      <c r="DH58" s="1">
        <v>0</v>
      </c>
      <c r="DI58" s="2"/>
      <c r="DJ58" s="2"/>
      <c r="DK58" s="1">
        <v>1</v>
      </c>
      <c r="DL58" s="2" t="s">
        <v>603</v>
      </c>
      <c r="DM58" s="2"/>
      <c r="DN58" s="2" t="s">
        <v>303</v>
      </c>
      <c r="DO58" s="2" t="s">
        <v>331</v>
      </c>
      <c r="DP58" s="1">
        <v>0</v>
      </c>
      <c r="DQ58" s="2"/>
      <c r="DR58" s="2"/>
      <c r="DS58" s="2" t="s">
        <v>305</v>
      </c>
      <c r="DT58" s="2" t="s">
        <v>331</v>
      </c>
      <c r="DU58" s="1">
        <v>0</v>
      </c>
      <c r="DV58" s="2"/>
      <c r="DW58" s="2"/>
      <c r="DX58" s="2"/>
      <c r="DY58" s="1">
        <v>1</v>
      </c>
      <c r="DZ58" s="2" t="s">
        <v>374</v>
      </c>
      <c r="EA58" s="2" t="s">
        <v>303</v>
      </c>
      <c r="EB58" s="2" t="s">
        <v>297</v>
      </c>
      <c r="EC58" s="1">
        <v>0</v>
      </c>
      <c r="ED58" s="2"/>
      <c r="EE58" s="2"/>
      <c r="EF58" s="2" t="s">
        <v>288</v>
      </c>
      <c r="EG58" s="2" t="s">
        <v>297</v>
      </c>
      <c r="EH58" s="1">
        <v>0</v>
      </c>
      <c r="EI58" s="2"/>
      <c r="EJ58" s="2"/>
      <c r="EK58" s="2" t="s">
        <v>412</v>
      </c>
      <c r="EL58" s="1">
        <v>0</v>
      </c>
      <c r="EM58" s="2"/>
      <c r="EN58" s="1">
        <v>0</v>
      </c>
      <c r="EO58" s="2"/>
      <c r="EP58" s="2" t="s">
        <v>296</v>
      </c>
      <c r="EQ58" s="2" t="s">
        <v>296</v>
      </c>
      <c r="ER58" s="1">
        <v>0</v>
      </c>
      <c r="ES58" s="2"/>
      <c r="ET58" s="2"/>
      <c r="EU58" s="2"/>
      <c r="EV58" s="2"/>
      <c r="EW58" s="2"/>
      <c r="EX58" s="2" t="s">
        <v>667</v>
      </c>
      <c r="EY58" s="2"/>
      <c r="EZ58" s="2"/>
      <c r="FA58" s="1">
        <v>0</v>
      </c>
      <c r="FB58" s="2"/>
      <c r="FC58" s="2"/>
      <c r="FD58" s="2"/>
      <c r="FE58" s="2" t="s">
        <v>437</v>
      </c>
      <c r="FF58" s="2" t="s">
        <v>351</v>
      </c>
      <c r="FG58" s="2"/>
      <c r="FH58" s="2"/>
      <c r="FI58" s="1">
        <v>-1</v>
      </c>
      <c r="FJ58" s="1">
        <v>-1</v>
      </c>
      <c r="FK58" s="1">
        <v>-1</v>
      </c>
      <c r="FL58" s="1">
        <v>-1</v>
      </c>
      <c r="FM58" s="1">
        <v>-1</v>
      </c>
      <c r="FN58" s="1">
        <v>-1</v>
      </c>
      <c r="FO58" s="1">
        <v>-1</v>
      </c>
      <c r="FP58" s="1">
        <v>-1</v>
      </c>
      <c r="FQ58" s="1">
        <v>-1</v>
      </c>
      <c r="FR58" s="1">
        <v>-1</v>
      </c>
      <c r="FS58" s="1">
        <v>-1</v>
      </c>
      <c r="FT58" s="1">
        <v>-1</v>
      </c>
      <c r="FU58" s="1">
        <v>-1</v>
      </c>
      <c r="FV58" s="1">
        <v>-1</v>
      </c>
      <c r="FW58" s="1">
        <v>-1</v>
      </c>
      <c r="FX58" s="1">
        <v>-15</v>
      </c>
      <c r="FY58" s="3"/>
      <c r="FZ58" s="3"/>
      <c r="GA58" s="2"/>
      <c r="GB58" s="2" t="s">
        <v>320</v>
      </c>
      <c r="GC58" s="2" t="s">
        <v>277</v>
      </c>
      <c r="GD58" s="1">
        <v>15</v>
      </c>
      <c r="GE58" s="1">
        <v>15</v>
      </c>
      <c r="GF58" s="1">
        <v>58</v>
      </c>
      <c r="GG58" s="1">
        <v>36</v>
      </c>
      <c r="GH58" s="4"/>
    </row>
    <row r="59" spans="1:190" x14ac:dyDescent="0.25">
      <c r="A59" s="1">
        <v>223</v>
      </c>
      <c r="B59" s="2" t="s">
        <v>376</v>
      </c>
      <c r="C59" s="2" t="s">
        <v>279</v>
      </c>
      <c r="D59" s="2" t="s">
        <v>422</v>
      </c>
      <c r="E59" s="2" t="s">
        <v>282</v>
      </c>
      <c r="F59" s="2" t="s">
        <v>281</v>
      </c>
      <c r="G59" s="2" t="s">
        <v>282</v>
      </c>
      <c r="H59" s="2" t="s">
        <v>282</v>
      </c>
      <c r="I59" s="2" t="s">
        <v>282</v>
      </c>
      <c r="J59" s="2" t="s">
        <v>281</v>
      </c>
      <c r="K59" s="2" t="s">
        <v>282</v>
      </c>
      <c r="L59" s="2" t="s">
        <v>282</v>
      </c>
      <c r="M59" s="2" t="s">
        <v>282</v>
      </c>
      <c r="N59" s="1">
        <v>0</v>
      </c>
      <c r="O59" s="2"/>
      <c r="P59" s="2"/>
      <c r="Q59" s="2" t="s">
        <v>423</v>
      </c>
      <c r="R59" s="2"/>
      <c r="S59" s="2"/>
      <c r="T59" s="2"/>
      <c r="U59" s="12" t="s">
        <v>424</v>
      </c>
      <c r="V59" s="1">
        <v>1</v>
      </c>
      <c r="W59" s="2" t="s">
        <v>365</v>
      </c>
      <c r="X59" s="2"/>
      <c r="Y59" s="2" t="s">
        <v>303</v>
      </c>
      <c r="Z59" s="2" t="s">
        <v>297</v>
      </c>
      <c r="AA59" s="1">
        <v>0</v>
      </c>
      <c r="AB59" s="2"/>
      <c r="AC59" s="2"/>
      <c r="AD59" s="2" t="s">
        <v>305</v>
      </c>
      <c r="AE59" s="2" t="s">
        <v>302</v>
      </c>
      <c r="AF59" s="1">
        <v>0</v>
      </c>
      <c r="AG59" s="2"/>
      <c r="AH59" s="2"/>
      <c r="AI59" s="1">
        <v>0</v>
      </c>
      <c r="AJ59" s="2"/>
      <c r="AK59" s="2"/>
      <c r="AL59" s="2" t="s">
        <v>299</v>
      </c>
      <c r="AM59" s="1">
        <v>0</v>
      </c>
      <c r="AN59" s="2"/>
      <c r="AO59" s="2"/>
      <c r="AP59" s="2"/>
      <c r="AQ59" s="2"/>
      <c r="AR59" s="1">
        <v>0</v>
      </c>
      <c r="AS59" s="2"/>
      <c r="AT59" s="2"/>
      <c r="AU59" s="2"/>
      <c r="AV59" s="2"/>
      <c r="AW59" s="1">
        <v>0</v>
      </c>
      <c r="AX59" s="2"/>
      <c r="AY59" s="2"/>
      <c r="AZ59" s="1">
        <v>0</v>
      </c>
      <c r="BA59" s="2"/>
      <c r="BB59" s="2"/>
      <c r="BC59" s="2"/>
      <c r="BD59" s="2"/>
      <c r="BE59" s="1">
        <v>0</v>
      </c>
      <c r="BF59" s="2"/>
      <c r="BG59" s="2"/>
      <c r="BH59" s="2"/>
      <c r="BI59" s="2"/>
      <c r="BJ59" s="1">
        <v>0</v>
      </c>
      <c r="BK59" s="2"/>
      <c r="BL59" s="2"/>
      <c r="BM59" s="1">
        <v>0</v>
      </c>
      <c r="BN59" s="2"/>
      <c r="BO59" s="2"/>
      <c r="BP59" s="1">
        <v>1</v>
      </c>
      <c r="BQ59" s="2" t="s">
        <v>668</v>
      </c>
      <c r="BR59" s="2" t="s">
        <v>303</v>
      </c>
      <c r="BS59" s="2" t="s">
        <v>302</v>
      </c>
      <c r="BT59" s="1">
        <v>0</v>
      </c>
      <c r="BU59" s="2"/>
      <c r="BV59" s="2"/>
      <c r="BW59" s="2" t="s">
        <v>305</v>
      </c>
      <c r="BX59" s="2" t="s">
        <v>302</v>
      </c>
      <c r="BY59" s="1">
        <v>0</v>
      </c>
      <c r="BZ59" s="2"/>
      <c r="CA59" s="2"/>
      <c r="CB59" s="1">
        <v>0</v>
      </c>
      <c r="CC59" s="2"/>
      <c r="CD59" s="2" t="s">
        <v>296</v>
      </c>
      <c r="CE59" s="1">
        <v>1</v>
      </c>
      <c r="CF59" s="2" t="s">
        <v>669</v>
      </c>
      <c r="CG59" s="2"/>
      <c r="CH59" s="2" t="s">
        <v>303</v>
      </c>
      <c r="CI59" s="2" t="s">
        <v>297</v>
      </c>
      <c r="CJ59" s="1">
        <v>0</v>
      </c>
      <c r="CK59" s="2"/>
      <c r="CL59" s="2"/>
      <c r="CM59" s="2" t="s">
        <v>288</v>
      </c>
      <c r="CN59" s="2" t="s">
        <v>297</v>
      </c>
      <c r="CO59" s="1">
        <v>0</v>
      </c>
      <c r="CP59" s="2"/>
      <c r="CQ59" s="2"/>
      <c r="CR59" s="1">
        <v>0</v>
      </c>
      <c r="CS59" s="2"/>
      <c r="CT59" s="2" t="s">
        <v>296</v>
      </c>
      <c r="CU59" s="1">
        <v>1</v>
      </c>
      <c r="CV59" s="2" t="s">
        <v>372</v>
      </c>
      <c r="CW59" s="2"/>
      <c r="CX59" s="2" t="s">
        <v>303</v>
      </c>
      <c r="CY59" s="2" t="s">
        <v>297</v>
      </c>
      <c r="CZ59" s="1">
        <v>0</v>
      </c>
      <c r="DA59" s="2"/>
      <c r="DB59" s="2"/>
      <c r="DC59" s="2" t="s">
        <v>288</v>
      </c>
      <c r="DD59" s="2" t="s">
        <v>297</v>
      </c>
      <c r="DE59" s="1">
        <v>0</v>
      </c>
      <c r="DF59" s="2"/>
      <c r="DG59" s="2"/>
      <c r="DH59" s="1">
        <v>0</v>
      </c>
      <c r="DI59" s="2"/>
      <c r="DJ59" s="2" t="s">
        <v>328</v>
      </c>
      <c r="DK59" s="1">
        <v>1</v>
      </c>
      <c r="DL59" s="2" t="s">
        <v>603</v>
      </c>
      <c r="DM59" s="2"/>
      <c r="DN59" s="2" t="s">
        <v>303</v>
      </c>
      <c r="DO59" s="2" t="s">
        <v>331</v>
      </c>
      <c r="DP59" s="1">
        <v>0</v>
      </c>
      <c r="DQ59" s="2"/>
      <c r="DR59" s="2"/>
      <c r="DS59" s="2" t="s">
        <v>305</v>
      </c>
      <c r="DT59" s="2" t="s">
        <v>331</v>
      </c>
      <c r="DU59" s="1">
        <v>0</v>
      </c>
      <c r="DV59" s="2"/>
      <c r="DW59" s="2"/>
      <c r="DX59" s="2"/>
      <c r="DY59" s="1">
        <v>1</v>
      </c>
      <c r="DZ59" s="2" t="s">
        <v>374</v>
      </c>
      <c r="EA59" s="2" t="s">
        <v>303</v>
      </c>
      <c r="EB59" s="2" t="s">
        <v>302</v>
      </c>
      <c r="EC59" s="1">
        <v>0</v>
      </c>
      <c r="ED59" s="2"/>
      <c r="EE59" s="2"/>
      <c r="EF59" s="2" t="s">
        <v>305</v>
      </c>
      <c r="EG59" s="2" t="s">
        <v>331</v>
      </c>
      <c r="EH59" s="1">
        <v>0</v>
      </c>
      <c r="EI59" s="2"/>
      <c r="EJ59" s="2"/>
      <c r="EK59" s="2"/>
      <c r="EL59" s="1">
        <v>0</v>
      </c>
      <c r="EM59" s="2"/>
      <c r="EN59" s="1">
        <v>0</v>
      </c>
      <c r="EO59" s="2"/>
      <c r="EP59" s="2" t="s">
        <v>296</v>
      </c>
      <c r="EQ59" s="2" t="s">
        <v>296</v>
      </c>
      <c r="ER59" s="1">
        <v>0</v>
      </c>
      <c r="ES59" s="2"/>
      <c r="ET59" s="2"/>
      <c r="EU59" s="2"/>
      <c r="EV59" s="2"/>
      <c r="EW59" s="2" t="s">
        <v>670</v>
      </c>
      <c r="EX59" s="2"/>
      <c r="EY59" s="2"/>
      <c r="EZ59" s="2"/>
      <c r="FA59" s="1">
        <v>0</v>
      </c>
      <c r="FB59" s="2"/>
      <c r="FC59" s="2"/>
      <c r="FD59" s="2"/>
      <c r="FE59" s="2" t="s">
        <v>437</v>
      </c>
      <c r="FF59" s="2" t="s">
        <v>351</v>
      </c>
      <c r="FG59" s="2"/>
      <c r="FH59" s="2"/>
      <c r="FI59" s="1">
        <v>-1</v>
      </c>
      <c r="FJ59" s="1">
        <v>-1</v>
      </c>
      <c r="FK59" s="1">
        <v>-1</v>
      </c>
      <c r="FL59" s="1">
        <v>-1</v>
      </c>
      <c r="FM59" s="1">
        <v>-1</v>
      </c>
      <c r="FN59" s="1">
        <v>-1</v>
      </c>
      <c r="FO59" s="1">
        <v>-1</v>
      </c>
      <c r="FP59" s="1">
        <v>-1</v>
      </c>
      <c r="FQ59" s="1">
        <v>-1</v>
      </c>
      <c r="FR59" s="1">
        <v>-1</v>
      </c>
      <c r="FS59" s="1">
        <v>-1</v>
      </c>
      <c r="FT59" s="1">
        <v>-1</v>
      </c>
      <c r="FU59" s="1">
        <v>-1</v>
      </c>
      <c r="FV59" s="1">
        <v>-1</v>
      </c>
      <c r="FW59" s="1">
        <v>-1</v>
      </c>
      <c r="FX59" s="1">
        <v>-15</v>
      </c>
      <c r="FY59" s="3"/>
      <c r="FZ59" s="3"/>
      <c r="GA59" s="2"/>
      <c r="GB59" s="2" t="s">
        <v>320</v>
      </c>
      <c r="GC59" s="2" t="s">
        <v>277</v>
      </c>
      <c r="GD59" s="1">
        <v>15</v>
      </c>
      <c r="GE59" s="1">
        <v>15</v>
      </c>
      <c r="GF59" s="1">
        <v>51</v>
      </c>
      <c r="GG59" s="1">
        <v>27</v>
      </c>
      <c r="GH59" s="4"/>
    </row>
    <row r="60" spans="1:190" x14ac:dyDescent="0.25">
      <c r="A60" s="1">
        <v>225</v>
      </c>
      <c r="B60" s="2" t="s">
        <v>376</v>
      </c>
      <c r="C60" s="2" t="s">
        <v>353</v>
      </c>
      <c r="D60" s="2" t="s">
        <v>320</v>
      </c>
      <c r="E60" s="2" t="s">
        <v>282</v>
      </c>
      <c r="F60" s="2" t="s">
        <v>281</v>
      </c>
      <c r="G60" s="2" t="s">
        <v>282</v>
      </c>
      <c r="H60" s="2" t="s">
        <v>282</v>
      </c>
      <c r="I60" s="2" t="s">
        <v>282</v>
      </c>
      <c r="J60" s="2" t="s">
        <v>282</v>
      </c>
      <c r="K60" s="2" t="s">
        <v>282</v>
      </c>
      <c r="L60" s="2" t="s">
        <v>282</v>
      </c>
      <c r="M60" s="2" t="s">
        <v>282</v>
      </c>
      <c r="N60" s="1">
        <v>0</v>
      </c>
      <c r="O60" s="2"/>
      <c r="P60" s="2"/>
      <c r="Q60" s="2" t="s">
        <v>423</v>
      </c>
      <c r="R60" s="2"/>
      <c r="S60" s="2"/>
      <c r="T60" s="2"/>
      <c r="U60" s="12" t="s">
        <v>424</v>
      </c>
      <c r="V60" s="1">
        <v>1</v>
      </c>
      <c r="W60" s="2" t="s">
        <v>365</v>
      </c>
      <c r="X60" s="2"/>
      <c r="Y60" s="2" t="s">
        <v>303</v>
      </c>
      <c r="Z60" s="2" t="s">
        <v>297</v>
      </c>
      <c r="AA60" s="1">
        <v>0</v>
      </c>
      <c r="AB60" s="2"/>
      <c r="AC60" s="2"/>
      <c r="AD60" s="2" t="s">
        <v>305</v>
      </c>
      <c r="AE60" s="2" t="s">
        <v>302</v>
      </c>
      <c r="AF60" s="1">
        <v>0</v>
      </c>
      <c r="AG60" s="2"/>
      <c r="AH60" s="2"/>
      <c r="AI60" s="1">
        <v>0</v>
      </c>
      <c r="AJ60" s="2"/>
      <c r="AK60" s="2"/>
      <c r="AL60" s="2" t="s">
        <v>328</v>
      </c>
      <c r="AM60" s="1">
        <v>0</v>
      </c>
      <c r="AN60" s="2"/>
      <c r="AO60" s="2"/>
      <c r="AP60" s="2" t="s">
        <v>301</v>
      </c>
      <c r="AQ60" s="2" t="s">
        <v>287</v>
      </c>
      <c r="AR60" s="1">
        <v>0</v>
      </c>
      <c r="AS60" s="2"/>
      <c r="AT60" s="2"/>
      <c r="AU60" s="2" t="s">
        <v>324</v>
      </c>
      <c r="AV60" s="2" t="s">
        <v>302</v>
      </c>
      <c r="AW60" s="1">
        <v>0</v>
      </c>
      <c r="AX60" s="2"/>
      <c r="AY60" s="2"/>
      <c r="AZ60" s="1">
        <v>1</v>
      </c>
      <c r="BA60" s="2" t="s">
        <v>671</v>
      </c>
      <c r="BB60" s="2" t="s">
        <v>292</v>
      </c>
      <c r="BC60" s="2"/>
      <c r="BD60" s="2"/>
      <c r="BE60" s="1">
        <v>0</v>
      </c>
      <c r="BF60" s="2"/>
      <c r="BG60" s="2"/>
      <c r="BH60" s="2"/>
      <c r="BI60" s="2"/>
      <c r="BJ60" s="1">
        <v>0</v>
      </c>
      <c r="BK60" s="2"/>
      <c r="BL60" s="2"/>
      <c r="BM60" s="1">
        <v>0</v>
      </c>
      <c r="BN60" s="2"/>
      <c r="BO60" s="2"/>
      <c r="BP60" s="1">
        <v>1</v>
      </c>
      <c r="BQ60" s="2" t="s">
        <v>672</v>
      </c>
      <c r="BR60" s="2" t="s">
        <v>303</v>
      </c>
      <c r="BS60" s="2" t="s">
        <v>302</v>
      </c>
      <c r="BT60" s="1">
        <v>0</v>
      </c>
      <c r="BU60" s="2"/>
      <c r="BV60" s="2"/>
      <c r="BW60" s="2" t="s">
        <v>288</v>
      </c>
      <c r="BX60" s="2" t="s">
        <v>302</v>
      </c>
      <c r="BY60" s="1">
        <v>0</v>
      </c>
      <c r="BZ60" s="2"/>
      <c r="CA60" s="2"/>
      <c r="CB60" s="1">
        <v>0</v>
      </c>
      <c r="CC60" s="2"/>
      <c r="CD60" s="2" t="s">
        <v>296</v>
      </c>
      <c r="CE60" s="1">
        <v>1</v>
      </c>
      <c r="CF60" s="2" t="s">
        <v>673</v>
      </c>
      <c r="CG60" s="2"/>
      <c r="CH60" s="2" t="s">
        <v>303</v>
      </c>
      <c r="CI60" s="2" t="s">
        <v>297</v>
      </c>
      <c r="CJ60" s="1">
        <v>0</v>
      </c>
      <c r="CK60" s="2"/>
      <c r="CL60" s="2"/>
      <c r="CM60" s="2" t="s">
        <v>288</v>
      </c>
      <c r="CN60" s="2" t="s">
        <v>297</v>
      </c>
      <c r="CO60" s="1">
        <v>0</v>
      </c>
      <c r="CP60" s="2"/>
      <c r="CQ60" s="2"/>
      <c r="CR60" s="1">
        <v>0</v>
      </c>
      <c r="CS60" s="2"/>
      <c r="CT60" s="2" t="s">
        <v>296</v>
      </c>
      <c r="CU60" s="1">
        <v>0</v>
      </c>
      <c r="CV60" s="2"/>
      <c r="CW60" s="2"/>
      <c r="CX60" s="2"/>
      <c r="CY60" s="2"/>
      <c r="CZ60" s="1">
        <v>0</v>
      </c>
      <c r="DA60" s="2"/>
      <c r="DB60" s="2"/>
      <c r="DC60" s="2"/>
      <c r="DD60" s="2"/>
      <c r="DE60" s="1">
        <v>0</v>
      </c>
      <c r="DF60" s="2"/>
      <c r="DG60" s="2"/>
      <c r="DH60" s="1">
        <v>0</v>
      </c>
      <c r="DI60" s="2"/>
      <c r="DJ60" s="2"/>
      <c r="DK60" s="1">
        <v>1</v>
      </c>
      <c r="DL60" s="2" t="s">
        <v>603</v>
      </c>
      <c r="DM60" s="2"/>
      <c r="DN60" s="2" t="s">
        <v>303</v>
      </c>
      <c r="DO60" s="2" t="s">
        <v>331</v>
      </c>
      <c r="DP60" s="1">
        <v>0</v>
      </c>
      <c r="DQ60" s="2"/>
      <c r="DR60" s="2"/>
      <c r="DS60" s="2" t="s">
        <v>305</v>
      </c>
      <c r="DT60" s="2" t="s">
        <v>331</v>
      </c>
      <c r="DU60" s="1">
        <v>0</v>
      </c>
      <c r="DV60" s="2"/>
      <c r="DW60" s="2"/>
      <c r="DX60" s="2"/>
      <c r="DY60" s="1">
        <v>1</v>
      </c>
      <c r="DZ60" s="2" t="s">
        <v>374</v>
      </c>
      <c r="EA60" s="2" t="s">
        <v>303</v>
      </c>
      <c r="EB60" s="2" t="s">
        <v>297</v>
      </c>
      <c r="EC60" s="1">
        <v>0</v>
      </c>
      <c r="ED60" s="2"/>
      <c r="EE60" s="2"/>
      <c r="EF60" s="2" t="s">
        <v>305</v>
      </c>
      <c r="EG60" s="2" t="s">
        <v>297</v>
      </c>
      <c r="EH60" s="1">
        <v>0</v>
      </c>
      <c r="EI60" s="2"/>
      <c r="EJ60" s="2"/>
      <c r="EK60" s="2"/>
      <c r="EL60" s="1">
        <v>0</v>
      </c>
      <c r="EM60" s="2"/>
      <c r="EN60" s="1">
        <v>0</v>
      </c>
      <c r="EO60" s="2"/>
      <c r="EP60" s="2" t="s">
        <v>296</v>
      </c>
      <c r="EQ60" s="2" t="s">
        <v>296</v>
      </c>
      <c r="ER60" s="1">
        <v>0</v>
      </c>
      <c r="ES60" s="2"/>
      <c r="ET60" s="2"/>
      <c r="EU60" s="2"/>
      <c r="EV60" s="2"/>
      <c r="EW60" s="2"/>
      <c r="EX60" s="2"/>
      <c r="EY60" s="2"/>
      <c r="EZ60" s="2"/>
      <c r="FA60" s="1">
        <v>0</v>
      </c>
      <c r="FB60" s="2"/>
      <c r="FC60" s="2"/>
      <c r="FD60" s="2"/>
      <c r="FE60" s="2" t="s">
        <v>437</v>
      </c>
      <c r="FF60" s="2" t="s">
        <v>351</v>
      </c>
      <c r="FG60" s="2"/>
      <c r="FH60" s="2"/>
      <c r="FI60" s="1">
        <v>-1</v>
      </c>
      <c r="FJ60" s="1">
        <v>-1</v>
      </c>
      <c r="FK60" s="1">
        <v>-1</v>
      </c>
      <c r="FL60" s="1">
        <v>-1</v>
      </c>
      <c r="FM60" s="1">
        <v>-1</v>
      </c>
      <c r="FN60" s="1">
        <v>-1</v>
      </c>
      <c r="FO60" s="1">
        <v>-1</v>
      </c>
      <c r="FP60" s="1">
        <v>-1</v>
      </c>
      <c r="FQ60" s="1">
        <v>-1</v>
      </c>
      <c r="FR60" s="1">
        <v>-1</v>
      </c>
      <c r="FS60" s="1">
        <v>-1</v>
      </c>
      <c r="FT60" s="1">
        <v>-1</v>
      </c>
      <c r="FU60" s="1">
        <v>-1</v>
      </c>
      <c r="FV60" s="1">
        <v>-1</v>
      </c>
      <c r="FW60" s="1">
        <v>-1</v>
      </c>
      <c r="FX60" s="1">
        <v>-15</v>
      </c>
      <c r="FY60" s="3"/>
      <c r="FZ60" s="3"/>
      <c r="GA60" s="2"/>
      <c r="GB60" s="2" t="s">
        <v>320</v>
      </c>
      <c r="GC60" s="2" t="s">
        <v>277</v>
      </c>
      <c r="GD60" s="1">
        <v>15</v>
      </c>
      <c r="GE60" s="1">
        <v>15</v>
      </c>
      <c r="GF60" s="1">
        <v>53</v>
      </c>
      <c r="GG60" s="1">
        <v>28</v>
      </c>
      <c r="GH60" s="4"/>
    </row>
    <row r="61" spans="1:190" x14ac:dyDescent="0.25">
      <c r="A61" s="1">
        <v>227</v>
      </c>
      <c r="B61" s="2" t="s">
        <v>376</v>
      </c>
      <c r="C61" s="2" t="s">
        <v>279</v>
      </c>
      <c r="D61" s="2" t="s">
        <v>320</v>
      </c>
      <c r="E61" s="2" t="s">
        <v>282</v>
      </c>
      <c r="F61" s="2" t="s">
        <v>282</v>
      </c>
      <c r="G61" s="2" t="s">
        <v>282</v>
      </c>
      <c r="H61" s="2" t="s">
        <v>282</v>
      </c>
      <c r="I61" s="2" t="s">
        <v>282</v>
      </c>
      <c r="J61" s="2" t="s">
        <v>281</v>
      </c>
      <c r="K61" s="2" t="s">
        <v>282</v>
      </c>
      <c r="L61" s="2" t="s">
        <v>282</v>
      </c>
      <c r="M61" s="2" t="s">
        <v>282</v>
      </c>
      <c r="N61" s="1">
        <v>0</v>
      </c>
      <c r="O61" s="2"/>
      <c r="P61" s="2"/>
      <c r="Q61" s="2" t="s">
        <v>423</v>
      </c>
      <c r="R61" s="2"/>
      <c r="S61" s="2"/>
      <c r="T61" s="2"/>
      <c r="U61" s="2" t="s">
        <v>463</v>
      </c>
      <c r="V61" s="1">
        <v>0</v>
      </c>
      <c r="W61" s="2"/>
      <c r="X61" s="2"/>
      <c r="Y61" s="2"/>
      <c r="Z61" s="2"/>
      <c r="AA61" s="1">
        <v>0</v>
      </c>
      <c r="AB61" s="2"/>
      <c r="AC61" s="2"/>
      <c r="AD61" s="2"/>
      <c r="AE61" s="2"/>
      <c r="AF61" s="1">
        <v>0</v>
      </c>
      <c r="AG61" s="2"/>
      <c r="AH61" s="2"/>
      <c r="AI61" s="1">
        <v>0</v>
      </c>
      <c r="AJ61" s="2"/>
      <c r="AK61" s="2"/>
      <c r="AL61" s="2"/>
      <c r="AM61" s="1">
        <v>0</v>
      </c>
      <c r="AN61" s="2"/>
      <c r="AO61" s="2"/>
      <c r="AP61" s="2"/>
      <c r="AQ61" s="2"/>
      <c r="AR61" s="1">
        <v>0</v>
      </c>
      <c r="AS61" s="2"/>
      <c r="AT61" s="2"/>
      <c r="AU61" s="2"/>
      <c r="AV61" s="2"/>
      <c r="AW61" s="1">
        <v>0</v>
      </c>
      <c r="AX61" s="2"/>
      <c r="AY61" s="2"/>
      <c r="AZ61" s="1">
        <v>0</v>
      </c>
      <c r="BA61" s="2"/>
      <c r="BB61" s="2"/>
      <c r="BC61" s="2"/>
      <c r="BD61" s="2"/>
      <c r="BE61" s="1">
        <v>0</v>
      </c>
      <c r="BF61" s="2"/>
      <c r="BG61" s="2"/>
      <c r="BH61" s="2"/>
      <c r="BI61" s="2"/>
      <c r="BJ61" s="1">
        <v>0</v>
      </c>
      <c r="BK61" s="2"/>
      <c r="BL61" s="2"/>
      <c r="BM61" s="1">
        <v>0</v>
      </c>
      <c r="BN61" s="2"/>
      <c r="BO61" s="2"/>
      <c r="BP61" s="1">
        <v>1</v>
      </c>
      <c r="BQ61" s="2" t="s">
        <v>674</v>
      </c>
      <c r="BR61" s="2" t="s">
        <v>303</v>
      </c>
      <c r="BS61" s="2" t="s">
        <v>297</v>
      </c>
      <c r="BT61" s="1">
        <v>0</v>
      </c>
      <c r="BU61" s="2"/>
      <c r="BV61" s="2"/>
      <c r="BW61" s="2" t="s">
        <v>288</v>
      </c>
      <c r="BX61" s="2" t="s">
        <v>297</v>
      </c>
      <c r="BY61" s="1">
        <v>0</v>
      </c>
      <c r="BZ61" s="2"/>
      <c r="CA61" s="2"/>
      <c r="CB61" s="1">
        <v>0</v>
      </c>
      <c r="CC61" s="2"/>
      <c r="CD61" s="2" t="s">
        <v>296</v>
      </c>
      <c r="CE61" s="1">
        <v>1</v>
      </c>
      <c r="CF61" s="2" t="s">
        <v>673</v>
      </c>
      <c r="CG61" s="2"/>
      <c r="CH61" s="2" t="s">
        <v>303</v>
      </c>
      <c r="CI61" s="2" t="s">
        <v>297</v>
      </c>
      <c r="CJ61" s="1">
        <v>0</v>
      </c>
      <c r="CK61" s="2"/>
      <c r="CL61" s="2"/>
      <c r="CM61" s="2" t="s">
        <v>288</v>
      </c>
      <c r="CN61" s="2" t="s">
        <v>297</v>
      </c>
      <c r="CO61" s="1">
        <v>0</v>
      </c>
      <c r="CP61" s="2"/>
      <c r="CQ61" s="2"/>
      <c r="CR61" s="1">
        <v>0</v>
      </c>
      <c r="CS61" s="2"/>
      <c r="CT61" s="2" t="s">
        <v>296</v>
      </c>
      <c r="CU61" s="1">
        <v>0</v>
      </c>
      <c r="CV61" s="2"/>
      <c r="CW61" s="2"/>
      <c r="CX61" s="2"/>
      <c r="CY61" s="2"/>
      <c r="CZ61" s="1">
        <v>0</v>
      </c>
      <c r="DA61" s="2"/>
      <c r="DB61" s="2"/>
      <c r="DC61" s="2"/>
      <c r="DD61" s="2"/>
      <c r="DE61" s="1">
        <v>0</v>
      </c>
      <c r="DF61" s="2"/>
      <c r="DG61" s="2"/>
      <c r="DH61" s="1">
        <v>0</v>
      </c>
      <c r="DI61" s="2"/>
      <c r="DJ61" s="2"/>
      <c r="DK61" s="1">
        <v>1</v>
      </c>
      <c r="DL61" s="2" t="s">
        <v>603</v>
      </c>
      <c r="DM61" s="2"/>
      <c r="DN61" s="2" t="s">
        <v>303</v>
      </c>
      <c r="DO61" s="2" t="s">
        <v>297</v>
      </c>
      <c r="DP61" s="1">
        <v>0</v>
      </c>
      <c r="DQ61" s="2"/>
      <c r="DR61" s="2"/>
      <c r="DS61" s="2" t="s">
        <v>298</v>
      </c>
      <c r="DT61" s="2" t="s">
        <v>297</v>
      </c>
      <c r="DU61" s="1">
        <v>0</v>
      </c>
      <c r="DV61" s="2"/>
      <c r="DW61" s="2"/>
      <c r="DX61" s="2"/>
      <c r="DY61" s="1">
        <v>1</v>
      </c>
      <c r="DZ61" s="2" t="s">
        <v>374</v>
      </c>
      <c r="EA61" s="2" t="s">
        <v>303</v>
      </c>
      <c r="EB61" s="2" t="s">
        <v>297</v>
      </c>
      <c r="EC61" s="1">
        <v>0</v>
      </c>
      <c r="ED61" s="2"/>
      <c r="EE61" s="2"/>
      <c r="EF61" s="2" t="s">
        <v>305</v>
      </c>
      <c r="EG61" s="2" t="s">
        <v>297</v>
      </c>
      <c r="EH61" s="1">
        <v>0</v>
      </c>
      <c r="EI61" s="2"/>
      <c r="EJ61" s="2"/>
      <c r="EK61" s="2"/>
      <c r="EL61" s="1">
        <v>0</v>
      </c>
      <c r="EM61" s="2"/>
      <c r="EN61" s="1">
        <v>0</v>
      </c>
      <c r="EO61" s="2"/>
      <c r="EP61" s="2" t="s">
        <v>296</v>
      </c>
      <c r="EQ61" s="2" t="s">
        <v>296</v>
      </c>
      <c r="ER61" s="1">
        <v>0</v>
      </c>
      <c r="ES61" s="2"/>
      <c r="ET61" s="2"/>
      <c r="EU61" s="2"/>
      <c r="EV61" s="2"/>
      <c r="EW61" s="2"/>
      <c r="EX61" s="2"/>
      <c r="EY61" s="2"/>
      <c r="EZ61" s="2"/>
      <c r="FA61" s="1">
        <v>0</v>
      </c>
      <c r="FB61" s="2"/>
      <c r="FC61" s="2"/>
      <c r="FD61" s="2"/>
      <c r="FE61" s="2" t="s">
        <v>350</v>
      </c>
      <c r="FF61" s="2" t="s">
        <v>351</v>
      </c>
      <c r="FG61" s="2"/>
      <c r="FH61" s="2" t="s">
        <v>675</v>
      </c>
      <c r="FI61" s="1">
        <v>-1</v>
      </c>
      <c r="FJ61" s="1">
        <v>-1</v>
      </c>
      <c r="FK61" s="1">
        <v>-1</v>
      </c>
      <c r="FL61" s="1">
        <v>-1</v>
      </c>
      <c r="FM61" s="1">
        <v>-1</v>
      </c>
      <c r="FN61" s="1">
        <v>-1</v>
      </c>
      <c r="FO61" s="1">
        <v>-1</v>
      </c>
      <c r="FP61" s="1">
        <v>-1</v>
      </c>
      <c r="FQ61" s="1">
        <v>-1</v>
      </c>
      <c r="FR61" s="1">
        <v>-1</v>
      </c>
      <c r="FS61" s="1">
        <v>-1</v>
      </c>
      <c r="FT61" s="1">
        <v>-1</v>
      </c>
      <c r="FU61" s="1">
        <v>-1</v>
      </c>
      <c r="FV61" s="1">
        <v>-1</v>
      </c>
      <c r="FW61" s="1">
        <v>-1</v>
      </c>
      <c r="FX61" s="1">
        <v>-15</v>
      </c>
      <c r="FY61" s="3"/>
      <c r="FZ61" s="3"/>
      <c r="GA61" s="2"/>
      <c r="GB61" s="2" t="s">
        <v>320</v>
      </c>
      <c r="GC61" s="2" t="s">
        <v>277</v>
      </c>
      <c r="GD61" s="1">
        <v>15</v>
      </c>
      <c r="GE61" s="1">
        <v>15</v>
      </c>
      <c r="GF61" s="1">
        <v>65</v>
      </c>
      <c r="GG61" s="1">
        <v>47</v>
      </c>
      <c r="GH61" s="4"/>
    </row>
    <row r="62" spans="1:190" x14ac:dyDescent="0.25">
      <c r="A62" s="1">
        <v>229</v>
      </c>
      <c r="B62" s="2" t="s">
        <v>676</v>
      </c>
      <c r="C62" s="2" t="s">
        <v>353</v>
      </c>
      <c r="D62" s="2" t="s">
        <v>280</v>
      </c>
      <c r="E62" s="2" t="s">
        <v>281</v>
      </c>
      <c r="F62" s="2" t="s">
        <v>281</v>
      </c>
      <c r="G62" s="2" t="s">
        <v>282</v>
      </c>
      <c r="H62" s="2" t="s">
        <v>282</v>
      </c>
      <c r="I62" s="2" t="s">
        <v>282</v>
      </c>
      <c r="J62" s="2" t="s">
        <v>282</v>
      </c>
      <c r="K62" s="2" t="s">
        <v>281</v>
      </c>
      <c r="L62" s="2" t="s">
        <v>281</v>
      </c>
      <c r="M62" s="2" t="s">
        <v>282</v>
      </c>
      <c r="N62" s="1">
        <v>0</v>
      </c>
      <c r="O62" s="2"/>
      <c r="P62" s="2"/>
      <c r="Q62" s="2" t="s">
        <v>283</v>
      </c>
      <c r="R62" s="11" t="s">
        <v>322</v>
      </c>
      <c r="S62" s="2"/>
      <c r="T62" s="2"/>
      <c r="U62" s="2"/>
      <c r="V62" s="1">
        <v>1</v>
      </c>
      <c r="W62" s="2" t="s">
        <v>677</v>
      </c>
      <c r="X62" s="2"/>
      <c r="Y62" s="2" t="s">
        <v>303</v>
      </c>
      <c r="Z62" s="2" t="s">
        <v>331</v>
      </c>
      <c r="AA62" s="1">
        <v>0</v>
      </c>
      <c r="AB62" s="2"/>
      <c r="AC62" s="2"/>
      <c r="AD62" s="2" t="s">
        <v>305</v>
      </c>
      <c r="AE62" s="2" t="s">
        <v>331</v>
      </c>
      <c r="AF62" s="1">
        <v>0</v>
      </c>
      <c r="AG62" s="2"/>
      <c r="AH62" s="2"/>
      <c r="AI62" s="1">
        <v>0</v>
      </c>
      <c r="AJ62" s="2"/>
      <c r="AK62" s="2"/>
      <c r="AL62" s="2" t="s">
        <v>296</v>
      </c>
      <c r="AM62" s="1">
        <v>1</v>
      </c>
      <c r="AN62" s="2" t="s">
        <v>678</v>
      </c>
      <c r="AO62" s="2"/>
      <c r="AP62" s="2" t="s">
        <v>294</v>
      </c>
      <c r="AQ62" s="2" t="s">
        <v>287</v>
      </c>
      <c r="AR62" s="1">
        <v>0</v>
      </c>
      <c r="AS62" s="2"/>
      <c r="AT62" s="2"/>
      <c r="AU62" s="2" t="s">
        <v>288</v>
      </c>
      <c r="AV62" s="2" t="s">
        <v>287</v>
      </c>
      <c r="AW62" s="1">
        <v>0</v>
      </c>
      <c r="AX62" s="2"/>
      <c r="AY62" s="2"/>
      <c r="AZ62" s="1">
        <v>0</v>
      </c>
      <c r="BA62" s="2"/>
      <c r="BB62" s="2" t="s">
        <v>296</v>
      </c>
      <c r="BC62" s="2"/>
      <c r="BD62" s="2"/>
      <c r="BE62" s="1">
        <v>0</v>
      </c>
      <c r="BF62" s="2"/>
      <c r="BG62" s="2"/>
      <c r="BH62" s="2"/>
      <c r="BI62" s="2"/>
      <c r="BJ62" s="1">
        <v>0</v>
      </c>
      <c r="BK62" s="2"/>
      <c r="BL62" s="2"/>
      <c r="BM62" s="1">
        <v>0</v>
      </c>
      <c r="BN62" s="2"/>
      <c r="BO62" s="2"/>
      <c r="BP62" s="1">
        <v>0</v>
      </c>
      <c r="BQ62" s="2"/>
      <c r="BR62" s="2"/>
      <c r="BS62" s="2"/>
      <c r="BT62" s="1">
        <v>0</v>
      </c>
      <c r="BU62" s="2"/>
      <c r="BV62" s="2"/>
      <c r="BW62" s="2"/>
      <c r="BX62" s="2"/>
      <c r="BY62" s="1">
        <v>0</v>
      </c>
      <c r="BZ62" s="2"/>
      <c r="CA62" s="2"/>
      <c r="CB62" s="1">
        <v>0</v>
      </c>
      <c r="CC62" s="2"/>
      <c r="CD62" s="2"/>
      <c r="CE62" s="1">
        <v>1</v>
      </c>
      <c r="CF62" s="2" t="s">
        <v>679</v>
      </c>
      <c r="CG62" s="2"/>
      <c r="CH62" s="2" t="s">
        <v>303</v>
      </c>
      <c r="CI62" s="2" t="s">
        <v>331</v>
      </c>
      <c r="CJ62" s="1">
        <v>0</v>
      </c>
      <c r="CK62" s="2"/>
      <c r="CL62" s="2"/>
      <c r="CM62" s="2" t="s">
        <v>305</v>
      </c>
      <c r="CN62" s="2" t="s">
        <v>331</v>
      </c>
      <c r="CO62" s="1">
        <v>0</v>
      </c>
      <c r="CP62" s="2"/>
      <c r="CQ62" s="2"/>
      <c r="CR62" s="1">
        <v>1</v>
      </c>
      <c r="CS62" s="2" t="s">
        <v>680</v>
      </c>
      <c r="CT62" s="2" t="s">
        <v>296</v>
      </c>
      <c r="CU62" s="1">
        <v>1</v>
      </c>
      <c r="CV62" s="2" t="s">
        <v>681</v>
      </c>
      <c r="CW62" s="2"/>
      <c r="CX62" s="2" t="s">
        <v>303</v>
      </c>
      <c r="CY62" s="2" t="s">
        <v>331</v>
      </c>
      <c r="CZ62" s="1">
        <v>0</v>
      </c>
      <c r="DA62" s="2"/>
      <c r="DB62" s="2"/>
      <c r="DC62" s="2" t="s">
        <v>288</v>
      </c>
      <c r="DD62" s="2" t="s">
        <v>331</v>
      </c>
      <c r="DE62" s="1">
        <v>0</v>
      </c>
      <c r="DF62" s="2"/>
      <c r="DG62" s="2"/>
      <c r="DH62" s="1">
        <v>0</v>
      </c>
      <c r="DI62" s="2"/>
      <c r="DJ62" s="2" t="s">
        <v>299</v>
      </c>
      <c r="DK62" s="1">
        <v>1</v>
      </c>
      <c r="DL62" s="2" t="s">
        <v>362</v>
      </c>
      <c r="DM62" s="2"/>
      <c r="DN62" s="2" t="s">
        <v>303</v>
      </c>
      <c r="DO62" s="2" t="s">
        <v>331</v>
      </c>
      <c r="DP62" s="1">
        <v>0</v>
      </c>
      <c r="DQ62" s="2"/>
      <c r="DR62" s="2"/>
      <c r="DS62" s="2" t="s">
        <v>305</v>
      </c>
      <c r="DT62" s="2" t="s">
        <v>331</v>
      </c>
      <c r="DU62" s="1">
        <v>0</v>
      </c>
      <c r="DV62" s="2"/>
      <c r="DW62" s="2"/>
      <c r="DX62" s="2"/>
      <c r="DY62" s="1">
        <v>1</v>
      </c>
      <c r="DZ62" s="2" t="s">
        <v>682</v>
      </c>
      <c r="EA62" s="2" t="s">
        <v>303</v>
      </c>
      <c r="EB62" s="2" t="s">
        <v>331</v>
      </c>
      <c r="EC62" s="1">
        <v>0</v>
      </c>
      <c r="ED62" s="2"/>
      <c r="EE62" s="2"/>
      <c r="EF62" s="2" t="s">
        <v>288</v>
      </c>
      <c r="EG62" s="2" t="s">
        <v>331</v>
      </c>
      <c r="EH62" s="1">
        <v>0</v>
      </c>
      <c r="EI62" s="2"/>
      <c r="EJ62" s="2"/>
      <c r="EK62" s="2"/>
      <c r="EL62" s="1">
        <v>0</v>
      </c>
      <c r="EM62" s="2"/>
      <c r="EN62" s="1">
        <v>0</v>
      </c>
      <c r="EO62" s="2"/>
      <c r="EP62" s="2" t="s">
        <v>296</v>
      </c>
      <c r="EQ62" s="2" t="s">
        <v>296</v>
      </c>
      <c r="ER62" s="1">
        <v>0</v>
      </c>
      <c r="ES62" s="2"/>
      <c r="ET62" s="2"/>
      <c r="EU62" s="2"/>
      <c r="EV62" s="2"/>
      <c r="EW62" s="2"/>
      <c r="EX62" s="2"/>
      <c r="EY62" s="2"/>
      <c r="EZ62" s="2"/>
      <c r="FA62" s="1">
        <v>1</v>
      </c>
      <c r="FB62" s="2" t="s">
        <v>683</v>
      </c>
      <c r="FC62" s="2"/>
      <c r="FD62" s="2"/>
      <c r="FE62" s="2" t="s">
        <v>350</v>
      </c>
      <c r="FF62" s="2" t="s">
        <v>317</v>
      </c>
      <c r="FG62" s="2" t="s">
        <v>684</v>
      </c>
      <c r="FH62" s="2"/>
      <c r="FI62" s="1">
        <v>-1</v>
      </c>
      <c r="FJ62" s="1">
        <v>-1</v>
      </c>
      <c r="FK62" s="1">
        <v>-1</v>
      </c>
      <c r="FL62" s="1">
        <v>-1</v>
      </c>
      <c r="FM62" s="1">
        <v>-1</v>
      </c>
      <c r="FN62" s="1">
        <v>-1</v>
      </c>
      <c r="FO62" s="1">
        <v>-1</v>
      </c>
      <c r="FP62" s="1">
        <v>-1</v>
      </c>
      <c r="FQ62" s="1">
        <v>-1</v>
      </c>
      <c r="FR62" s="1">
        <v>-1</v>
      </c>
      <c r="FS62" s="1">
        <v>-1</v>
      </c>
      <c r="FT62" s="1">
        <v>-1</v>
      </c>
      <c r="FU62" s="1">
        <v>-1</v>
      </c>
      <c r="FV62" s="1">
        <v>-1</v>
      </c>
      <c r="FW62" s="1">
        <v>-1</v>
      </c>
      <c r="FX62" s="1">
        <v>-15</v>
      </c>
      <c r="FY62" s="3"/>
      <c r="FZ62" s="3"/>
      <c r="GA62" s="2" t="s">
        <v>319</v>
      </c>
      <c r="GB62" s="2" t="s">
        <v>320</v>
      </c>
      <c r="GC62" s="2" t="s">
        <v>277</v>
      </c>
      <c r="GD62" s="1">
        <v>15</v>
      </c>
      <c r="GE62" s="1">
        <v>15</v>
      </c>
      <c r="GF62" s="1">
        <v>49</v>
      </c>
      <c r="GG62" s="1">
        <v>25</v>
      </c>
      <c r="GH62" s="4"/>
    </row>
    <row r="63" spans="1:190" x14ac:dyDescent="0.25">
      <c r="A63" s="1">
        <v>230</v>
      </c>
      <c r="B63" s="2" t="s">
        <v>421</v>
      </c>
      <c r="C63" s="2" t="s">
        <v>279</v>
      </c>
      <c r="D63" s="2" t="s">
        <v>348</v>
      </c>
      <c r="E63" s="2" t="s">
        <v>282</v>
      </c>
      <c r="F63" s="2" t="s">
        <v>281</v>
      </c>
      <c r="G63" s="2" t="s">
        <v>282</v>
      </c>
      <c r="H63" s="2" t="s">
        <v>282</v>
      </c>
      <c r="I63" s="2" t="s">
        <v>282</v>
      </c>
      <c r="J63" s="2" t="s">
        <v>281</v>
      </c>
      <c r="K63" s="2" t="s">
        <v>281</v>
      </c>
      <c r="L63" s="2" t="s">
        <v>281</v>
      </c>
      <c r="M63" s="2" t="s">
        <v>281</v>
      </c>
      <c r="N63" s="1">
        <v>0</v>
      </c>
      <c r="O63" s="2"/>
      <c r="P63" s="2"/>
      <c r="Q63" s="2" t="s">
        <v>423</v>
      </c>
      <c r="R63" s="2"/>
      <c r="S63" s="2"/>
      <c r="T63" s="2"/>
      <c r="U63" s="12" t="s">
        <v>464</v>
      </c>
      <c r="V63" s="1">
        <v>1</v>
      </c>
      <c r="W63" s="2" t="s">
        <v>685</v>
      </c>
      <c r="X63" s="2"/>
      <c r="Y63" s="2" t="s">
        <v>303</v>
      </c>
      <c r="Z63" s="2" t="s">
        <v>297</v>
      </c>
      <c r="AA63" s="1">
        <v>1</v>
      </c>
      <c r="AB63" s="2"/>
      <c r="AC63" s="2" t="s">
        <v>302</v>
      </c>
      <c r="AD63" s="2" t="s">
        <v>288</v>
      </c>
      <c r="AE63" s="2" t="s">
        <v>331</v>
      </c>
      <c r="AF63" s="1">
        <v>1</v>
      </c>
      <c r="AG63" s="2"/>
      <c r="AH63" s="2" t="s">
        <v>686</v>
      </c>
      <c r="AI63" s="1">
        <v>1</v>
      </c>
      <c r="AJ63" s="2" t="s">
        <v>687</v>
      </c>
      <c r="AK63" s="2"/>
      <c r="AL63" s="2" t="s">
        <v>296</v>
      </c>
      <c r="AM63" s="1">
        <v>1</v>
      </c>
      <c r="AN63" s="2" t="s">
        <v>688</v>
      </c>
      <c r="AO63" s="2"/>
      <c r="AP63" s="2" t="s">
        <v>294</v>
      </c>
      <c r="AQ63" s="2" t="s">
        <v>297</v>
      </c>
      <c r="AR63" s="1">
        <v>1</v>
      </c>
      <c r="AS63" s="2"/>
      <c r="AT63" s="2" t="s">
        <v>302</v>
      </c>
      <c r="AU63" s="2" t="s">
        <v>288</v>
      </c>
      <c r="AV63" s="2" t="s">
        <v>297</v>
      </c>
      <c r="AW63" s="1">
        <v>1</v>
      </c>
      <c r="AX63" s="2"/>
      <c r="AY63" s="2" t="s">
        <v>302</v>
      </c>
      <c r="AZ63" s="1">
        <v>1</v>
      </c>
      <c r="BA63" s="2" t="s">
        <v>689</v>
      </c>
      <c r="BB63" s="2" t="s">
        <v>296</v>
      </c>
      <c r="BC63" s="2" t="s">
        <v>301</v>
      </c>
      <c r="BD63" s="2" t="s">
        <v>297</v>
      </c>
      <c r="BE63" s="1">
        <v>1</v>
      </c>
      <c r="BF63" s="2"/>
      <c r="BG63" s="2" t="s">
        <v>462</v>
      </c>
      <c r="BH63" s="2" t="s">
        <v>324</v>
      </c>
      <c r="BI63" s="2" t="s">
        <v>339</v>
      </c>
      <c r="BJ63" s="1">
        <v>1</v>
      </c>
      <c r="BK63" s="2"/>
      <c r="BL63" s="2" t="s">
        <v>297</v>
      </c>
      <c r="BM63" s="1">
        <v>1</v>
      </c>
      <c r="BN63" s="2" t="s">
        <v>690</v>
      </c>
      <c r="BO63" s="2" t="s">
        <v>296</v>
      </c>
      <c r="BP63" s="1">
        <v>1</v>
      </c>
      <c r="BQ63" s="2" t="s">
        <v>691</v>
      </c>
      <c r="BR63" s="2" t="s">
        <v>294</v>
      </c>
      <c r="BS63" s="2" t="s">
        <v>302</v>
      </c>
      <c r="BT63" s="1">
        <v>1</v>
      </c>
      <c r="BU63" s="2"/>
      <c r="BV63" s="2" t="s">
        <v>297</v>
      </c>
      <c r="BW63" s="2" t="s">
        <v>305</v>
      </c>
      <c r="BX63" s="2" t="s">
        <v>302</v>
      </c>
      <c r="BY63" s="1">
        <v>1</v>
      </c>
      <c r="BZ63" s="2"/>
      <c r="CA63" s="2" t="s">
        <v>297</v>
      </c>
      <c r="CB63" s="1">
        <v>1</v>
      </c>
      <c r="CC63" s="2" t="s">
        <v>689</v>
      </c>
      <c r="CD63" s="2" t="s">
        <v>299</v>
      </c>
      <c r="CE63" s="1">
        <v>1</v>
      </c>
      <c r="CF63" s="2" t="s">
        <v>358</v>
      </c>
      <c r="CG63" s="2"/>
      <c r="CH63" s="2" t="s">
        <v>294</v>
      </c>
      <c r="CI63" s="2" t="s">
        <v>297</v>
      </c>
      <c r="CJ63" s="1">
        <v>1</v>
      </c>
      <c r="CK63" s="2"/>
      <c r="CL63" s="2" t="s">
        <v>302</v>
      </c>
      <c r="CM63" s="2" t="s">
        <v>305</v>
      </c>
      <c r="CN63" s="2" t="s">
        <v>302</v>
      </c>
      <c r="CO63" s="1">
        <v>1</v>
      </c>
      <c r="CP63" s="2"/>
      <c r="CQ63" s="2" t="s">
        <v>297</v>
      </c>
      <c r="CR63" s="1">
        <v>1</v>
      </c>
      <c r="CS63" s="2" t="s">
        <v>689</v>
      </c>
      <c r="CT63" s="2" t="s">
        <v>299</v>
      </c>
      <c r="CU63" s="1">
        <v>1</v>
      </c>
      <c r="CV63" s="2" t="s">
        <v>692</v>
      </c>
      <c r="CW63" s="2"/>
      <c r="CX63" s="2" t="s">
        <v>301</v>
      </c>
      <c r="CY63" s="2" t="s">
        <v>339</v>
      </c>
      <c r="CZ63" s="1">
        <v>1</v>
      </c>
      <c r="DA63" s="2"/>
      <c r="DB63" s="2" t="s">
        <v>297</v>
      </c>
      <c r="DC63" s="2" t="s">
        <v>324</v>
      </c>
      <c r="DD63" s="2" t="s">
        <v>339</v>
      </c>
      <c r="DE63" s="1">
        <v>1</v>
      </c>
      <c r="DF63" s="2"/>
      <c r="DG63" s="2" t="s">
        <v>297</v>
      </c>
      <c r="DH63" s="1">
        <v>1</v>
      </c>
      <c r="DI63" s="2" t="s">
        <v>690</v>
      </c>
      <c r="DJ63" s="2" t="s">
        <v>296</v>
      </c>
      <c r="DK63" s="1">
        <v>1</v>
      </c>
      <c r="DL63" s="2" t="s">
        <v>603</v>
      </c>
      <c r="DM63" s="2"/>
      <c r="DN63" s="2" t="s">
        <v>303</v>
      </c>
      <c r="DO63" s="2" t="s">
        <v>331</v>
      </c>
      <c r="DP63" s="1">
        <v>1</v>
      </c>
      <c r="DQ63" s="2"/>
      <c r="DR63" s="2" t="s">
        <v>406</v>
      </c>
      <c r="DS63" s="2" t="s">
        <v>298</v>
      </c>
      <c r="DT63" s="2" t="s">
        <v>331</v>
      </c>
      <c r="DU63" s="1">
        <v>1</v>
      </c>
      <c r="DV63" s="2"/>
      <c r="DW63" s="2" t="s">
        <v>406</v>
      </c>
      <c r="DX63" s="2" t="s">
        <v>412</v>
      </c>
      <c r="DY63" s="1">
        <v>1</v>
      </c>
      <c r="DZ63" s="2" t="s">
        <v>345</v>
      </c>
      <c r="EA63" s="2" t="s">
        <v>294</v>
      </c>
      <c r="EB63" s="2" t="s">
        <v>331</v>
      </c>
      <c r="EC63" s="1">
        <v>1</v>
      </c>
      <c r="ED63" s="2" t="s">
        <v>406</v>
      </c>
      <c r="EE63" s="2"/>
      <c r="EF63" s="2" t="s">
        <v>305</v>
      </c>
      <c r="EG63" s="2" t="s">
        <v>331</v>
      </c>
      <c r="EH63" s="1">
        <v>1</v>
      </c>
      <c r="EI63" s="2"/>
      <c r="EJ63" s="2" t="s">
        <v>287</v>
      </c>
      <c r="EK63" s="2" t="s">
        <v>460</v>
      </c>
      <c r="EL63" s="1">
        <v>1</v>
      </c>
      <c r="EM63" s="2" t="s">
        <v>406</v>
      </c>
      <c r="EN63" s="1">
        <v>1</v>
      </c>
      <c r="EO63" s="2" t="s">
        <v>689</v>
      </c>
      <c r="EP63" s="2" t="s">
        <v>328</v>
      </c>
      <c r="EQ63" s="2" t="s">
        <v>296</v>
      </c>
      <c r="ER63" s="1">
        <v>1</v>
      </c>
      <c r="ES63" s="2"/>
      <c r="ET63" s="2" t="s">
        <v>404</v>
      </c>
      <c r="EU63" s="2"/>
      <c r="EV63" s="2"/>
      <c r="EW63" s="2" t="s">
        <v>404</v>
      </c>
      <c r="EX63" s="2"/>
      <c r="EY63" s="2"/>
      <c r="EZ63" s="2"/>
      <c r="FA63" s="1">
        <v>0</v>
      </c>
      <c r="FB63" s="2"/>
      <c r="FC63" s="2"/>
      <c r="FD63" s="2"/>
      <c r="FE63" s="2" t="s">
        <v>346</v>
      </c>
      <c r="FF63" s="2" t="s">
        <v>317</v>
      </c>
      <c r="FG63" s="2" t="s">
        <v>693</v>
      </c>
      <c r="FH63" s="2"/>
      <c r="FI63" s="1">
        <v>-1</v>
      </c>
      <c r="FJ63" s="1">
        <v>-1</v>
      </c>
      <c r="FK63" s="1">
        <v>-1</v>
      </c>
      <c r="FL63" s="1">
        <v>-1</v>
      </c>
      <c r="FM63" s="1">
        <v>-1</v>
      </c>
      <c r="FN63" s="1">
        <v>-1</v>
      </c>
      <c r="FO63" s="1">
        <v>-1</v>
      </c>
      <c r="FP63" s="1">
        <v>-1</v>
      </c>
      <c r="FQ63" s="1">
        <v>-1</v>
      </c>
      <c r="FR63" s="1">
        <v>-1</v>
      </c>
      <c r="FS63" s="1">
        <v>-1</v>
      </c>
      <c r="FT63" s="1">
        <v>-1</v>
      </c>
      <c r="FU63" s="1">
        <v>-1</v>
      </c>
      <c r="FV63" s="1">
        <v>-1</v>
      </c>
      <c r="FW63" s="1">
        <v>-1</v>
      </c>
      <c r="FX63" s="1">
        <v>-15</v>
      </c>
      <c r="FY63" s="3"/>
      <c r="FZ63" s="3"/>
      <c r="GA63" s="2" t="s">
        <v>319</v>
      </c>
      <c r="GB63" s="2" t="s">
        <v>320</v>
      </c>
      <c r="GC63" s="2" t="s">
        <v>277</v>
      </c>
      <c r="GD63" s="1">
        <v>15</v>
      </c>
      <c r="GE63" s="1">
        <v>15</v>
      </c>
      <c r="GF63" s="1">
        <v>7</v>
      </c>
      <c r="GG63" s="1">
        <v>2</v>
      </c>
      <c r="GH63" s="4"/>
    </row>
    <row r="64" spans="1:190" x14ac:dyDescent="0.25">
      <c r="A64" s="1">
        <v>231</v>
      </c>
      <c r="B64" s="2" t="s">
        <v>376</v>
      </c>
      <c r="C64" s="2" t="s">
        <v>353</v>
      </c>
      <c r="D64" s="2" t="s">
        <v>377</v>
      </c>
      <c r="E64" s="2" t="s">
        <v>281</v>
      </c>
      <c r="F64" s="2" t="s">
        <v>281</v>
      </c>
      <c r="G64" s="2" t="s">
        <v>282</v>
      </c>
      <c r="H64" s="2" t="s">
        <v>282</v>
      </c>
      <c r="I64" s="2" t="s">
        <v>282</v>
      </c>
      <c r="J64" s="2" t="s">
        <v>281</v>
      </c>
      <c r="K64" s="2" t="s">
        <v>282</v>
      </c>
      <c r="L64" s="2" t="s">
        <v>282</v>
      </c>
      <c r="M64" s="2" t="s">
        <v>282</v>
      </c>
      <c r="N64" s="1">
        <v>0</v>
      </c>
      <c r="O64" s="2"/>
      <c r="P64" s="2"/>
      <c r="Q64" s="2" t="s">
        <v>423</v>
      </c>
      <c r="R64" s="2"/>
      <c r="S64" s="2"/>
      <c r="T64" s="2"/>
      <c r="U64" s="12" t="s">
        <v>464</v>
      </c>
      <c r="V64" s="1">
        <v>1</v>
      </c>
      <c r="W64" s="2" t="s">
        <v>694</v>
      </c>
      <c r="X64" s="2"/>
      <c r="Y64" s="2" t="s">
        <v>301</v>
      </c>
      <c r="Z64" s="2" t="s">
        <v>297</v>
      </c>
      <c r="AA64" s="1">
        <v>0</v>
      </c>
      <c r="AB64" s="2"/>
      <c r="AC64" s="2"/>
      <c r="AD64" s="2" t="s">
        <v>288</v>
      </c>
      <c r="AE64" s="2" t="s">
        <v>521</v>
      </c>
      <c r="AF64" s="1">
        <v>0</v>
      </c>
      <c r="AG64" s="2"/>
      <c r="AH64" s="2"/>
      <c r="AI64" s="1">
        <v>0</v>
      </c>
      <c r="AJ64" s="2"/>
      <c r="AK64" s="2"/>
      <c r="AL64" s="2" t="s">
        <v>296</v>
      </c>
      <c r="AM64" s="1">
        <v>1</v>
      </c>
      <c r="AN64" s="2" t="s">
        <v>405</v>
      </c>
      <c r="AO64" s="2"/>
      <c r="AP64" s="2" t="s">
        <v>303</v>
      </c>
      <c r="AQ64" s="2" t="s">
        <v>297</v>
      </c>
      <c r="AR64" s="1">
        <v>0</v>
      </c>
      <c r="AS64" s="2"/>
      <c r="AT64" s="2"/>
      <c r="AU64" s="2" t="s">
        <v>288</v>
      </c>
      <c r="AV64" s="2" t="s">
        <v>287</v>
      </c>
      <c r="AW64" s="1">
        <v>0</v>
      </c>
      <c r="AX64" s="2"/>
      <c r="AY64" s="2"/>
      <c r="AZ64" s="1">
        <v>0</v>
      </c>
      <c r="BA64" s="2"/>
      <c r="BB64" s="2" t="s">
        <v>296</v>
      </c>
      <c r="BC64" s="2" t="s">
        <v>294</v>
      </c>
      <c r="BD64" s="2" t="s">
        <v>297</v>
      </c>
      <c r="BE64" s="1">
        <v>0</v>
      </c>
      <c r="BF64" s="2"/>
      <c r="BG64" s="2"/>
      <c r="BH64" s="2" t="s">
        <v>305</v>
      </c>
      <c r="BI64" s="2" t="s">
        <v>302</v>
      </c>
      <c r="BJ64" s="1">
        <v>0</v>
      </c>
      <c r="BK64" s="2"/>
      <c r="BL64" s="2"/>
      <c r="BM64" s="1">
        <v>0</v>
      </c>
      <c r="BN64" s="2"/>
      <c r="BO64" s="2" t="s">
        <v>296</v>
      </c>
      <c r="BP64" s="1">
        <v>1</v>
      </c>
      <c r="BQ64" s="2" t="s">
        <v>588</v>
      </c>
      <c r="BR64" s="2" t="s">
        <v>294</v>
      </c>
      <c r="BS64" s="2" t="s">
        <v>297</v>
      </c>
      <c r="BT64" s="1">
        <v>0</v>
      </c>
      <c r="BU64" s="2"/>
      <c r="BV64" s="2"/>
      <c r="BW64" s="2" t="s">
        <v>288</v>
      </c>
      <c r="BX64" s="2" t="s">
        <v>297</v>
      </c>
      <c r="BY64" s="1">
        <v>0</v>
      </c>
      <c r="BZ64" s="2"/>
      <c r="CA64" s="2"/>
      <c r="CB64" s="1">
        <v>0</v>
      </c>
      <c r="CC64" s="2"/>
      <c r="CD64" s="2" t="s">
        <v>296</v>
      </c>
      <c r="CE64" s="1">
        <v>1</v>
      </c>
      <c r="CF64" s="2" t="s">
        <v>358</v>
      </c>
      <c r="CG64" s="2"/>
      <c r="CH64" s="2" t="s">
        <v>303</v>
      </c>
      <c r="CI64" s="2" t="s">
        <v>302</v>
      </c>
      <c r="CJ64" s="1">
        <v>0</v>
      </c>
      <c r="CK64" s="2"/>
      <c r="CL64" s="2"/>
      <c r="CM64" s="2" t="s">
        <v>305</v>
      </c>
      <c r="CN64" s="2" t="s">
        <v>302</v>
      </c>
      <c r="CO64" s="1">
        <v>0</v>
      </c>
      <c r="CP64" s="2"/>
      <c r="CQ64" s="2"/>
      <c r="CR64" s="1">
        <v>0</v>
      </c>
      <c r="CS64" s="2"/>
      <c r="CT64" s="2" t="s">
        <v>296</v>
      </c>
      <c r="CU64" s="1">
        <v>1</v>
      </c>
      <c r="CV64" s="2" t="s">
        <v>695</v>
      </c>
      <c r="CW64" s="2"/>
      <c r="CX64" s="2" t="s">
        <v>301</v>
      </c>
      <c r="CY64" s="2" t="s">
        <v>297</v>
      </c>
      <c r="CZ64" s="1">
        <v>0</v>
      </c>
      <c r="DA64" s="2"/>
      <c r="DB64" s="2"/>
      <c r="DC64" s="2" t="s">
        <v>324</v>
      </c>
      <c r="DD64" s="2" t="s">
        <v>302</v>
      </c>
      <c r="DE64" s="1">
        <v>0</v>
      </c>
      <c r="DF64" s="2"/>
      <c r="DG64" s="2"/>
      <c r="DH64" s="1">
        <v>0</v>
      </c>
      <c r="DI64" s="2"/>
      <c r="DJ64" s="2" t="s">
        <v>296</v>
      </c>
      <c r="DK64" s="1">
        <v>1</v>
      </c>
      <c r="DL64" s="2" t="s">
        <v>696</v>
      </c>
      <c r="DM64" s="2"/>
      <c r="DN64" s="2" t="s">
        <v>303</v>
      </c>
      <c r="DO64" s="2" t="s">
        <v>331</v>
      </c>
      <c r="DP64" s="1">
        <v>0</v>
      </c>
      <c r="DQ64" s="2"/>
      <c r="DR64" s="2"/>
      <c r="DS64" s="2" t="s">
        <v>298</v>
      </c>
      <c r="DT64" s="2" t="s">
        <v>331</v>
      </c>
      <c r="DU64" s="1">
        <v>0</v>
      </c>
      <c r="DV64" s="2"/>
      <c r="DW64" s="2"/>
      <c r="DX64" s="2"/>
      <c r="DY64" s="1">
        <v>1</v>
      </c>
      <c r="DZ64" s="2" t="s">
        <v>697</v>
      </c>
      <c r="EA64" s="2" t="s">
        <v>294</v>
      </c>
      <c r="EB64" s="2" t="s">
        <v>302</v>
      </c>
      <c r="EC64" s="1">
        <v>0</v>
      </c>
      <c r="ED64" s="2"/>
      <c r="EE64" s="2"/>
      <c r="EF64" s="2" t="s">
        <v>305</v>
      </c>
      <c r="EG64" s="2" t="s">
        <v>302</v>
      </c>
      <c r="EH64" s="1">
        <v>0</v>
      </c>
      <c r="EI64" s="2"/>
      <c r="EJ64" s="2"/>
      <c r="EK64" s="2"/>
      <c r="EL64" s="1">
        <v>0</v>
      </c>
      <c r="EM64" s="2"/>
      <c r="EN64" s="1">
        <v>0</v>
      </c>
      <c r="EO64" s="2"/>
      <c r="EP64" s="2" t="s">
        <v>292</v>
      </c>
      <c r="EQ64" s="2" t="s">
        <v>328</v>
      </c>
      <c r="ER64" s="1">
        <v>0</v>
      </c>
      <c r="ES64" s="2"/>
      <c r="ET64" s="2"/>
      <c r="EU64" s="2"/>
      <c r="EV64" s="2"/>
      <c r="EW64" s="2"/>
      <c r="EX64" s="2"/>
      <c r="EY64" s="2"/>
      <c r="EZ64" s="2"/>
      <c r="FA64" s="1">
        <v>1</v>
      </c>
      <c r="FB64" s="2" t="s">
        <v>698</v>
      </c>
      <c r="FC64" s="2"/>
      <c r="FD64" s="2"/>
      <c r="FE64" s="2" t="s">
        <v>350</v>
      </c>
      <c r="FF64" s="2" t="s">
        <v>335</v>
      </c>
      <c r="FG64" s="2"/>
      <c r="FH64" s="2"/>
      <c r="FI64" s="1">
        <v>-1</v>
      </c>
      <c r="FJ64" s="1">
        <v>-1</v>
      </c>
      <c r="FK64" s="1">
        <v>-1</v>
      </c>
      <c r="FL64" s="1">
        <v>-1</v>
      </c>
      <c r="FM64" s="1">
        <v>-1</v>
      </c>
      <c r="FN64" s="1">
        <v>-1</v>
      </c>
      <c r="FO64" s="1">
        <v>-1</v>
      </c>
      <c r="FP64" s="1">
        <v>-1</v>
      </c>
      <c r="FQ64" s="1">
        <v>-1</v>
      </c>
      <c r="FR64" s="1">
        <v>-1</v>
      </c>
      <c r="FS64" s="1">
        <v>-1</v>
      </c>
      <c r="FT64" s="1">
        <v>-1</v>
      </c>
      <c r="FU64" s="1">
        <v>-1</v>
      </c>
      <c r="FV64" s="1">
        <v>-1</v>
      </c>
      <c r="FW64" s="1">
        <v>-1</v>
      </c>
      <c r="FX64" s="1">
        <v>-15</v>
      </c>
      <c r="FY64" s="3"/>
      <c r="FZ64" s="3"/>
      <c r="GA64" s="2" t="s">
        <v>319</v>
      </c>
      <c r="GB64" s="2" t="s">
        <v>320</v>
      </c>
      <c r="GC64" s="2" t="s">
        <v>277</v>
      </c>
      <c r="GD64" s="1">
        <v>15</v>
      </c>
      <c r="GE64" s="1">
        <v>15</v>
      </c>
      <c r="GF64" s="1">
        <v>38</v>
      </c>
      <c r="GG64" s="1">
        <v>10</v>
      </c>
      <c r="GH64" s="4"/>
    </row>
    <row r="65" spans="1:190" x14ac:dyDescent="0.25">
      <c r="A65" s="1">
        <v>232</v>
      </c>
      <c r="B65" s="2" t="s">
        <v>676</v>
      </c>
      <c r="C65" s="2" t="s">
        <v>279</v>
      </c>
      <c r="D65" s="2" t="s">
        <v>320</v>
      </c>
      <c r="E65" s="2" t="s">
        <v>282</v>
      </c>
      <c r="F65" s="2" t="s">
        <v>282</v>
      </c>
      <c r="G65" s="2" t="s">
        <v>281</v>
      </c>
      <c r="H65" s="2" t="s">
        <v>282</v>
      </c>
      <c r="I65" s="2" t="s">
        <v>282</v>
      </c>
      <c r="J65" s="2" t="s">
        <v>282</v>
      </c>
      <c r="K65" s="2" t="s">
        <v>282</v>
      </c>
      <c r="L65" s="2" t="s">
        <v>282</v>
      </c>
      <c r="M65" s="2" t="s">
        <v>282</v>
      </c>
      <c r="N65" s="1">
        <v>0</v>
      </c>
      <c r="O65" s="2"/>
      <c r="P65" s="2"/>
      <c r="Q65" s="2" t="s">
        <v>423</v>
      </c>
      <c r="R65" s="2"/>
      <c r="S65" s="2"/>
      <c r="T65" s="2"/>
      <c r="U65" s="12" t="s">
        <v>464</v>
      </c>
      <c r="V65" s="1">
        <v>1</v>
      </c>
      <c r="W65" s="2" t="s">
        <v>694</v>
      </c>
      <c r="X65" s="2"/>
      <c r="Y65" s="2" t="s">
        <v>294</v>
      </c>
      <c r="Z65" s="2" t="s">
        <v>297</v>
      </c>
      <c r="AA65" s="1">
        <v>0</v>
      </c>
      <c r="AB65" s="2"/>
      <c r="AC65" s="2"/>
      <c r="AD65" s="2" t="s">
        <v>288</v>
      </c>
      <c r="AE65" s="2" t="s">
        <v>521</v>
      </c>
      <c r="AF65" s="1">
        <v>0</v>
      </c>
      <c r="AG65" s="2"/>
      <c r="AH65" s="2"/>
      <c r="AI65" s="1">
        <v>0</v>
      </c>
      <c r="AJ65" s="2"/>
      <c r="AK65" s="2"/>
      <c r="AL65" s="2" t="s">
        <v>296</v>
      </c>
      <c r="AM65" s="1">
        <v>1</v>
      </c>
      <c r="AN65" s="2" t="s">
        <v>699</v>
      </c>
      <c r="AO65" s="2"/>
      <c r="AP65" s="2" t="s">
        <v>303</v>
      </c>
      <c r="AQ65" s="2" t="s">
        <v>297</v>
      </c>
      <c r="AR65" s="1">
        <v>0</v>
      </c>
      <c r="AS65" s="2"/>
      <c r="AT65" s="2"/>
      <c r="AU65" s="2" t="s">
        <v>288</v>
      </c>
      <c r="AV65" s="2" t="s">
        <v>287</v>
      </c>
      <c r="AW65" s="1">
        <v>0</v>
      </c>
      <c r="AX65" s="2"/>
      <c r="AY65" s="2"/>
      <c r="AZ65" s="1">
        <v>0</v>
      </c>
      <c r="BA65" s="2"/>
      <c r="BB65" s="2" t="s">
        <v>296</v>
      </c>
      <c r="BC65" s="2" t="s">
        <v>303</v>
      </c>
      <c r="BD65" s="2" t="s">
        <v>331</v>
      </c>
      <c r="BE65" s="1">
        <v>0</v>
      </c>
      <c r="BF65" s="2"/>
      <c r="BG65" s="2"/>
      <c r="BH65" s="2" t="s">
        <v>298</v>
      </c>
      <c r="BI65" s="2" t="s">
        <v>331</v>
      </c>
      <c r="BJ65" s="1">
        <v>0</v>
      </c>
      <c r="BK65" s="2"/>
      <c r="BL65" s="2"/>
      <c r="BM65" s="1">
        <v>0</v>
      </c>
      <c r="BN65" s="2"/>
      <c r="BO65" s="2" t="s">
        <v>296</v>
      </c>
      <c r="BP65" s="1">
        <v>1</v>
      </c>
      <c r="BQ65" s="2" t="s">
        <v>588</v>
      </c>
      <c r="BR65" s="2" t="s">
        <v>294</v>
      </c>
      <c r="BS65" s="2" t="s">
        <v>297</v>
      </c>
      <c r="BT65" s="1">
        <v>0</v>
      </c>
      <c r="BU65" s="2"/>
      <c r="BV65" s="2"/>
      <c r="BW65" s="2" t="s">
        <v>288</v>
      </c>
      <c r="BX65" s="2" t="s">
        <v>297</v>
      </c>
      <c r="BY65" s="1">
        <v>0</v>
      </c>
      <c r="BZ65" s="2"/>
      <c r="CA65" s="2"/>
      <c r="CB65" s="1">
        <v>0</v>
      </c>
      <c r="CC65" s="2"/>
      <c r="CD65" s="2" t="s">
        <v>296</v>
      </c>
      <c r="CE65" s="1">
        <v>1</v>
      </c>
      <c r="CF65" s="2" t="s">
        <v>359</v>
      </c>
      <c r="CG65" s="2"/>
      <c r="CH65" s="2" t="s">
        <v>303</v>
      </c>
      <c r="CI65" s="2" t="s">
        <v>297</v>
      </c>
      <c r="CJ65" s="1">
        <v>0</v>
      </c>
      <c r="CK65" s="2"/>
      <c r="CL65" s="2"/>
      <c r="CM65" s="2" t="s">
        <v>305</v>
      </c>
      <c r="CN65" s="2" t="s">
        <v>287</v>
      </c>
      <c r="CO65" s="1">
        <v>0</v>
      </c>
      <c r="CP65" s="2"/>
      <c r="CQ65" s="2"/>
      <c r="CR65" s="1">
        <v>0</v>
      </c>
      <c r="CS65" s="2"/>
      <c r="CT65" s="2" t="s">
        <v>296</v>
      </c>
      <c r="CU65" s="1">
        <v>1</v>
      </c>
      <c r="CV65" s="2" t="s">
        <v>700</v>
      </c>
      <c r="CW65" s="2"/>
      <c r="CX65" s="2" t="s">
        <v>303</v>
      </c>
      <c r="CY65" s="2" t="s">
        <v>302</v>
      </c>
      <c r="CZ65" s="1">
        <v>0</v>
      </c>
      <c r="DA65" s="2"/>
      <c r="DB65" s="2"/>
      <c r="DC65" s="2" t="s">
        <v>305</v>
      </c>
      <c r="DD65" s="2" t="s">
        <v>302</v>
      </c>
      <c r="DE65" s="1">
        <v>0</v>
      </c>
      <c r="DF65" s="2"/>
      <c r="DG65" s="2"/>
      <c r="DH65" s="1">
        <v>0</v>
      </c>
      <c r="DI65" s="2"/>
      <c r="DJ65" s="2" t="s">
        <v>296</v>
      </c>
      <c r="DK65" s="1">
        <v>1</v>
      </c>
      <c r="DL65" s="2" t="s">
        <v>696</v>
      </c>
      <c r="DM65" s="2"/>
      <c r="DN65" s="2" t="s">
        <v>303</v>
      </c>
      <c r="DO65" s="2" t="s">
        <v>331</v>
      </c>
      <c r="DP65" s="1">
        <v>0</v>
      </c>
      <c r="DQ65" s="2"/>
      <c r="DR65" s="2"/>
      <c r="DS65" s="2" t="s">
        <v>298</v>
      </c>
      <c r="DT65" s="2" t="s">
        <v>331</v>
      </c>
      <c r="DU65" s="1">
        <v>0</v>
      </c>
      <c r="DV65" s="2"/>
      <c r="DW65" s="2"/>
      <c r="DX65" s="2"/>
      <c r="DY65" s="1">
        <v>1</v>
      </c>
      <c r="DZ65" s="2" t="s">
        <v>697</v>
      </c>
      <c r="EA65" s="2" t="s">
        <v>294</v>
      </c>
      <c r="EB65" s="2" t="s">
        <v>302</v>
      </c>
      <c r="EC65" s="1">
        <v>0</v>
      </c>
      <c r="ED65" s="2"/>
      <c r="EE65" s="2"/>
      <c r="EF65" s="2" t="s">
        <v>305</v>
      </c>
      <c r="EG65" s="2" t="s">
        <v>302</v>
      </c>
      <c r="EH65" s="1">
        <v>0</v>
      </c>
      <c r="EI65" s="2"/>
      <c r="EJ65" s="2"/>
      <c r="EK65" s="2"/>
      <c r="EL65" s="1">
        <v>0</v>
      </c>
      <c r="EM65" s="2"/>
      <c r="EN65" s="1">
        <v>0</v>
      </c>
      <c r="EO65" s="2"/>
      <c r="EP65" s="2" t="s">
        <v>292</v>
      </c>
      <c r="EQ65" s="2" t="s">
        <v>328</v>
      </c>
      <c r="ER65" s="1">
        <v>0</v>
      </c>
      <c r="ES65" s="2"/>
      <c r="ET65" s="2"/>
      <c r="EU65" s="2"/>
      <c r="EV65" s="2"/>
      <c r="EW65" s="2"/>
      <c r="EX65" s="2"/>
      <c r="EY65" s="2"/>
      <c r="EZ65" s="2"/>
      <c r="FA65" s="1">
        <v>1</v>
      </c>
      <c r="FB65" s="2" t="s">
        <v>701</v>
      </c>
      <c r="FC65" s="2"/>
      <c r="FD65" s="2"/>
      <c r="FE65" s="2" t="s">
        <v>437</v>
      </c>
      <c r="FF65" s="2" t="s">
        <v>335</v>
      </c>
      <c r="FG65" s="2"/>
      <c r="FH65" s="2"/>
      <c r="FI65" s="1">
        <v>-1</v>
      </c>
      <c r="FJ65" s="1">
        <v>-1</v>
      </c>
      <c r="FK65" s="1">
        <v>-1</v>
      </c>
      <c r="FL65" s="1">
        <v>-1</v>
      </c>
      <c r="FM65" s="1">
        <v>-1</v>
      </c>
      <c r="FN65" s="1">
        <v>-1</v>
      </c>
      <c r="FO65" s="1">
        <v>-1</v>
      </c>
      <c r="FP65" s="1">
        <v>-1</v>
      </c>
      <c r="FQ65" s="1">
        <v>-1</v>
      </c>
      <c r="FR65" s="1">
        <v>-1</v>
      </c>
      <c r="FS65" s="1">
        <v>-1</v>
      </c>
      <c r="FT65" s="1">
        <v>-1</v>
      </c>
      <c r="FU65" s="1">
        <v>-1</v>
      </c>
      <c r="FV65" s="1">
        <v>-1</v>
      </c>
      <c r="FW65" s="1">
        <v>-1</v>
      </c>
      <c r="FX65" s="1">
        <v>-15</v>
      </c>
      <c r="FY65" s="3"/>
      <c r="FZ65" s="3"/>
      <c r="GA65" s="2" t="s">
        <v>319</v>
      </c>
      <c r="GB65" s="2" t="s">
        <v>320</v>
      </c>
      <c r="GC65" s="2" t="s">
        <v>277</v>
      </c>
      <c r="GD65" s="1">
        <v>15</v>
      </c>
      <c r="GE65" s="1">
        <v>15</v>
      </c>
      <c r="GF65" s="1">
        <v>38</v>
      </c>
      <c r="GG65" s="1">
        <v>10</v>
      </c>
      <c r="GH65" s="4"/>
    </row>
    <row r="66" spans="1:190" x14ac:dyDescent="0.25">
      <c r="A66" s="1">
        <v>240</v>
      </c>
      <c r="B66" s="2" t="s">
        <v>321</v>
      </c>
      <c r="C66" s="2" t="s">
        <v>279</v>
      </c>
      <c r="D66" s="2" t="s">
        <v>422</v>
      </c>
      <c r="E66" s="2" t="s">
        <v>282</v>
      </c>
      <c r="F66" s="2" t="s">
        <v>281</v>
      </c>
      <c r="G66" s="2" t="s">
        <v>282</v>
      </c>
      <c r="H66" s="2" t="s">
        <v>282</v>
      </c>
      <c r="I66" s="2" t="s">
        <v>282</v>
      </c>
      <c r="J66" s="2" t="s">
        <v>281</v>
      </c>
      <c r="K66" s="2" t="s">
        <v>282</v>
      </c>
      <c r="L66" s="2" t="s">
        <v>282</v>
      </c>
      <c r="M66" s="2" t="s">
        <v>282</v>
      </c>
      <c r="N66" s="1">
        <v>0</v>
      </c>
      <c r="O66" s="2"/>
      <c r="P66" s="2"/>
      <c r="Q66" s="2" t="s">
        <v>423</v>
      </c>
      <c r="R66" s="2"/>
      <c r="S66" s="2"/>
      <c r="T66" s="2"/>
      <c r="U66" s="12" t="s">
        <v>424</v>
      </c>
      <c r="V66" s="1">
        <v>1</v>
      </c>
      <c r="W66" s="2" t="s">
        <v>702</v>
      </c>
      <c r="X66" s="2"/>
      <c r="Y66" s="2" t="s">
        <v>294</v>
      </c>
      <c r="Z66" s="2" t="s">
        <v>297</v>
      </c>
      <c r="AA66" s="1">
        <v>0</v>
      </c>
      <c r="AB66" s="2"/>
      <c r="AC66" s="2"/>
      <c r="AD66" s="2" t="s">
        <v>305</v>
      </c>
      <c r="AE66" s="2" t="s">
        <v>302</v>
      </c>
      <c r="AF66" s="1">
        <v>0</v>
      </c>
      <c r="AG66" s="2"/>
      <c r="AH66" s="2"/>
      <c r="AI66" s="1">
        <v>1</v>
      </c>
      <c r="AJ66" s="2" t="s">
        <v>703</v>
      </c>
      <c r="AK66" s="2"/>
      <c r="AL66" s="2" t="s">
        <v>299</v>
      </c>
      <c r="AM66" s="1">
        <v>1</v>
      </c>
      <c r="AN66" s="2" t="s">
        <v>405</v>
      </c>
      <c r="AO66" s="2"/>
      <c r="AP66" s="2" t="s">
        <v>294</v>
      </c>
      <c r="AQ66" s="2" t="s">
        <v>287</v>
      </c>
      <c r="AR66" s="1">
        <v>0</v>
      </c>
      <c r="AS66" s="2"/>
      <c r="AT66" s="2"/>
      <c r="AU66" s="2" t="s">
        <v>288</v>
      </c>
      <c r="AV66" s="2" t="s">
        <v>302</v>
      </c>
      <c r="AW66" s="1">
        <v>0</v>
      </c>
      <c r="AX66" s="2"/>
      <c r="AY66" s="2"/>
      <c r="AZ66" s="1">
        <v>0</v>
      </c>
      <c r="BA66" s="2"/>
      <c r="BB66" s="2" t="s">
        <v>328</v>
      </c>
      <c r="BC66" s="2" t="s">
        <v>294</v>
      </c>
      <c r="BD66" s="2" t="s">
        <v>297</v>
      </c>
      <c r="BE66" s="1">
        <v>0</v>
      </c>
      <c r="BF66" s="2"/>
      <c r="BG66" s="2"/>
      <c r="BH66" s="2" t="s">
        <v>288</v>
      </c>
      <c r="BI66" s="2" t="s">
        <v>302</v>
      </c>
      <c r="BJ66" s="1">
        <v>0</v>
      </c>
      <c r="BK66" s="2"/>
      <c r="BL66" s="2"/>
      <c r="BM66" s="1">
        <v>0</v>
      </c>
      <c r="BN66" s="2"/>
      <c r="BO66" s="2" t="s">
        <v>299</v>
      </c>
      <c r="BP66" s="1">
        <v>1</v>
      </c>
      <c r="BQ66" s="2" t="s">
        <v>588</v>
      </c>
      <c r="BR66" s="2" t="s">
        <v>294</v>
      </c>
      <c r="BS66" s="2" t="s">
        <v>297</v>
      </c>
      <c r="BT66" s="1">
        <v>0</v>
      </c>
      <c r="BU66" s="2"/>
      <c r="BV66" s="2"/>
      <c r="BW66" s="2" t="s">
        <v>288</v>
      </c>
      <c r="BX66" s="2" t="s">
        <v>302</v>
      </c>
      <c r="BY66" s="1">
        <v>0</v>
      </c>
      <c r="BZ66" s="2"/>
      <c r="CA66" s="2"/>
      <c r="CB66" s="1">
        <v>0</v>
      </c>
      <c r="CC66" s="2"/>
      <c r="CD66" s="2" t="s">
        <v>299</v>
      </c>
      <c r="CE66" s="1">
        <v>1</v>
      </c>
      <c r="CF66" s="2" t="s">
        <v>359</v>
      </c>
      <c r="CG66" s="2"/>
      <c r="CH66" s="2" t="s">
        <v>303</v>
      </c>
      <c r="CI66" s="2" t="s">
        <v>297</v>
      </c>
      <c r="CJ66" s="1">
        <v>0</v>
      </c>
      <c r="CK66" s="2"/>
      <c r="CL66" s="2"/>
      <c r="CM66" s="2" t="s">
        <v>305</v>
      </c>
      <c r="CN66" s="2" t="s">
        <v>302</v>
      </c>
      <c r="CO66" s="1">
        <v>0</v>
      </c>
      <c r="CP66" s="2"/>
      <c r="CQ66" s="2"/>
      <c r="CR66" s="1">
        <v>0</v>
      </c>
      <c r="CS66" s="2"/>
      <c r="CT66" s="2" t="s">
        <v>328</v>
      </c>
      <c r="CU66" s="1">
        <v>1</v>
      </c>
      <c r="CV66" s="2" t="s">
        <v>372</v>
      </c>
      <c r="CW66" s="2"/>
      <c r="CX66" s="2" t="s">
        <v>294</v>
      </c>
      <c r="CY66" s="2" t="s">
        <v>302</v>
      </c>
      <c r="CZ66" s="1">
        <v>0</v>
      </c>
      <c r="DA66" s="2"/>
      <c r="DB66" s="2"/>
      <c r="DC66" s="2" t="s">
        <v>288</v>
      </c>
      <c r="DD66" s="2" t="s">
        <v>302</v>
      </c>
      <c r="DE66" s="1">
        <v>0</v>
      </c>
      <c r="DF66" s="2"/>
      <c r="DG66" s="2"/>
      <c r="DH66" s="1">
        <v>0</v>
      </c>
      <c r="DI66" s="2"/>
      <c r="DJ66" s="2" t="s">
        <v>328</v>
      </c>
      <c r="DK66" s="1">
        <v>1</v>
      </c>
      <c r="DL66" s="2" t="s">
        <v>696</v>
      </c>
      <c r="DM66" s="2"/>
      <c r="DN66" s="2" t="s">
        <v>303</v>
      </c>
      <c r="DO66" s="2" t="s">
        <v>331</v>
      </c>
      <c r="DP66" s="1">
        <v>0</v>
      </c>
      <c r="DQ66" s="2"/>
      <c r="DR66" s="2"/>
      <c r="DS66" s="2" t="s">
        <v>298</v>
      </c>
      <c r="DT66" s="2" t="s">
        <v>331</v>
      </c>
      <c r="DU66" s="1">
        <v>0</v>
      </c>
      <c r="DV66" s="2"/>
      <c r="DW66" s="2"/>
      <c r="DX66" s="2" t="s">
        <v>704</v>
      </c>
      <c r="DY66" s="1">
        <v>1</v>
      </c>
      <c r="DZ66" s="2" t="s">
        <v>705</v>
      </c>
      <c r="EA66" s="2" t="s">
        <v>294</v>
      </c>
      <c r="EB66" s="2" t="s">
        <v>331</v>
      </c>
      <c r="EC66" s="1">
        <v>0</v>
      </c>
      <c r="ED66" s="2"/>
      <c r="EE66" s="2"/>
      <c r="EF66" s="2" t="s">
        <v>305</v>
      </c>
      <c r="EG66" s="2" t="s">
        <v>331</v>
      </c>
      <c r="EH66" s="1">
        <v>0</v>
      </c>
      <c r="EI66" s="2"/>
      <c r="EJ66" s="2"/>
      <c r="EK66" s="2"/>
      <c r="EL66" s="1">
        <v>0</v>
      </c>
      <c r="EM66" s="2"/>
      <c r="EN66" s="1">
        <v>1</v>
      </c>
      <c r="EO66" s="2" t="s">
        <v>703</v>
      </c>
      <c r="EP66" s="2" t="s">
        <v>299</v>
      </c>
      <c r="EQ66" s="2" t="s">
        <v>328</v>
      </c>
      <c r="ER66" s="1">
        <v>0</v>
      </c>
      <c r="ES66" s="2"/>
      <c r="ET66" s="2"/>
      <c r="EU66" s="2"/>
      <c r="EV66" s="2"/>
      <c r="EW66" s="2" t="s">
        <v>358</v>
      </c>
      <c r="EX66" s="2" t="s">
        <v>706</v>
      </c>
      <c r="EY66" s="2" t="s">
        <v>707</v>
      </c>
      <c r="EZ66" s="2" t="s">
        <v>708</v>
      </c>
      <c r="FA66" s="1">
        <v>0</v>
      </c>
      <c r="FB66" s="2"/>
      <c r="FC66" s="2"/>
      <c r="FD66" s="2"/>
      <c r="FE66" s="2" t="s">
        <v>437</v>
      </c>
      <c r="FF66" s="2" t="s">
        <v>317</v>
      </c>
      <c r="FG66" s="2" t="s">
        <v>709</v>
      </c>
      <c r="FH66" s="2"/>
      <c r="FI66" s="1">
        <v>-1</v>
      </c>
      <c r="FJ66" s="1">
        <v>-1</v>
      </c>
      <c r="FK66" s="1">
        <v>-1</v>
      </c>
      <c r="FL66" s="1">
        <v>-1</v>
      </c>
      <c r="FM66" s="1">
        <v>-1</v>
      </c>
      <c r="FN66" s="1">
        <v>-1</v>
      </c>
      <c r="FO66" s="1">
        <v>-1</v>
      </c>
      <c r="FP66" s="1">
        <v>-1</v>
      </c>
      <c r="FQ66" s="1">
        <v>-1</v>
      </c>
      <c r="FR66" s="1">
        <v>-1</v>
      </c>
      <c r="FS66" s="1">
        <v>-1</v>
      </c>
      <c r="FT66" s="1">
        <v>-1</v>
      </c>
      <c r="FU66" s="1">
        <v>-1</v>
      </c>
      <c r="FV66" s="1">
        <v>-1</v>
      </c>
      <c r="FW66" s="1">
        <v>-1</v>
      </c>
      <c r="FX66" s="1">
        <v>-15</v>
      </c>
      <c r="FY66" s="3"/>
      <c r="FZ66" s="3"/>
      <c r="GA66" s="2" t="s">
        <v>319</v>
      </c>
      <c r="GB66" s="2" t="s">
        <v>320</v>
      </c>
      <c r="GC66" s="2" t="s">
        <v>277</v>
      </c>
      <c r="GD66" s="1">
        <v>15</v>
      </c>
      <c r="GE66" s="1">
        <v>15</v>
      </c>
      <c r="GF66" s="1">
        <v>30</v>
      </c>
      <c r="GG66" s="1">
        <v>7</v>
      </c>
      <c r="GH66" s="4"/>
    </row>
    <row r="67" spans="1:190" x14ac:dyDescent="0.25">
      <c r="A67" s="1">
        <v>241</v>
      </c>
      <c r="B67" s="2" t="s">
        <v>347</v>
      </c>
      <c r="C67" s="2" t="s">
        <v>353</v>
      </c>
      <c r="D67" s="2" t="s">
        <v>422</v>
      </c>
      <c r="E67" s="2" t="s">
        <v>281</v>
      </c>
      <c r="F67" s="2" t="s">
        <v>282</v>
      </c>
      <c r="G67" s="2" t="s">
        <v>282</v>
      </c>
      <c r="H67" s="2" t="s">
        <v>282</v>
      </c>
      <c r="I67" s="2" t="s">
        <v>282</v>
      </c>
      <c r="J67" s="2" t="s">
        <v>281</v>
      </c>
      <c r="K67" s="2" t="s">
        <v>282</v>
      </c>
      <c r="L67" s="2" t="s">
        <v>282</v>
      </c>
      <c r="M67" s="2" t="s">
        <v>282</v>
      </c>
      <c r="N67" s="1">
        <v>0</v>
      </c>
      <c r="O67" s="2"/>
      <c r="P67" s="2"/>
      <c r="Q67" s="2" t="s">
        <v>355</v>
      </c>
      <c r="R67" s="2"/>
      <c r="S67" s="2"/>
      <c r="T67" s="2" t="s">
        <v>710</v>
      </c>
      <c r="U67" s="2"/>
      <c r="V67" s="1">
        <v>1</v>
      </c>
      <c r="W67" s="2" t="s">
        <v>711</v>
      </c>
      <c r="X67" s="2"/>
      <c r="Y67" s="2" t="s">
        <v>294</v>
      </c>
      <c r="Z67" s="2" t="s">
        <v>331</v>
      </c>
      <c r="AA67" s="1">
        <v>0</v>
      </c>
      <c r="AB67" s="2"/>
      <c r="AC67" s="2"/>
      <c r="AD67" s="2" t="s">
        <v>305</v>
      </c>
      <c r="AE67" s="2" t="s">
        <v>331</v>
      </c>
      <c r="AF67" s="1">
        <v>0</v>
      </c>
      <c r="AG67" s="2"/>
      <c r="AH67" s="2"/>
      <c r="AI67" s="1">
        <v>1</v>
      </c>
      <c r="AJ67" s="2" t="s">
        <v>712</v>
      </c>
      <c r="AK67" s="2"/>
      <c r="AL67" s="2" t="s">
        <v>366</v>
      </c>
      <c r="AM67" s="1">
        <v>1</v>
      </c>
      <c r="AN67" s="2" t="s">
        <v>293</v>
      </c>
      <c r="AO67" s="2"/>
      <c r="AP67" s="2" t="s">
        <v>301</v>
      </c>
      <c r="AQ67" s="2" t="s">
        <v>297</v>
      </c>
      <c r="AR67" s="1">
        <v>0</v>
      </c>
      <c r="AS67" s="2"/>
      <c r="AT67" s="2"/>
      <c r="AU67" s="2" t="s">
        <v>288</v>
      </c>
      <c r="AV67" s="2" t="s">
        <v>302</v>
      </c>
      <c r="AW67" s="1">
        <v>0</v>
      </c>
      <c r="AX67" s="2"/>
      <c r="AY67" s="2"/>
      <c r="AZ67" s="1">
        <v>1</v>
      </c>
      <c r="BA67" s="2" t="s">
        <v>713</v>
      </c>
      <c r="BB67" s="2" t="s">
        <v>292</v>
      </c>
      <c r="BC67" s="2" t="s">
        <v>303</v>
      </c>
      <c r="BD67" s="2" t="s">
        <v>331</v>
      </c>
      <c r="BE67" s="1">
        <v>1</v>
      </c>
      <c r="BF67" s="2" t="s">
        <v>714</v>
      </c>
      <c r="BG67" s="2"/>
      <c r="BH67" s="2" t="s">
        <v>298</v>
      </c>
      <c r="BI67" s="2" t="s">
        <v>331</v>
      </c>
      <c r="BJ67" s="1">
        <v>0</v>
      </c>
      <c r="BK67" s="2"/>
      <c r="BL67" s="2"/>
      <c r="BM67" s="1">
        <v>0</v>
      </c>
      <c r="BN67" s="2"/>
      <c r="BO67" s="2" t="s">
        <v>296</v>
      </c>
      <c r="BP67" s="1">
        <v>1</v>
      </c>
      <c r="BQ67" s="2" t="s">
        <v>405</v>
      </c>
      <c r="BR67" s="2" t="s">
        <v>294</v>
      </c>
      <c r="BS67" s="2" t="s">
        <v>297</v>
      </c>
      <c r="BT67" s="1">
        <v>0</v>
      </c>
      <c r="BU67" s="2"/>
      <c r="BV67" s="2"/>
      <c r="BW67" s="2" t="s">
        <v>288</v>
      </c>
      <c r="BX67" s="2" t="s">
        <v>302</v>
      </c>
      <c r="BY67" s="1">
        <v>0</v>
      </c>
      <c r="BZ67" s="2"/>
      <c r="CA67" s="2"/>
      <c r="CB67" s="1">
        <v>0</v>
      </c>
      <c r="CC67" s="2"/>
      <c r="CD67" s="2" t="s">
        <v>299</v>
      </c>
      <c r="CE67" s="1">
        <v>1</v>
      </c>
      <c r="CF67" s="2" t="s">
        <v>359</v>
      </c>
      <c r="CG67" s="2"/>
      <c r="CH67" s="2" t="s">
        <v>294</v>
      </c>
      <c r="CI67" s="2" t="s">
        <v>297</v>
      </c>
      <c r="CJ67" s="1">
        <v>0</v>
      </c>
      <c r="CK67" s="2"/>
      <c r="CL67" s="2"/>
      <c r="CM67" s="2" t="s">
        <v>305</v>
      </c>
      <c r="CN67" s="2" t="s">
        <v>331</v>
      </c>
      <c r="CO67" s="1">
        <v>0</v>
      </c>
      <c r="CP67" s="2"/>
      <c r="CQ67" s="2"/>
      <c r="CR67" s="1">
        <v>1</v>
      </c>
      <c r="CS67" s="2" t="s">
        <v>715</v>
      </c>
      <c r="CT67" s="2" t="s">
        <v>296</v>
      </c>
      <c r="CU67" s="1">
        <v>0</v>
      </c>
      <c r="CV67" s="2"/>
      <c r="CW67" s="2"/>
      <c r="CX67" s="2"/>
      <c r="CY67" s="2"/>
      <c r="CZ67" s="1">
        <v>0</v>
      </c>
      <c r="DA67" s="2"/>
      <c r="DB67" s="2"/>
      <c r="DC67" s="2"/>
      <c r="DD67" s="2"/>
      <c r="DE67" s="1">
        <v>0</v>
      </c>
      <c r="DF67" s="2"/>
      <c r="DG67" s="2"/>
      <c r="DH67" s="1">
        <v>0</v>
      </c>
      <c r="DI67" s="2"/>
      <c r="DJ67" s="2"/>
      <c r="DK67" s="1">
        <v>1</v>
      </c>
      <c r="DL67" s="2" t="s">
        <v>512</v>
      </c>
      <c r="DM67" s="2"/>
      <c r="DN67" s="2" t="s">
        <v>303</v>
      </c>
      <c r="DO67" s="2" t="s">
        <v>331</v>
      </c>
      <c r="DP67" s="1">
        <v>0</v>
      </c>
      <c r="DQ67" s="2"/>
      <c r="DR67" s="2"/>
      <c r="DS67" s="2" t="s">
        <v>298</v>
      </c>
      <c r="DT67" s="2" t="s">
        <v>331</v>
      </c>
      <c r="DU67" s="1">
        <v>0</v>
      </c>
      <c r="DV67" s="2"/>
      <c r="DW67" s="2"/>
      <c r="DX67" s="2" t="s">
        <v>716</v>
      </c>
      <c r="DY67" s="1">
        <v>1</v>
      </c>
      <c r="DZ67" s="2" t="s">
        <v>374</v>
      </c>
      <c r="EA67" s="2" t="s">
        <v>294</v>
      </c>
      <c r="EB67" s="2" t="s">
        <v>331</v>
      </c>
      <c r="EC67" s="1">
        <v>0</v>
      </c>
      <c r="ED67" s="2"/>
      <c r="EE67" s="2"/>
      <c r="EF67" s="2" t="s">
        <v>305</v>
      </c>
      <c r="EG67" s="2" t="s">
        <v>331</v>
      </c>
      <c r="EH67" s="1">
        <v>0</v>
      </c>
      <c r="EI67" s="2"/>
      <c r="EJ67" s="2"/>
      <c r="EK67" s="2"/>
      <c r="EL67" s="1">
        <v>0</v>
      </c>
      <c r="EM67" s="2"/>
      <c r="EN67" s="1">
        <v>1</v>
      </c>
      <c r="EO67" s="2" t="s">
        <v>717</v>
      </c>
      <c r="EP67" s="2" t="s">
        <v>366</v>
      </c>
      <c r="EQ67" s="2" t="s">
        <v>366</v>
      </c>
      <c r="ER67" s="1">
        <v>1</v>
      </c>
      <c r="ES67" s="2" t="s">
        <v>718</v>
      </c>
      <c r="ET67" s="2"/>
      <c r="EU67" s="2"/>
      <c r="EV67" s="2"/>
      <c r="EW67" s="2" t="s">
        <v>397</v>
      </c>
      <c r="EX67" s="2" t="s">
        <v>719</v>
      </c>
      <c r="EY67" s="2"/>
      <c r="EZ67" s="2"/>
      <c r="FA67" s="1">
        <v>1</v>
      </c>
      <c r="FB67" s="2" t="s">
        <v>720</v>
      </c>
      <c r="FC67" s="2"/>
      <c r="FD67" s="2"/>
      <c r="FE67" s="2" t="s">
        <v>350</v>
      </c>
      <c r="FF67" s="2" t="s">
        <v>335</v>
      </c>
      <c r="FG67" s="2" t="s">
        <v>721</v>
      </c>
      <c r="FH67" s="2"/>
      <c r="FI67" s="1">
        <v>-1</v>
      </c>
      <c r="FJ67" s="1">
        <v>-1</v>
      </c>
      <c r="FK67" s="1">
        <v>-1</v>
      </c>
      <c r="FL67" s="1">
        <v>-1</v>
      </c>
      <c r="FM67" s="1">
        <v>-1</v>
      </c>
      <c r="FN67" s="1">
        <v>-1</v>
      </c>
      <c r="FO67" s="1">
        <v>-1</v>
      </c>
      <c r="FP67" s="1">
        <v>-1</v>
      </c>
      <c r="FQ67" s="1">
        <v>-1</v>
      </c>
      <c r="FR67" s="1">
        <v>-1</v>
      </c>
      <c r="FS67" s="1">
        <v>-1</v>
      </c>
      <c r="FT67" s="1">
        <v>-1</v>
      </c>
      <c r="FU67" s="1">
        <v>-1</v>
      </c>
      <c r="FV67" s="1">
        <v>-1</v>
      </c>
      <c r="FW67" s="1">
        <v>-1</v>
      </c>
      <c r="FX67" s="1">
        <v>-15</v>
      </c>
      <c r="FY67" s="3"/>
      <c r="FZ67" s="3"/>
      <c r="GA67" s="2" t="s">
        <v>319</v>
      </c>
      <c r="GB67" s="2" t="s">
        <v>320</v>
      </c>
      <c r="GC67" s="2" t="s">
        <v>277</v>
      </c>
      <c r="GD67" s="1">
        <v>15</v>
      </c>
      <c r="GE67" s="1">
        <v>15</v>
      </c>
      <c r="GF67" s="1">
        <v>34</v>
      </c>
      <c r="GG67" s="1">
        <v>14</v>
      </c>
      <c r="GH67" s="4"/>
    </row>
    <row r="68" spans="1:190" x14ac:dyDescent="0.25">
      <c r="A68" s="1">
        <v>242</v>
      </c>
      <c r="B68" s="2" t="s">
        <v>321</v>
      </c>
      <c r="C68" s="2" t="s">
        <v>353</v>
      </c>
      <c r="D68" s="2" t="s">
        <v>377</v>
      </c>
      <c r="E68" s="2" t="s">
        <v>281</v>
      </c>
      <c r="F68" s="2" t="s">
        <v>281</v>
      </c>
      <c r="G68" s="2" t="s">
        <v>282</v>
      </c>
      <c r="H68" s="2" t="s">
        <v>282</v>
      </c>
      <c r="I68" s="2" t="s">
        <v>282</v>
      </c>
      <c r="J68" s="2" t="s">
        <v>281</v>
      </c>
      <c r="K68" s="2" t="s">
        <v>282</v>
      </c>
      <c r="L68" s="2" t="s">
        <v>282</v>
      </c>
      <c r="M68" s="2" t="s">
        <v>282</v>
      </c>
      <c r="N68" s="1">
        <v>0</v>
      </c>
      <c r="O68" s="2"/>
      <c r="P68" s="2"/>
      <c r="Q68" s="2" t="s">
        <v>355</v>
      </c>
      <c r="R68" s="2"/>
      <c r="S68" s="2"/>
      <c r="T68" s="11" t="s">
        <v>322</v>
      </c>
      <c r="U68" s="2"/>
      <c r="V68" s="1">
        <v>1</v>
      </c>
      <c r="W68" s="2" t="s">
        <v>453</v>
      </c>
      <c r="X68" s="2"/>
      <c r="Y68" s="2" t="s">
        <v>303</v>
      </c>
      <c r="Z68" s="2" t="s">
        <v>331</v>
      </c>
      <c r="AA68" s="1">
        <v>0</v>
      </c>
      <c r="AB68" s="2"/>
      <c r="AC68" s="2"/>
      <c r="AD68" s="2" t="s">
        <v>305</v>
      </c>
      <c r="AE68" s="2" t="s">
        <v>331</v>
      </c>
      <c r="AF68" s="1">
        <v>0</v>
      </c>
      <c r="AG68" s="2"/>
      <c r="AH68" s="2"/>
      <c r="AI68" s="1">
        <v>0</v>
      </c>
      <c r="AJ68" s="2"/>
      <c r="AK68" s="2"/>
      <c r="AL68" s="2" t="s">
        <v>292</v>
      </c>
      <c r="AM68" s="1">
        <v>1</v>
      </c>
      <c r="AN68" s="2" t="s">
        <v>722</v>
      </c>
      <c r="AO68" s="2"/>
      <c r="AP68" s="2" t="s">
        <v>301</v>
      </c>
      <c r="AQ68" s="2" t="s">
        <v>287</v>
      </c>
      <c r="AR68" s="1">
        <v>0</v>
      </c>
      <c r="AS68" s="2"/>
      <c r="AT68" s="2"/>
      <c r="AU68" s="2" t="s">
        <v>324</v>
      </c>
      <c r="AV68" s="2" t="s">
        <v>302</v>
      </c>
      <c r="AW68" s="1">
        <v>0</v>
      </c>
      <c r="AX68" s="2"/>
      <c r="AY68" s="2"/>
      <c r="AZ68" s="1">
        <v>1</v>
      </c>
      <c r="BA68" s="2" t="s">
        <v>723</v>
      </c>
      <c r="BB68" s="2" t="s">
        <v>292</v>
      </c>
      <c r="BC68" s="2" t="s">
        <v>294</v>
      </c>
      <c r="BD68" s="2" t="s">
        <v>297</v>
      </c>
      <c r="BE68" s="1">
        <v>0</v>
      </c>
      <c r="BF68" s="2"/>
      <c r="BG68" s="2"/>
      <c r="BH68" s="2" t="s">
        <v>324</v>
      </c>
      <c r="BI68" s="2" t="s">
        <v>302</v>
      </c>
      <c r="BJ68" s="1">
        <v>0</v>
      </c>
      <c r="BK68" s="2"/>
      <c r="BL68" s="2"/>
      <c r="BM68" s="1">
        <v>0</v>
      </c>
      <c r="BN68" s="2"/>
      <c r="BO68" s="2" t="s">
        <v>296</v>
      </c>
      <c r="BP68" s="1">
        <v>1</v>
      </c>
      <c r="BQ68" s="2" t="s">
        <v>588</v>
      </c>
      <c r="BR68" s="2" t="s">
        <v>294</v>
      </c>
      <c r="BS68" s="2" t="s">
        <v>297</v>
      </c>
      <c r="BT68" s="1">
        <v>0</v>
      </c>
      <c r="BU68" s="2"/>
      <c r="BV68" s="2"/>
      <c r="BW68" s="2" t="s">
        <v>288</v>
      </c>
      <c r="BX68" s="2" t="s">
        <v>297</v>
      </c>
      <c r="BY68" s="1">
        <v>0</v>
      </c>
      <c r="BZ68" s="2"/>
      <c r="CA68" s="2"/>
      <c r="CB68" s="1">
        <v>0</v>
      </c>
      <c r="CC68" s="2"/>
      <c r="CD68" s="2" t="s">
        <v>299</v>
      </c>
      <c r="CE68" s="1">
        <v>1</v>
      </c>
      <c r="CF68" s="2" t="s">
        <v>359</v>
      </c>
      <c r="CG68" s="2"/>
      <c r="CH68" s="2" t="s">
        <v>303</v>
      </c>
      <c r="CI68" s="2" t="s">
        <v>297</v>
      </c>
      <c r="CJ68" s="1">
        <v>0</v>
      </c>
      <c r="CK68" s="2"/>
      <c r="CL68" s="2"/>
      <c r="CM68" s="2" t="s">
        <v>305</v>
      </c>
      <c r="CN68" s="2" t="s">
        <v>297</v>
      </c>
      <c r="CO68" s="1">
        <v>0</v>
      </c>
      <c r="CP68" s="2"/>
      <c r="CQ68" s="2"/>
      <c r="CR68" s="1">
        <v>0</v>
      </c>
      <c r="CS68" s="2"/>
      <c r="CT68" s="2" t="s">
        <v>299</v>
      </c>
      <c r="CU68" s="1">
        <v>1</v>
      </c>
      <c r="CV68" s="2" t="s">
        <v>372</v>
      </c>
      <c r="CW68" s="2"/>
      <c r="CX68" s="2" t="s">
        <v>303</v>
      </c>
      <c r="CY68" s="2" t="s">
        <v>302</v>
      </c>
      <c r="CZ68" s="1">
        <v>0</v>
      </c>
      <c r="DA68" s="2"/>
      <c r="DB68" s="2"/>
      <c r="DC68" s="2" t="s">
        <v>288</v>
      </c>
      <c r="DD68" s="2" t="s">
        <v>302</v>
      </c>
      <c r="DE68" s="1">
        <v>0</v>
      </c>
      <c r="DF68" s="2"/>
      <c r="DG68" s="2"/>
      <c r="DH68" s="1">
        <v>0</v>
      </c>
      <c r="DI68" s="2"/>
      <c r="DJ68" s="2" t="s">
        <v>299</v>
      </c>
      <c r="DK68" s="1">
        <v>1</v>
      </c>
      <c r="DL68" s="2" t="s">
        <v>724</v>
      </c>
      <c r="DM68" s="2"/>
      <c r="DN68" s="2" t="s">
        <v>303</v>
      </c>
      <c r="DO68" s="2" t="s">
        <v>331</v>
      </c>
      <c r="DP68" s="1">
        <v>0</v>
      </c>
      <c r="DQ68" s="2"/>
      <c r="DR68" s="2"/>
      <c r="DS68" s="2" t="s">
        <v>298</v>
      </c>
      <c r="DT68" s="2" t="s">
        <v>331</v>
      </c>
      <c r="DU68" s="1">
        <v>0</v>
      </c>
      <c r="DV68" s="2"/>
      <c r="DW68" s="2"/>
      <c r="DX68" s="2" t="s">
        <v>725</v>
      </c>
      <c r="DY68" s="1">
        <v>1</v>
      </c>
      <c r="DZ68" s="2" t="s">
        <v>726</v>
      </c>
      <c r="EA68" s="2" t="s">
        <v>303</v>
      </c>
      <c r="EB68" s="2" t="s">
        <v>331</v>
      </c>
      <c r="EC68" s="1">
        <v>0</v>
      </c>
      <c r="ED68" s="2"/>
      <c r="EE68" s="2"/>
      <c r="EF68" s="2" t="s">
        <v>305</v>
      </c>
      <c r="EG68" s="2" t="s">
        <v>331</v>
      </c>
      <c r="EH68" s="1">
        <v>0</v>
      </c>
      <c r="EI68" s="2"/>
      <c r="EJ68" s="2"/>
      <c r="EK68" s="2" t="s">
        <v>727</v>
      </c>
      <c r="EL68" s="1">
        <v>0</v>
      </c>
      <c r="EM68" s="2"/>
      <c r="EN68" s="1">
        <v>0</v>
      </c>
      <c r="EO68" s="2"/>
      <c r="EP68" s="2" t="s">
        <v>328</v>
      </c>
      <c r="EQ68" s="2" t="s">
        <v>328</v>
      </c>
      <c r="ER68" s="1">
        <v>0</v>
      </c>
      <c r="ES68" s="2"/>
      <c r="ET68" s="2"/>
      <c r="EU68" s="2"/>
      <c r="EV68" s="2"/>
      <c r="EW68" s="2" t="s">
        <v>358</v>
      </c>
      <c r="EX68" s="2" t="s">
        <v>728</v>
      </c>
      <c r="EY68" s="2" t="s">
        <v>729</v>
      </c>
      <c r="EZ68" s="2" t="s">
        <v>730</v>
      </c>
      <c r="FA68" s="1">
        <v>2</v>
      </c>
      <c r="FB68" s="2" t="s">
        <v>731</v>
      </c>
      <c r="FC68" s="2" t="s">
        <v>732</v>
      </c>
      <c r="FD68" s="2"/>
      <c r="FE68" s="2" t="s">
        <v>346</v>
      </c>
      <c r="FF68" s="2" t="s">
        <v>317</v>
      </c>
      <c r="FG68" s="2" t="s">
        <v>733</v>
      </c>
      <c r="FH68" s="2"/>
      <c r="FI68" s="1">
        <v>-1</v>
      </c>
      <c r="FJ68" s="1">
        <v>-1</v>
      </c>
      <c r="FK68" s="1">
        <v>-1</v>
      </c>
      <c r="FL68" s="1">
        <v>-1</v>
      </c>
      <c r="FM68" s="1">
        <v>-1</v>
      </c>
      <c r="FN68" s="1">
        <v>-1</v>
      </c>
      <c r="FO68" s="1">
        <v>-1</v>
      </c>
      <c r="FP68" s="1">
        <v>-1</v>
      </c>
      <c r="FQ68" s="1">
        <v>-1</v>
      </c>
      <c r="FR68" s="1">
        <v>-1</v>
      </c>
      <c r="FS68" s="1">
        <v>-1</v>
      </c>
      <c r="FT68" s="1">
        <v>-1</v>
      </c>
      <c r="FU68" s="1">
        <v>-1</v>
      </c>
      <c r="FV68" s="1">
        <v>-1</v>
      </c>
      <c r="FW68" s="1">
        <v>-1</v>
      </c>
      <c r="FX68" s="1">
        <v>-15</v>
      </c>
      <c r="FY68" s="3"/>
      <c r="FZ68" s="3"/>
      <c r="GA68" s="2" t="s">
        <v>319</v>
      </c>
      <c r="GB68" s="2" t="s">
        <v>320</v>
      </c>
      <c r="GC68" s="2" t="s">
        <v>277</v>
      </c>
      <c r="GD68" s="1">
        <v>15</v>
      </c>
      <c r="GE68" s="1">
        <v>15</v>
      </c>
      <c r="GF68" s="1">
        <v>29</v>
      </c>
      <c r="GG68" s="1">
        <v>6</v>
      </c>
      <c r="GH68" s="4"/>
    </row>
    <row r="69" spans="1:190" x14ac:dyDescent="0.25">
      <c r="A69" s="1">
        <v>246</v>
      </c>
      <c r="B69" s="2" t="s">
        <v>321</v>
      </c>
      <c r="C69" s="2" t="s">
        <v>279</v>
      </c>
      <c r="D69" s="2" t="s">
        <v>377</v>
      </c>
      <c r="E69" s="2" t="s">
        <v>281</v>
      </c>
      <c r="F69" s="2" t="s">
        <v>281</v>
      </c>
      <c r="G69" s="2" t="s">
        <v>282</v>
      </c>
      <c r="H69" s="2" t="s">
        <v>282</v>
      </c>
      <c r="I69" s="2" t="s">
        <v>282</v>
      </c>
      <c r="J69" s="2" t="s">
        <v>281</v>
      </c>
      <c r="K69" s="2" t="s">
        <v>282</v>
      </c>
      <c r="L69" s="2" t="s">
        <v>282</v>
      </c>
      <c r="M69" s="2" t="s">
        <v>282</v>
      </c>
      <c r="N69" s="1">
        <v>0</v>
      </c>
      <c r="O69" s="2"/>
      <c r="P69" s="2"/>
      <c r="Q69" s="2" t="s">
        <v>355</v>
      </c>
      <c r="R69" s="2"/>
      <c r="S69" s="2"/>
      <c r="T69" s="11" t="s">
        <v>322</v>
      </c>
      <c r="U69" s="2"/>
      <c r="V69" s="1">
        <v>1</v>
      </c>
      <c r="W69" s="2" t="s">
        <v>734</v>
      </c>
      <c r="X69" s="2"/>
      <c r="Y69" s="2" t="s">
        <v>303</v>
      </c>
      <c r="Z69" s="2" t="s">
        <v>331</v>
      </c>
      <c r="AA69" s="1">
        <v>0</v>
      </c>
      <c r="AB69" s="2"/>
      <c r="AC69" s="2"/>
      <c r="AD69" s="2" t="s">
        <v>298</v>
      </c>
      <c r="AE69" s="2" t="s">
        <v>331</v>
      </c>
      <c r="AF69" s="1">
        <v>0</v>
      </c>
      <c r="AG69" s="2"/>
      <c r="AH69" s="2"/>
      <c r="AI69" s="1">
        <v>0</v>
      </c>
      <c r="AJ69" s="2"/>
      <c r="AK69" s="2"/>
      <c r="AL69" s="2" t="s">
        <v>299</v>
      </c>
      <c r="AM69" s="1">
        <v>1</v>
      </c>
      <c r="AN69" s="2" t="s">
        <v>385</v>
      </c>
      <c r="AO69" s="2"/>
      <c r="AP69" s="2" t="s">
        <v>294</v>
      </c>
      <c r="AQ69" s="2" t="s">
        <v>287</v>
      </c>
      <c r="AR69" s="1">
        <v>0</v>
      </c>
      <c r="AS69" s="2"/>
      <c r="AT69" s="2"/>
      <c r="AU69" s="2" t="s">
        <v>288</v>
      </c>
      <c r="AV69" s="2" t="s">
        <v>302</v>
      </c>
      <c r="AW69" s="1">
        <v>0</v>
      </c>
      <c r="AX69" s="2"/>
      <c r="AY69" s="2"/>
      <c r="AZ69" s="1">
        <v>0</v>
      </c>
      <c r="BA69" s="2"/>
      <c r="BB69" s="2" t="s">
        <v>299</v>
      </c>
      <c r="BC69" s="2" t="s">
        <v>294</v>
      </c>
      <c r="BD69" s="2" t="s">
        <v>297</v>
      </c>
      <c r="BE69" s="1">
        <v>0</v>
      </c>
      <c r="BF69" s="2"/>
      <c r="BG69" s="2"/>
      <c r="BH69" s="2" t="s">
        <v>288</v>
      </c>
      <c r="BI69" s="2" t="s">
        <v>302</v>
      </c>
      <c r="BJ69" s="1">
        <v>0</v>
      </c>
      <c r="BK69" s="2"/>
      <c r="BL69" s="2"/>
      <c r="BM69" s="1">
        <v>0</v>
      </c>
      <c r="BN69" s="2"/>
      <c r="BO69" s="2" t="s">
        <v>299</v>
      </c>
      <c r="BP69" s="1">
        <v>1</v>
      </c>
      <c r="BQ69" s="2" t="s">
        <v>369</v>
      </c>
      <c r="BR69" s="2" t="s">
        <v>294</v>
      </c>
      <c r="BS69" s="2" t="s">
        <v>297</v>
      </c>
      <c r="BT69" s="1">
        <v>0</v>
      </c>
      <c r="BU69" s="2"/>
      <c r="BV69" s="2"/>
      <c r="BW69" s="2" t="s">
        <v>288</v>
      </c>
      <c r="BX69" s="2" t="s">
        <v>302</v>
      </c>
      <c r="BY69" s="1">
        <v>0</v>
      </c>
      <c r="BZ69" s="2"/>
      <c r="CA69" s="2"/>
      <c r="CB69" s="1">
        <v>0</v>
      </c>
      <c r="CC69" s="2"/>
      <c r="CD69" s="2" t="s">
        <v>299</v>
      </c>
      <c r="CE69" s="1">
        <v>1</v>
      </c>
      <c r="CF69" s="2" t="s">
        <v>359</v>
      </c>
      <c r="CG69" s="2"/>
      <c r="CH69" s="2" t="s">
        <v>294</v>
      </c>
      <c r="CI69" s="2" t="s">
        <v>297</v>
      </c>
      <c r="CJ69" s="1">
        <v>0</v>
      </c>
      <c r="CK69" s="2"/>
      <c r="CL69" s="2"/>
      <c r="CM69" s="2" t="s">
        <v>305</v>
      </c>
      <c r="CN69" s="2" t="s">
        <v>302</v>
      </c>
      <c r="CO69" s="1">
        <v>0</v>
      </c>
      <c r="CP69" s="2"/>
      <c r="CQ69" s="2"/>
      <c r="CR69" s="1">
        <v>0</v>
      </c>
      <c r="CS69" s="2"/>
      <c r="CT69" s="2" t="s">
        <v>299</v>
      </c>
      <c r="CU69" s="1">
        <v>1</v>
      </c>
      <c r="CV69" s="2" t="s">
        <v>372</v>
      </c>
      <c r="CW69" s="2"/>
      <c r="CX69" s="2" t="s">
        <v>294</v>
      </c>
      <c r="CY69" s="2" t="s">
        <v>302</v>
      </c>
      <c r="CZ69" s="1">
        <v>0</v>
      </c>
      <c r="DA69" s="2"/>
      <c r="DB69" s="2"/>
      <c r="DC69" s="2" t="s">
        <v>288</v>
      </c>
      <c r="DD69" s="2" t="s">
        <v>302</v>
      </c>
      <c r="DE69" s="1">
        <v>0</v>
      </c>
      <c r="DF69" s="2"/>
      <c r="DG69" s="2"/>
      <c r="DH69" s="1">
        <v>0</v>
      </c>
      <c r="DI69" s="2"/>
      <c r="DJ69" s="2" t="s">
        <v>299</v>
      </c>
      <c r="DK69" s="1">
        <v>1</v>
      </c>
      <c r="DL69" s="2" t="s">
        <v>308</v>
      </c>
      <c r="DM69" s="2"/>
      <c r="DN69" s="2" t="s">
        <v>303</v>
      </c>
      <c r="DO69" s="2" t="s">
        <v>331</v>
      </c>
      <c r="DP69" s="1">
        <v>0</v>
      </c>
      <c r="DQ69" s="2"/>
      <c r="DR69" s="2"/>
      <c r="DS69" s="2" t="s">
        <v>298</v>
      </c>
      <c r="DT69" s="2" t="s">
        <v>331</v>
      </c>
      <c r="DU69" s="1">
        <v>0</v>
      </c>
      <c r="DV69" s="2"/>
      <c r="DW69" s="2"/>
      <c r="DX69" s="2" t="s">
        <v>735</v>
      </c>
      <c r="DY69" s="1">
        <v>1</v>
      </c>
      <c r="DZ69" s="2" t="s">
        <v>705</v>
      </c>
      <c r="EA69" s="2" t="s">
        <v>303</v>
      </c>
      <c r="EB69" s="2" t="s">
        <v>331</v>
      </c>
      <c r="EC69" s="1">
        <v>0</v>
      </c>
      <c r="ED69" s="2"/>
      <c r="EE69" s="2"/>
      <c r="EF69" s="2" t="s">
        <v>298</v>
      </c>
      <c r="EG69" s="2" t="s">
        <v>331</v>
      </c>
      <c r="EH69" s="1">
        <v>0</v>
      </c>
      <c r="EI69" s="2"/>
      <c r="EJ69" s="2"/>
      <c r="EK69" s="2" t="s">
        <v>736</v>
      </c>
      <c r="EL69" s="1">
        <v>0</v>
      </c>
      <c r="EM69" s="2"/>
      <c r="EN69" s="1">
        <v>0</v>
      </c>
      <c r="EO69" s="2"/>
      <c r="EP69" s="2" t="s">
        <v>299</v>
      </c>
      <c r="EQ69" s="2" t="s">
        <v>299</v>
      </c>
      <c r="ER69" s="1">
        <v>0</v>
      </c>
      <c r="ES69" s="2"/>
      <c r="ET69" s="2"/>
      <c r="EU69" s="2"/>
      <c r="EV69" s="2"/>
      <c r="EW69" s="2" t="s">
        <v>370</v>
      </c>
      <c r="EX69" s="2" t="s">
        <v>737</v>
      </c>
      <c r="EY69" s="2"/>
      <c r="EZ69" s="2"/>
      <c r="FA69" s="1">
        <v>0</v>
      </c>
      <c r="FB69" s="2"/>
      <c r="FC69" s="2"/>
      <c r="FD69" s="2"/>
      <c r="FE69" s="2" t="s">
        <v>346</v>
      </c>
      <c r="FF69" s="2" t="s">
        <v>317</v>
      </c>
      <c r="FG69" s="2"/>
      <c r="FH69" s="2"/>
      <c r="FI69" s="1">
        <v>-1</v>
      </c>
      <c r="FJ69" s="1">
        <v>-1</v>
      </c>
      <c r="FK69" s="1">
        <v>-1</v>
      </c>
      <c r="FL69" s="1">
        <v>-1</v>
      </c>
      <c r="FM69" s="1">
        <v>-1</v>
      </c>
      <c r="FN69" s="1">
        <v>-1</v>
      </c>
      <c r="FO69" s="1">
        <v>-1</v>
      </c>
      <c r="FP69" s="1">
        <v>-1</v>
      </c>
      <c r="FQ69" s="1">
        <v>-1</v>
      </c>
      <c r="FR69" s="1">
        <v>-1</v>
      </c>
      <c r="FS69" s="1">
        <v>-1</v>
      </c>
      <c r="FT69" s="1">
        <v>-1</v>
      </c>
      <c r="FU69" s="1">
        <v>-1</v>
      </c>
      <c r="FV69" s="1">
        <v>-1</v>
      </c>
      <c r="FW69" s="1">
        <v>-1</v>
      </c>
      <c r="FX69" s="1">
        <v>-15</v>
      </c>
      <c r="FY69" s="3"/>
      <c r="FZ69" s="3"/>
      <c r="GA69" s="2" t="s">
        <v>319</v>
      </c>
      <c r="GB69" s="2" t="s">
        <v>320</v>
      </c>
      <c r="GC69" s="2" t="s">
        <v>277</v>
      </c>
      <c r="GD69" s="1">
        <v>15</v>
      </c>
      <c r="GE69" s="1">
        <v>15</v>
      </c>
      <c r="GF69" s="1">
        <v>35</v>
      </c>
      <c r="GG69" s="1">
        <v>9</v>
      </c>
      <c r="GH69" s="4"/>
    </row>
    <row r="70" spans="1:190" x14ac:dyDescent="0.25">
      <c r="A70" s="1">
        <v>247</v>
      </c>
      <c r="B70" s="2" t="s">
        <v>676</v>
      </c>
      <c r="C70" s="2" t="s">
        <v>353</v>
      </c>
      <c r="D70" s="2" t="s">
        <v>377</v>
      </c>
      <c r="E70" s="2" t="s">
        <v>281</v>
      </c>
      <c r="F70" s="2" t="s">
        <v>281</v>
      </c>
      <c r="G70" s="2" t="s">
        <v>281</v>
      </c>
      <c r="H70" s="2" t="s">
        <v>282</v>
      </c>
      <c r="I70" s="2" t="s">
        <v>282</v>
      </c>
      <c r="J70" s="2" t="s">
        <v>282</v>
      </c>
      <c r="K70" s="2" t="s">
        <v>282</v>
      </c>
      <c r="L70" s="2" t="s">
        <v>282</v>
      </c>
      <c r="M70" s="2" t="s">
        <v>282</v>
      </c>
      <c r="N70" s="1">
        <v>0</v>
      </c>
      <c r="O70" s="2"/>
      <c r="P70" s="2"/>
      <c r="Q70" s="2" t="s">
        <v>283</v>
      </c>
      <c r="R70" s="11" t="s">
        <v>378</v>
      </c>
      <c r="S70" s="2"/>
      <c r="T70" s="2"/>
      <c r="U70" s="2"/>
      <c r="V70" s="1">
        <v>1</v>
      </c>
      <c r="W70" s="2" t="s">
        <v>365</v>
      </c>
      <c r="X70" s="2"/>
      <c r="Y70" s="2" t="s">
        <v>301</v>
      </c>
      <c r="Z70" s="2" t="s">
        <v>331</v>
      </c>
      <c r="AA70" s="1">
        <v>0</v>
      </c>
      <c r="AB70" s="2"/>
      <c r="AC70" s="2"/>
      <c r="AD70" s="2" t="s">
        <v>288</v>
      </c>
      <c r="AE70" s="2" t="s">
        <v>331</v>
      </c>
      <c r="AF70" s="1">
        <v>0</v>
      </c>
      <c r="AG70" s="2"/>
      <c r="AH70" s="2"/>
      <c r="AI70" s="1">
        <v>1</v>
      </c>
      <c r="AJ70" s="2" t="s">
        <v>738</v>
      </c>
      <c r="AK70" s="2"/>
      <c r="AL70" s="2" t="s">
        <v>328</v>
      </c>
      <c r="AM70" s="1">
        <v>1</v>
      </c>
      <c r="AN70" s="2" t="s">
        <v>739</v>
      </c>
      <c r="AO70" s="2"/>
      <c r="AP70" s="2" t="s">
        <v>301</v>
      </c>
      <c r="AQ70" s="2" t="s">
        <v>287</v>
      </c>
      <c r="AR70" s="1">
        <v>0</v>
      </c>
      <c r="AS70" s="2"/>
      <c r="AT70" s="2"/>
      <c r="AU70" s="2" t="s">
        <v>324</v>
      </c>
      <c r="AV70" s="2" t="s">
        <v>339</v>
      </c>
      <c r="AW70" s="1">
        <v>0</v>
      </c>
      <c r="AX70" s="2"/>
      <c r="AY70" s="2"/>
      <c r="AZ70" s="1">
        <v>0</v>
      </c>
      <c r="BA70" s="2"/>
      <c r="BB70" s="2" t="s">
        <v>328</v>
      </c>
      <c r="BC70" s="2" t="s">
        <v>303</v>
      </c>
      <c r="BD70" s="2" t="s">
        <v>331</v>
      </c>
      <c r="BE70" s="1">
        <v>0</v>
      </c>
      <c r="BF70" s="2"/>
      <c r="BG70" s="2"/>
      <c r="BH70" s="2" t="s">
        <v>298</v>
      </c>
      <c r="BI70" s="2" t="s">
        <v>331</v>
      </c>
      <c r="BJ70" s="1">
        <v>0</v>
      </c>
      <c r="BK70" s="2"/>
      <c r="BL70" s="2"/>
      <c r="BM70" s="1">
        <v>0</v>
      </c>
      <c r="BN70" s="2"/>
      <c r="BO70" s="2" t="s">
        <v>299</v>
      </c>
      <c r="BP70" s="1">
        <v>1</v>
      </c>
      <c r="BQ70" s="2" t="s">
        <v>740</v>
      </c>
      <c r="BR70" s="2" t="s">
        <v>301</v>
      </c>
      <c r="BS70" s="2" t="s">
        <v>297</v>
      </c>
      <c r="BT70" s="1">
        <v>0</v>
      </c>
      <c r="BU70" s="2"/>
      <c r="BV70" s="2"/>
      <c r="BW70" s="2" t="s">
        <v>324</v>
      </c>
      <c r="BX70" s="2" t="s">
        <v>331</v>
      </c>
      <c r="BY70" s="1">
        <v>0</v>
      </c>
      <c r="BZ70" s="2"/>
      <c r="CA70" s="2"/>
      <c r="CB70" s="1">
        <v>0</v>
      </c>
      <c r="CC70" s="2"/>
      <c r="CD70" s="2" t="s">
        <v>299</v>
      </c>
      <c r="CE70" s="1">
        <v>1</v>
      </c>
      <c r="CF70" s="2" t="s">
        <v>370</v>
      </c>
      <c r="CG70" s="2"/>
      <c r="CH70" s="2" t="s">
        <v>294</v>
      </c>
      <c r="CI70" s="2" t="s">
        <v>302</v>
      </c>
      <c r="CJ70" s="1">
        <v>0</v>
      </c>
      <c r="CK70" s="2"/>
      <c r="CL70" s="2"/>
      <c r="CM70" s="2" t="s">
        <v>288</v>
      </c>
      <c r="CN70" s="2" t="s">
        <v>331</v>
      </c>
      <c r="CO70" s="1">
        <v>0</v>
      </c>
      <c r="CP70" s="2"/>
      <c r="CQ70" s="2"/>
      <c r="CR70" s="1">
        <v>1</v>
      </c>
      <c r="CS70" s="2" t="s">
        <v>741</v>
      </c>
      <c r="CT70" s="2" t="s">
        <v>299</v>
      </c>
      <c r="CU70" s="1">
        <v>1</v>
      </c>
      <c r="CV70" s="2" t="s">
        <v>742</v>
      </c>
      <c r="CW70" s="2"/>
      <c r="CX70" s="2" t="s">
        <v>301</v>
      </c>
      <c r="CY70" s="2" t="s">
        <v>297</v>
      </c>
      <c r="CZ70" s="1">
        <v>0</v>
      </c>
      <c r="DA70" s="2"/>
      <c r="DB70" s="2"/>
      <c r="DC70" s="2" t="s">
        <v>288</v>
      </c>
      <c r="DD70" s="2" t="s">
        <v>339</v>
      </c>
      <c r="DE70" s="1">
        <v>0</v>
      </c>
      <c r="DF70" s="2"/>
      <c r="DG70" s="2"/>
      <c r="DH70" s="1">
        <v>0</v>
      </c>
      <c r="DI70" s="2"/>
      <c r="DJ70" s="2" t="s">
        <v>299</v>
      </c>
      <c r="DK70" s="1">
        <v>1</v>
      </c>
      <c r="DL70" s="2" t="s">
        <v>743</v>
      </c>
      <c r="DM70" s="2"/>
      <c r="DN70" s="2" t="s">
        <v>294</v>
      </c>
      <c r="DO70" s="2" t="s">
        <v>331</v>
      </c>
      <c r="DP70" s="1">
        <v>0</v>
      </c>
      <c r="DQ70" s="2"/>
      <c r="DR70" s="2"/>
      <c r="DS70" s="2" t="s">
        <v>298</v>
      </c>
      <c r="DT70" s="2" t="s">
        <v>331</v>
      </c>
      <c r="DU70" s="1">
        <v>0</v>
      </c>
      <c r="DV70" s="2"/>
      <c r="DW70" s="2"/>
      <c r="DX70" s="2" t="s">
        <v>744</v>
      </c>
      <c r="DY70" s="1">
        <v>1</v>
      </c>
      <c r="DZ70" s="2" t="s">
        <v>374</v>
      </c>
      <c r="EA70" s="2" t="s">
        <v>301</v>
      </c>
      <c r="EB70" s="2" t="s">
        <v>331</v>
      </c>
      <c r="EC70" s="1">
        <v>0</v>
      </c>
      <c r="ED70" s="2"/>
      <c r="EE70" s="2"/>
      <c r="EF70" s="2" t="s">
        <v>288</v>
      </c>
      <c r="EG70" s="2" t="s">
        <v>331</v>
      </c>
      <c r="EH70" s="1">
        <v>0</v>
      </c>
      <c r="EI70" s="2"/>
      <c r="EJ70" s="2"/>
      <c r="EK70" s="2"/>
      <c r="EL70" s="1">
        <v>0</v>
      </c>
      <c r="EM70" s="2"/>
      <c r="EN70" s="1">
        <v>0</v>
      </c>
      <c r="EO70" s="2"/>
      <c r="EP70" s="2" t="s">
        <v>299</v>
      </c>
      <c r="EQ70" s="2" t="s">
        <v>299</v>
      </c>
      <c r="ER70" s="1">
        <v>0</v>
      </c>
      <c r="ES70" s="2"/>
      <c r="ET70" s="2"/>
      <c r="EU70" s="2"/>
      <c r="EV70" s="2"/>
      <c r="EW70" s="2"/>
      <c r="EX70" s="2"/>
      <c r="EY70" s="2"/>
      <c r="EZ70" s="2"/>
      <c r="FA70" s="1">
        <v>1</v>
      </c>
      <c r="FB70" s="2" t="s">
        <v>745</v>
      </c>
      <c r="FC70" s="2"/>
      <c r="FD70" s="2"/>
      <c r="FE70" s="2" t="s">
        <v>437</v>
      </c>
      <c r="FF70" s="2" t="s">
        <v>317</v>
      </c>
      <c r="FG70" s="2" t="s">
        <v>746</v>
      </c>
      <c r="FH70" s="2"/>
      <c r="FI70" s="1">
        <v>-1</v>
      </c>
      <c r="FJ70" s="1">
        <v>-1</v>
      </c>
      <c r="FK70" s="1">
        <v>-1</v>
      </c>
      <c r="FL70" s="1">
        <v>-1</v>
      </c>
      <c r="FM70" s="1">
        <v>-1</v>
      </c>
      <c r="FN70" s="1">
        <v>-1</v>
      </c>
      <c r="FO70" s="1">
        <v>-1</v>
      </c>
      <c r="FP70" s="1">
        <v>-1</v>
      </c>
      <c r="FQ70" s="1">
        <v>-1</v>
      </c>
      <c r="FR70" s="1">
        <v>-1</v>
      </c>
      <c r="FS70" s="1">
        <v>-1</v>
      </c>
      <c r="FT70" s="1">
        <v>-1</v>
      </c>
      <c r="FU70" s="1">
        <v>-1</v>
      </c>
      <c r="FV70" s="1">
        <v>-1</v>
      </c>
      <c r="FW70" s="1">
        <v>-1</v>
      </c>
      <c r="FX70" s="1">
        <v>-15</v>
      </c>
      <c r="FY70" s="3"/>
      <c r="FZ70" s="3"/>
      <c r="GA70" s="2" t="s">
        <v>319</v>
      </c>
      <c r="GB70" s="2" t="s">
        <v>320</v>
      </c>
      <c r="GC70" s="2" t="s">
        <v>277</v>
      </c>
      <c r="GD70" s="1">
        <v>15</v>
      </c>
      <c r="GE70" s="1">
        <v>15</v>
      </c>
      <c r="GF70" s="1">
        <v>34</v>
      </c>
      <c r="GG70" s="1">
        <v>8</v>
      </c>
      <c r="GH70" s="4"/>
    </row>
    <row r="71" spans="1:190" x14ac:dyDescent="0.25">
      <c r="A71" s="1">
        <v>248</v>
      </c>
      <c r="B71" s="2" t="s">
        <v>676</v>
      </c>
      <c r="C71" s="2" t="s">
        <v>279</v>
      </c>
      <c r="D71" s="2" t="s">
        <v>422</v>
      </c>
      <c r="E71" s="2" t="s">
        <v>282</v>
      </c>
      <c r="F71" s="2" t="s">
        <v>281</v>
      </c>
      <c r="G71" s="2" t="s">
        <v>282</v>
      </c>
      <c r="H71" s="2" t="s">
        <v>282</v>
      </c>
      <c r="I71" s="2" t="s">
        <v>282</v>
      </c>
      <c r="J71" s="2" t="s">
        <v>281</v>
      </c>
      <c r="K71" s="2" t="s">
        <v>282</v>
      </c>
      <c r="L71" s="2" t="s">
        <v>282</v>
      </c>
      <c r="M71" s="2" t="s">
        <v>282</v>
      </c>
      <c r="N71" s="1">
        <v>0</v>
      </c>
      <c r="O71" s="2"/>
      <c r="P71" s="2"/>
      <c r="Q71" s="2" t="s">
        <v>283</v>
      </c>
      <c r="R71" s="11" t="s">
        <v>378</v>
      </c>
      <c r="S71" s="2"/>
      <c r="T71" s="2"/>
      <c r="U71" s="2"/>
      <c r="V71" s="1">
        <v>1</v>
      </c>
      <c r="W71" s="2" t="s">
        <v>374</v>
      </c>
      <c r="X71" s="2"/>
      <c r="Y71" s="2" t="s">
        <v>301</v>
      </c>
      <c r="Z71" s="2" t="s">
        <v>331</v>
      </c>
      <c r="AA71" s="1">
        <v>0</v>
      </c>
      <c r="AB71" s="2"/>
      <c r="AC71" s="2"/>
      <c r="AD71" s="2" t="s">
        <v>288</v>
      </c>
      <c r="AE71" s="2" t="s">
        <v>500</v>
      </c>
      <c r="AF71" s="1">
        <v>0</v>
      </c>
      <c r="AG71" s="2"/>
      <c r="AH71" s="2"/>
      <c r="AI71" s="1">
        <v>0</v>
      </c>
      <c r="AJ71" s="2"/>
      <c r="AK71" s="2"/>
      <c r="AL71" s="2" t="s">
        <v>292</v>
      </c>
      <c r="AM71" s="1">
        <v>1</v>
      </c>
      <c r="AN71" s="2" t="s">
        <v>739</v>
      </c>
      <c r="AO71" s="2"/>
      <c r="AP71" s="2" t="s">
        <v>301</v>
      </c>
      <c r="AQ71" s="2" t="s">
        <v>287</v>
      </c>
      <c r="AR71" s="1">
        <v>0</v>
      </c>
      <c r="AS71" s="2"/>
      <c r="AT71" s="2"/>
      <c r="AU71" s="2" t="s">
        <v>288</v>
      </c>
      <c r="AV71" s="2" t="s">
        <v>302</v>
      </c>
      <c r="AW71" s="1">
        <v>0</v>
      </c>
      <c r="AX71" s="2"/>
      <c r="AY71" s="2"/>
      <c r="AZ71" s="1">
        <v>0</v>
      </c>
      <c r="BA71" s="2"/>
      <c r="BB71" s="2" t="s">
        <v>328</v>
      </c>
      <c r="BC71" s="2" t="s">
        <v>294</v>
      </c>
      <c r="BD71" s="2" t="s">
        <v>297</v>
      </c>
      <c r="BE71" s="1">
        <v>0</v>
      </c>
      <c r="BF71" s="2"/>
      <c r="BG71" s="2"/>
      <c r="BH71" s="2" t="s">
        <v>288</v>
      </c>
      <c r="BI71" s="2" t="s">
        <v>302</v>
      </c>
      <c r="BJ71" s="1">
        <v>0</v>
      </c>
      <c r="BK71" s="2"/>
      <c r="BL71" s="2"/>
      <c r="BM71" s="1">
        <v>0</v>
      </c>
      <c r="BN71" s="2"/>
      <c r="BO71" s="2" t="s">
        <v>299</v>
      </c>
      <c r="BP71" s="1">
        <v>1</v>
      </c>
      <c r="BQ71" s="2" t="s">
        <v>747</v>
      </c>
      <c r="BR71" s="2" t="s">
        <v>301</v>
      </c>
      <c r="BS71" s="2" t="s">
        <v>297</v>
      </c>
      <c r="BT71" s="1">
        <v>0</v>
      </c>
      <c r="BU71" s="2"/>
      <c r="BV71" s="2"/>
      <c r="BW71" s="2" t="s">
        <v>288</v>
      </c>
      <c r="BX71" s="2" t="s">
        <v>331</v>
      </c>
      <c r="BY71" s="1">
        <v>0</v>
      </c>
      <c r="BZ71" s="2"/>
      <c r="CA71" s="2"/>
      <c r="CB71" s="1">
        <v>0</v>
      </c>
      <c r="CC71" s="2"/>
      <c r="CD71" s="2" t="s">
        <v>299</v>
      </c>
      <c r="CE71" s="1">
        <v>1</v>
      </c>
      <c r="CF71" s="2" t="s">
        <v>370</v>
      </c>
      <c r="CG71" s="2"/>
      <c r="CH71" s="2" t="s">
        <v>294</v>
      </c>
      <c r="CI71" s="2" t="s">
        <v>297</v>
      </c>
      <c r="CJ71" s="1">
        <v>0</v>
      </c>
      <c r="CK71" s="2"/>
      <c r="CL71" s="2"/>
      <c r="CM71" s="2" t="s">
        <v>305</v>
      </c>
      <c r="CN71" s="2" t="s">
        <v>302</v>
      </c>
      <c r="CO71" s="1">
        <v>0</v>
      </c>
      <c r="CP71" s="2"/>
      <c r="CQ71" s="2"/>
      <c r="CR71" s="1">
        <v>0</v>
      </c>
      <c r="CS71" s="2"/>
      <c r="CT71" s="2" t="s">
        <v>299</v>
      </c>
      <c r="CU71" s="1">
        <v>0</v>
      </c>
      <c r="CV71" s="2"/>
      <c r="CW71" s="2"/>
      <c r="CX71" s="2" t="s">
        <v>301</v>
      </c>
      <c r="CY71" s="2" t="s">
        <v>297</v>
      </c>
      <c r="CZ71" s="1">
        <v>0</v>
      </c>
      <c r="DA71" s="2"/>
      <c r="DB71" s="2"/>
      <c r="DC71" s="2" t="s">
        <v>324</v>
      </c>
      <c r="DD71" s="2" t="s">
        <v>302</v>
      </c>
      <c r="DE71" s="1">
        <v>0</v>
      </c>
      <c r="DF71" s="2"/>
      <c r="DG71" s="2"/>
      <c r="DH71" s="1">
        <v>0</v>
      </c>
      <c r="DI71" s="2"/>
      <c r="DJ71" s="2" t="s">
        <v>328</v>
      </c>
      <c r="DK71" s="1">
        <v>1</v>
      </c>
      <c r="DL71" s="2" t="s">
        <v>748</v>
      </c>
      <c r="DM71" s="2"/>
      <c r="DN71" s="2" t="s">
        <v>301</v>
      </c>
      <c r="DO71" s="2" t="s">
        <v>331</v>
      </c>
      <c r="DP71" s="1">
        <v>0</v>
      </c>
      <c r="DQ71" s="2"/>
      <c r="DR71" s="2"/>
      <c r="DS71" s="2" t="s">
        <v>288</v>
      </c>
      <c r="DT71" s="2" t="s">
        <v>302</v>
      </c>
      <c r="DU71" s="1">
        <v>0</v>
      </c>
      <c r="DV71" s="2"/>
      <c r="DW71" s="2"/>
      <c r="DX71" s="2"/>
      <c r="DY71" s="1">
        <v>1</v>
      </c>
      <c r="DZ71" s="2" t="s">
        <v>374</v>
      </c>
      <c r="EA71" s="2" t="s">
        <v>301</v>
      </c>
      <c r="EB71" s="2" t="s">
        <v>331</v>
      </c>
      <c r="EC71" s="1">
        <v>0</v>
      </c>
      <c r="ED71" s="2"/>
      <c r="EE71" s="2"/>
      <c r="EF71" s="2" t="s">
        <v>288</v>
      </c>
      <c r="EG71" s="2" t="s">
        <v>339</v>
      </c>
      <c r="EH71" s="1">
        <v>0</v>
      </c>
      <c r="EI71" s="2"/>
      <c r="EJ71" s="2"/>
      <c r="EK71" s="2"/>
      <c r="EL71" s="1">
        <v>0</v>
      </c>
      <c r="EM71" s="2"/>
      <c r="EN71" s="1">
        <v>0</v>
      </c>
      <c r="EO71" s="2"/>
      <c r="EP71" s="2" t="s">
        <v>328</v>
      </c>
      <c r="EQ71" s="2" t="s">
        <v>299</v>
      </c>
      <c r="ER71" s="1">
        <v>0</v>
      </c>
      <c r="ES71" s="2"/>
      <c r="ET71" s="2"/>
      <c r="EU71" s="2"/>
      <c r="EV71" s="2"/>
      <c r="EW71" s="2"/>
      <c r="EX71" s="2"/>
      <c r="EY71" s="2"/>
      <c r="EZ71" s="2"/>
      <c r="FA71" s="1">
        <v>0</v>
      </c>
      <c r="FB71" s="2"/>
      <c r="FC71" s="2"/>
      <c r="FD71" s="2"/>
      <c r="FE71" s="2" t="s">
        <v>350</v>
      </c>
      <c r="FF71" s="2" t="s">
        <v>317</v>
      </c>
      <c r="FG71" s="2" t="s">
        <v>749</v>
      </c>
      <c r="FH71" s="2"/>
      <c r="FI71" s="1">
        <v>-1</v>
      </c>
      <c r="FJ71" s="1">
        <v>-1</v>
      </c>
      <c r="FK71" s="1">
        <v>-1</v>
      </c>
      <c r="FL71" s="1">
        <v>-1</v>
      </c>
      <c r="FM71" s="1">
        <v>-1</v>
      </c>
      <c r="FN71" s="1">
        <v>-1</v>
      </c>
      <c r="FO71" s="1">
        <v>-1</v>
      </c>
      <c r="FP71" s="1">
        <v>-1</v>
      </c>
      <c r="FQ71" s="1">
        <v>-1</v>
      </c>
      <c r="FR71" s="1">
        <v>-1</v>
      </c>
      <c r="FS71" s="1">
        <v>-1</v>
      </c>
      <c r="FT71" s="1">
        <v>-1</v>
      </c>
      <c r="FU71" s="1">
        <v>-1</v>
      </c>
      <c r="FV71" s="1">
        <v>-1</v>
      </c>
      <c r="FW71" s="1">
        <v>-1</v>
      </c>
      <c r="FX71" s="1">
        <v>-15</v>
      </c>
      <c r="FY71" s="3"/>
      <c r="FZ71" s="3"/>
      <c r="GA71" s="2" t="s">
        <v>319</v>
      </c>
      <c r="GB71" s="2" t="s">
        <v>320</v>
      </c>
      <c r="GC71" s="2" t="s">
        <v>277</v>
      </c>
      <c r="GD71" s="1">
        <v>15</v>
      </c>
      <c r="GE71" s="1">
        <v>15</v>
      </c>
      <c r="GF71" s="1">
        <v>40</v>
      </c>
      <c r="GG71" s="1">
        <v>12</v>
      </c>
      <c r="GH71" s="4"/>
    </row>
    <row r="73" spans="1:190" s="6" customFormat="1" x14ac:dyDescent="0.25"/>
    <row r="75" spans="1:190" ht="28.2" x14ac:dyDescent="0.5">
      <c r="B75" s="8" t="s">
        <v>875</v>
      </c>
    </row>
    <row r="77" spans="1:190" x14ac:dyDescent="0.25">
      <c r="B77" s="134" t="s">
        <v>751</v>
      </c>
      <c r="C77" s="134"/>
      <c r="E77" s="134" t="s">
        <v>192</v>
      </c>
      <c r="F77" s="134"/>
      <c r="H77" s="134" t="s">
        <v>753</v>
      </c>
      <c r="I77" s="134"/>
    </row>
    <row r="78" spans="1:190" x14ac:dyDescent="0.25">
      <c r="B78" t="s">
        <v>278</v>
      </c>
      <c r="C78">
        <f>COUNTIF(B3:B71,B78)</f>
        <v>2</v>
      </c>
      <c r="E78" t="s">
        <v>279</v>
      </c>
      <c r="F78">
        <f>COUNTIF(C3:C71,E78)</f>
        <v>27</v>
      </c>
      <c r="H78" s="2" t="s">
        <v>283</v>
      </c>
      <c r="I78">
        <f>COUNTIF(Q3:Q71,H78)</f>
        <v>17</v>
      </c>
    </row>
    <row r="79" spans="1:190" x14ac:dyDescent="0.25">
      <c r="B79" t="s">
        <v>321</v>
      </c>
      <c r="C79">
        <f>COUNTIF(B3:B71,B79)</f>
        <v>21</v>
      </c>
      <c r="E79" s="2" t="s">
        <v>353</v>
      </c>
      <c r="F79">
        <f>COUNTIF(C3:C71,E79)</f>
        <v>41</v>
      </c>
      <c r="H79" s="2" t="s">
        <v>337</v>
      </c>
      <c r="I79">
        <f>COUNTIF(Q3:Q71,H79)</f>
        <v>13</v>
      </c>
    </row>
    <row r="80" spans="1:190" x14ac:dyDescent="0.25">
      <c r="B80" t="s">
        <v>421</v>
      </c>
      <c r="C80">
        <f>COUNTIF(B3:B71,B80)</f>
        <v>13</v>
      </c>
      <c r="E80" t="s">
        <v>752</v>
      </c>
      <c r="F80">
        <v>1</v>
      </c>
      <c r="H80" s="2" t="s">
        <v>355</v>
      </c>
      <c r="I80">
        <f>COUNTIF(Q3:Q71,H80)</f>
        <v>16</v>
      </c>
    </row>
    <row r="81" spans="2:14" x14ac:dyDescent="0.25">
      <c r="B81" t="s">
        <v>347</v>
      </c>
      <c r="C81">
        <f>COUNTIF(B3:B71,B81)</f>
        <v>19</v>
      </c>
      <c r="E81" s="7" t="s">
        <v>750</v>
      </c>
      <c r="F81" s="7">
        <f>SUM(F78:F80)</f>
        <v>69</v>
      </c>
      <c r="H81" s="2" t="s">
        <v>423</v>
      </c>
      <c r="I81">
        <f>COUNTIF(Q3:Q71,H81)</f>
        <v>23</v>
      </c>
    </row>
    <row r="82" spans="2:14" x14ac:dyDescent="0.25">
      <c r="B82" t="s">
        <v>376</v>
      </c>
      <c r="C82">
        <f>COUNTIF(B3:B71,B82)</f>
        <v>10</v>
      </c>
      <c r="H82" s="7" t="s">
        <v>750</v>
      </c>
      <c r="I82" s="7">
        <f>SUM(I78:I81)</f>
        <v>69</v>
      </c>
    </row>
    <row r="83" spans="2:14" x14ac:dyDescent="0.25">
      <c r="B83" t="s">
        <v>676</v>
      </c>
      <c r="C83">
        <f>COUNTIF(B3:B71,B83)</f>
        <v>4</v>
      </c>
      <c r="M83" s="12"/>
      <c r="N83" t="s">
        <v>871</v>
      </c>
    </row>
    <row r="84" spans="2:14" x14ac:dyDescent="0.25">
      <c r="B84" s="7" t="s">
        <v>750</v>
      </c>
      <c r="C84" s="7">
        <f>SUM(C78:C83)</f>
        <v>69</v>
      </c>
      <c r="H84" s="9" t="s">
        <v>754</v>
      </c>
      <c r="M84" s="10"/>
      <c r="N84" t="s">
        <v>872</v>
      </c>
    </row>
    <row r="85" spans="2:14" x14ac:dyDescent="0.25">
      <c r="H85" t="s">
        <v>755</v>
      </c>
      <c r="I85" t="s">
        <v>284</v>
      </c>
      <c r="J85">
        <f>COUNTIF(R3:R71,I85)</f>
        <v>3</v>
      </c>
    </row>
    <row r="86" spans="2:14" x14ac:dyDescent="0.25">
      <c r="I86" t="s">
        <v>322</v>
      </c>
      <c r="J86" s="10">
        <f>COUNTIF(R3:R71,I86)</f>
        <v>7</v>
      </c>
      <c r="M86" t="s">
        <v>873</v>
      </c>
    </row>
    <row r="87" spans="2:14" x14ac:dyDescent="0.25">
      <c r="I87" t="s">
        <v>449</v>
      </c>
      <c r="J87">
        <f>COUNTIF(R3:R71,I87)</f>
        <v>2</v>
      </c>
    </row>
    <row r="88" spans="2:14" x14ac:dyDescent="0.25">
      <c r="I88" t="s">
        <v>378</v>
      </c>
      <c r="J88" s="10">
        <f>COUNTIF(R3:R71,I88)</f>
        <v>5</v>
      </c>
    </row>
    <row r="89" spans="2:14" x14ac:dyDescent="0.25">
      <c r="I89" s="7" t="s">
        <v>750</v>
      </c>
      <c r="J89" s="7">
        <f>SUM(J85:J88)</f>
        <v>17</v>
      </c>
    </row>
    <row r="92" spans="2:14" x14ac:dyDescent="0.25">
      <c r="H92" t="s">
        <v>756</v>
      </c>
      <c r="I92" t="s">
        <v>338</v>
      </c>
      <c r="J92">
        <f>COUNTIF(S3:S71,I92)</f>
        <v>2</v>
      </c>
    </row>
    <row r="93" spans="2:14" x14ac:dyDescent="0.25">
      <c r="I93" t="s">
        <v>403</v>
      </c>
      <c r="J93">
        <f>COUNTIF(S3:S71,I93)</f>
        <v>1</v>
      </c>
    </row>
    <row r="94" spans="2:14" x14ac:dyDescent="0.25">
      <c r="I94" t="s">
        <v>378</v>
      </c>
      <c r="J94">
        <f>COUNTIF(S3:S71,I94)</f>
        <v>1</v>
      </c>
    </row>
    <row r="95" spans="2:14" x14ac:dyDescent="0.25">
      <c r="I95" t="s">
        <v>463</v>
      </c>
      <c r="J95">
        <f>COUNTIF(S3:S71,I95)</f>
        <v>1</v>
      </c>
    </row>
    <row r="96" spans="2:14" x14ac:dyDescent="0.25">
      <c r="I96" t="s">
        <v>424</v>
      </c>
      <c r="J96" s="12">
        <f>COUNTIF(S3:S71,I96)</f>
        <v>3</v>
      </c>
    </row>
    <row r="97" spans="8:10" x14ac:dyDescent="0.25">
      <c r="I97" t="s">
        <v>395</v>
      </c>
      <c r="J97" s="12">
        <f>COUNTIF(S3:S71,I97)</f>
        <v>4</v>
      </c>
    </row>
    <row r="98" spans="8:10" x14ac:dyDescent="0.25">
      <c r="I98" t="s">
        <v>757</v>
      </c>
      <c r="J98" s="12">
        <f>COUNTIF(S3:S71,I98)</f>
        <v>1</v>
      </c>
    </row>
    <row r="99" spans="8:10" x14ac:dyDescent="0.25">
      <c r="I99" s="7" t="s">
        <v>750</v>
      </c>
      <c r="J99" s="7">
        <f>SUM(J92:J98)</f>
        <v>13</v>
      </c>
    </row>
    <row r="102" spans="8:10" x14ac:dyDescent="0.25">
      <c r="H102" t="s">
        <v>758</v>
      </c>
      <c r="I102" t="s">
        <v>284</v>
      </c>
      <c r="J102" s="10">
        <f>COUNTIF(T3:T71,I102)</f>
        <v>3</v>
      </c>
    </row>
    <row r="103" spans="8:10" x14ac:dyDescent="0.25">
      <c r="I103" t="s">
        <v>322</v>
      </c>
      <c r="J103" s="10">
        <f>COUNTIF(T3:T71,I103)</f>
        <v>11</v>
      </c>
    </row>
    <row r="104" spans="8:10" x14ac:dyDescent="0.25">
      <c r="I104" t="s">
        <v>394</v>
      </c>
      <c r="J104">
        <f>COUNTIF(T3:T71,I104)</f>
        <v>1</v>
      </c>
    </row>
    <row r="105" spans="8:10" x14ac:dyDescent="0.25">
      <c r="I105" t="s">
        <v>710</v>
      </c>
      <c r="J105">
        <f>COUNTIF(T3:T71,I105)</f>
        <v>1</v>
      </c>
    </row>
    <row r="106" spans="8:10" x14ac:dyDescent="0.25">
      <c r="I106" s="7" t="s">
        <v>750</v>
      </c>
      <c r="J106" s="7">
        <f>SUM(J102:J105)</f>
        <v>16</v>
      </c>
    </row>
    <row r="109" spans="8:10" x14ac:dyDescent="0.25">
      <c r="H109" t="s">
        <v>603</v>
      </c>
      <c r="I109" t="s">
        <v>463</v>
      </c>
      <c r="J109">
        <f>COUNTIF(U3:U71,I109)</f>
        <v>2</v>
      </c>
    </row>
    <row r="110" spans="8:10" x14ac:dyDescent="0.25">
      <c r="I110" t="s">
        <v>424</v>
      </c>
      <c r="J110" s="12">
        <f>COUNTIF(U3:U71,I110)</f>
        <v>11</v>
      </c>
    </row>
    <row r="111" spans="8:10" x14ac:dyDescent="0.25">
      <c r="I111" t="s">
        <v>464</v>
      </c>
      <c r="J111" s="12">
        <f>COUNTIF(U3:U71,I111)</f>
        <v>8</v>
      </c>
    </row>
    <row r="112" spans="8:10" x14ac:dyDescent="0.25">
      <c r="I112" t="s">
        <v>652</v>
      </c>
      <c r="J112">
        <f>COUNTIF(U3:U71,I112)</f>
        <v>2</v>
      </c>
    </row>
    <row r="113" spans="8:10" x14ac:dyDescent="0.25">
      <c r="I113" s="7" t="s">
        <v>750</v>
      </c>
      <c r="J113" s="7">
        <f>SUM(J109:J112)</f>
        <v>23</v>
      </c>
    </row>
    <row r="115" spans="8:10" x14ac:dyDescent="0.25">
      <c r="H115" t="s">
        <v>874</v>
      </c>
    </row>
  </sheetData>
  <mergeCells count="3">
    <mergeCell ref="B77:C77"/>
    <mergeCell ref="E77:F77"/>
    <mergeCell ref="H77:I77"/>
  </mergeCells>
  <phoneticPr fontId="2" type="noConversion"/>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DCC13-2244-4923-972D-6416866A8670}">
  <dimension ref="A1:GI154"/>
  <sheetViews>
    <sheetView topLeftCell="I1" zoomScale="55" zoomScaleNormal="55" workbookViewId="0">
      <pane ySplit="3" topLeftCell="A116" activePane="bottomLeft" state="frozen"/>
      <selection pane="bottomLeft" activeCell="Q175" sqref="Q175"/>
    </sheetView>
  </sheetViews>
  <sheetFormatPr baseColWidth="10" defaultRowHeight="13.2" x14ac:dyDescent="0.25"/>
  <cols>
    <col min="1" max="1" width="8" customWidth="1"/>
    <col min="2" max="2" width="16.6640625" bestFit="1" customWidth="1"/>
    <col min="3" max="3" width="10.109375" bestFit="1" customWidth="1"/>
    <col min="4" max="4" width="13.5546875" customWidth="1"/>
    <col min="5" max="5" width="14.6640625" bestFit="1" customWidth="1"/>
    <col min="6" max="6" width="15.109375" bestFit="1" customWidth="1"/>
    <col min="7" max="7" width="21.6640625" bestFit="1" customWidth="1"/>
    <col min="8" max="8" width="19.88671875" customWidth="1"/>
    <col min="9" max="9" width="20.6640625" bestFit="1" customWidth="1"/>
    <col min="10" max="10" width="12.6640625" bestFit="1" customWidth="1"/>
    <col min="11" max="11" width="12.109375" bestFit="1" customWidth="1"/>
    <col min="12" max="12" width="13" bestFit="1" customWidth="1"/>
    <col min="13" max="13" width="23.44140625" bestFit="1" customWidth="1"/>
    <col min="14" max="14" width="42.21875" customWidth="1"/>
    <col min="15" max="16" width="30.44140625" bestFit="1" customWidth="1"/>
    <col min="17" max="17" width="31.5546875" bestFit="1" customWidth="1"/>
    <col min="18" max="18" width="13.77734375" bestFit="1" customWidth="1"/>
    <col min="19" max="19" width="14.77734375" bestFit="1" customWidth="1"/>
    <col min="20" max="20" width="13.21875" bestFit="1" customWidth="1"/>
    <col min="21" max="21" width="20.21875" bestFit="1" customWidth="1"/>
    <col min="22" max="22" width="13.6640625" customWidth="1"/>
    <col min="23" max="23" width="12.77734375" customWidth="1"/>
    <col min="24" max="24" width="28.6640625" customWidth="1"/>
    <col min="25" max="25" width="23.109375" customWidth="1"/>
    <col min="26" max="26" width="22.109375" customWidth="1"/>
    <col min="27" max="28" width="8" customWidth="1"/>
    <col min="29" max="29" width="21.44140625" customWidth="1"/>
    <col min="30" max="30" width="12.109375" customWidth="1"/>
    <col min="31" max="31" width="9.5546875" customWidth="1"/>
    <col min="32" max="33" width="8" customWidth="1"/>
    <col min="34" max="35" width="32" customWidth="1"/>
    <col min="36" max="36" width="8" customWidth="1"/>
    <col min="37" max="38" width="32" customWidth="1"/>
    <col min="39" max="39" width="22.77734375" customWidth="1"/>
    <col min="40" max="40" width="8" customWidth="1"/>
    <col min="41" max="42" width="32" customWidth="1"/>
    <col min="43" max="45" width="8" customWidth="1"/>
    <col min="46" max="47" width="32" customWidth="1"/>
    <col min="48" max="48" width="10" customWidth="1"/>
    <col min="49" max="50" width="8" customWidth="1"/>
    <col min="51" max="52" width="32" customWidth="1"/>
    <col min="53" max="53" width="8" customWidth="1"/>
    <col min="54" max="54" width="49.88671875" customWidth="1"/>
    <col min="55" max="55" width="17.77734375" customWidth="1"/>
    <col min="56" max="56" width="17.88671875" customWidth="1"/>
    <col min="57" max="58" width="8" customWidth="1"/>
    <col min="59" max="59" width="25.33203125" customWidth="1"/>
    <col min="60" max="60" width="18.77734375" customWidth="1"/>
    <col min="61" max="61" width="12.33203125" customWidth="1"/>
    <col min="62" max="63" width="8" customWidth="1"/>
    <col min="64" max="64" width="17.21875" customWidth="1"/>
    <col min="65" max="65" width="20.44140625" customWidth="1"/>
    <col min="66" max="66" width="8" customWidth="1"/>
    <col min="67" max="67" width="37.5546875" customWidth="1"/>
    <col min="68" max="68" width="19.5546875" customWidth="1"/>
    <col min="69" max="69" width="8" customWidth="1"/>
    <col min="70" max="70" width="32" customWidth="1"/>
    <col min="71" max="71" width="8" customWidth="1"/>
    <col min="72" max="72" width="19.6640625" customWidth="1"/>
    <col min="73" max="73" width="8" customWidth="1"/>
    <col min="74" max="74" width="10.44140625" customWidth="1"/>
    <col min="75" max="75" width="12.6640625" customWidth="1"/>
    <col min="76" max="76" width="22.44140625" customWidth="1"/>
    <col min="77" max="77" width="5.77734375" customWidth="1"/>
    <col min="78" max="78" width="8" customWidth="1"/>
    <col min="79" max="80" width="32" customWidth="1"/>
    <col min="81" max="81" width="8" customWidth="1"/>
    <col min="82" max="82" width="32" customWidth="1"/>
    <col min="83" max="83" width="18.109375" customWidth="1"/>
    <col min="84" max="84" width="8" customWidth="1"/>
    <col min="85" max="86" width="32" customWidth="1"/>
    <col min="87" max="87" width="19" customWidth="1"/>
    <col min="88" max="89" width="8" customWidth="1"/>
    <col min="90" max="90" width="11.44140625" customWidth="1"/>
    <col min="91" max="91" width="12.5546875" customWidth="1"/>
    <col min="92" max="94" width="8" customWidth="1"/>
    <col min="95" max="95" width="15.88671875" customWidth="1"/>
    <col min="96" max="96" width="14.77734375" customWidth="1"/>
    <col min="97" max="97" width="8" customWidth="1"/>
    <col min="98" max="98" width="28" customWidth="1"/>
    <col min="99" max="100" width="11.44140625" customWidth="1"/>
    <col min="101" max="101" width="8" customWidth="1"/>
    <col min="102" max="103" width="32" customWidth="1"/>
    <col min="104" max="106" width="8" customWidth="1"/>
    <col min="107" max="107" width="8.6640625" customWidth="1"/>
    <col min="108" max="108" width="8.77734375" customWidth="1"/>
    <col min="109" max="109" width="17.44140625" customWidth="1"/>
    <col min="110" max="110" width="4.109375" customWidth="1"/>
    <col min="111" max="111" width="8" customWidth="1"/>
    <col min="112" max="112" width="14.109375" customWidth="1"/>
    <col min="113" max="113" width="8.88671875" customWidth="1"/>
    <col min="114" max="114" width="8" customWidth="1"/>
    <col min="115" max="115" width="32" customWidth="1"/>
    <col min="116" max="116" width="10.21875" customWidth="1"/>
    <col min="117" max="117" width="8" customWidth="1"/>
    <col min="118" max="118" width="32" customWidth="1"/>
    <col min="119" max="119" width="24.77734375" customWidth="1"/>
    <col min="120" max="120" width="13" customWidth="1"/>
    <col min="121" max="122" width="8" customWidth="1"/>
    <col min="123" max="123" width="12.21875" customWidth="1"/>
    <col min="124" max="124" width="14.33203125" customWidth="1"/>
    <col min="125" max="127" width="8" customWidth="1"/>
    <col min="128" max="128" width="9.6640625" customWidth="1"/>
    <col min="129" max="129" width="9" customWidth="1"/>
    <col min="130" max="131" width="32" customWidth="1"/>
    <col min="132" max="132" width="12" customWidth="1"/>
    <col min="133" max="133" width="8" customWidth="1"/>
    <col min="134" max="134" width="32" customWidth="1"/>
    <col min="135" max="137" width="8" customWidth="1"/>
    <col min="138" max="138" width="23.77734375" customWidth="1"/>
    <col min="139" max="139" width="16.5546875" customWidth="1"/>
    <col min="140" max="142" width="8" customWidth="1"/>
    <col min="143" max="143" width="9.21875" customWidth="1"/>
    <col min="144" max="144" width="8.5546875" customWidth="1"/>
    <col min="145" max="145" width="32" customWidth="1"/>
    <col min="146" max="146" width="8" customWidth="1"/>
    <col min="147" max="147" width="32" customWidth="1"/>
    <col min="148" max="148" width="14" customWidth="1"/>
    <col min="149" max="149" width="8" customWidth="1"/>
    <col min="150" max="157" width="32" customWidth="1"/>
    <col min="158" max="158" width="8" customWidth="1"/>
    <col min="159" max="161" width="32" customWidth="1"/>
    <col min="163" max="163" width="17.5546875" customWidth="1"/>
    <col min="164" max="165" width="32" customWidth="1"/>
    <col min="166" max="181" width="5" customWidth="1"/>
    <col min="182" max="183" width="20" customWidth="1"/>
    <col min="184" max="184" width="16" customWidth="1"/>
    <col min="185" max="191" width="8" customWidth="1"/>
  </cols>
  <sheetData>
    <row r="1" spans="1:191" x14ac:dyDescent="0.25">
      <c r="A1" t="s">
        <v>0</v>
      </c>
      <c r="B1" s="30" t="s">
        <v>1</v>
      </c>
      <c r="C1" s="30" t="s">
        <v>2</v>
      </c>
      <c r="D1" s="30" t="s">
        <v>3</v>
      </c>
      <c r="E1" s="30" t="s">
        <v>4</v>
      </c>
      <c r="F1" s="30" t="s">
        <v>5</v>
      </c>
      <c r="G1" s="30" t="s">
        <v>6</v>
      </c>
      <c r="H1" s="30" t="s">
        <v>7</v>
      </c>
      <c r="I1" s="30" t="s">
        <v>8</v>
      </c>
      <c r="J1" s="30" t="s">
        <v>9</v>
      </c>
      <c r="K1" s="30" t="s">
        <v>10</v>
      </c>
      <c r="L1" s="30" t="s">
        <v>11</v>
      </c>
      <c r="M1" s="30" t="s">
        <v>12</v>
      </c>
      <c r="N1" s="30" t="s">
        <v>13</v>
      </c>
      <c r="O1" s="30" t="s">
        <v>14</v>
      </c>
      <c r="P1" s="30" t="s">
        <v>15</v>
      </c>
      <c r="Q1" s="30" t="s">
        <v>16</v>
      </c>
      <c r="R1" s="30" t="s">
        <v>17</v>
      </c>
      <c r="S1" s="30" t="s">
        <v>18</v>
      </c>
      <c r="T1" s="30" t="s">
        <v>19</v>
      </c>
      <c r="U1" s="30" t="s">
        <v>20</v>
      </c>
      <c r="V1" s="30" t="s">
        <v>160</v>
      </c>
      <c r="W1" s="22" t="s">
        <v>21</v>
      </c>
      <c r="X1" s="22" t="s">
        <v>22</v>
      </c>
      <c r="Y1" s="22" t="s">
        <v>23</v>
      </c>
      <c r="Z1" s="22" t="s">
        <v>24</v>
      </c>
      <c r="AA1" s="22" t="s">
        <v>25</v>
      </c>
      <c r="AB1" s="22" t="s">
        <v>26</v>
      </c>
      <c r="AC1" s="22" t="s">
        <v>27</v>
      </c>
      <c r="AD1" s="22" t="s">
        <v>28</v>
      </c>
      <c r="AE1" s="22" t="s">
        <v>29</v>
      </c>
      <c r="AF1" s="22" t="s">
        <v>30</v>
      </c>
      <c r="AG1" s="22" t="s">
        <v>31</v>
      </c>
      <c r="AH1" s="22" t="s">
        <v>32</v>
      </c>
      <c r="AI1" s="22" t="s">
        <v>33</v>
      </c>
      <c r="AJ1" s="22" t="s">
        <v>34</v>
      </c>
      <c r="AK1" s="22" t="s">
        <v>35</v>
      </c>
      <c r="AL1" s="22" t="s">
        <v>36</v>
      </c>
      <c r="AM1" s="22" t="s">
        <v>37</v>
      </c>
      <c r="AN1" s="23" t="s">
        <v>38</v>
      </c>
      <c r="AO1" s="23" t="s">
        <v>39</v>
      </c>
      <c r="AP1" s="23" t="s">
        <v>40</v>
      </c>
      <c r="AQ1" s="23" t="s">
        <v>41</v>
      </c>
      <c r="AR1" s="23" t="s">
        <v>42</v>
      </c>
      <c r="AS1" s="23" t="s">
        <v>43</v>
      </c>
      <c r="AT1" s="23" t="s">
        <v>44</v>
      </c>
      <c r="AU1" s="23" t="s">
        <v>45</v>
      </c>
      <c r="AV1" s="23" t="s">
        <v>46</v>
      </c>
      <c r="AW1" s="23" t="s">
        <v>47</v>
      </c>
      <c r="AX1" s="23" t="s">
        <v>48</v>
      </c>
      <c r="AY1" s="23" t="s">
        <v>49</v>
      </c>
      <c r="AZ1" s="23" t="s">
        <v>50</v>
      </c>
      <c r="BA1" s="23" t="s">
        <v>51</v>
      </c>
      <c r="BB1" s="23" t="s">
        <v>52</v>
      </c>
      <c r="BC1" s="23" t="s">
        <v>53</v>
      </c>
      <c r="BD1" s="24" t="s">
        <v>54</v>
      </c>
      <c r="BE1" s="24" t="s">
        <v>55</v>
      </c>
      <c r="BF1" s="24" t="s">
        <v>56</v>
      </c>
      <c r="BG1" s="24" t="s">
        <v>57</v>
      </c>
      <c r="BH1" s="24" t="s">
        <v>58</v>
      </c>
      <c r="BI1" s="24" t="s">
        <v>59</v>
      </c>
      <c r="BJ1" s="24" t="s">
        <v>60</v>
      </c>
      <c r="BK1" s="24" t="s">
        <v>61</v>
      </c>
      <c r="BL1" s="24" t="s">
        <v>62</v>
      </c>
      <c r="BM1" s="24" t="s">
        <v>63</v>
      </c>
      <c r="BN1" s="24" t="s">
        <v>64</v>
      </c>
      <c r="BO1" s="24" t="s">
        <v>65</v>
      </c>
      <c r="BP1" s="24" t="s">
        <v>66</v>
      </c>
      <c r="BQ1" s="25" t="s">
        <v>67</v>
      </c>
      <c r="BR1" s="25" t="s">
        <v>68</v>
      </c>
      <c r="BS1" s="25" t="s">
        <v>69</v>
      </c>
      <c r="BT1" s="25" t="s">
        <v>70</v>
      </c>
      <c r="BU1" s="25" t="s">
        <v>71</v>
      </c>
      <c r="BV1" s="25" t="s">
        <v>72</v>
      </c>
      <c r="BW1" s="25" t="s">
        <v>73</v>
      </c>
      <c r="BX1" s="25" t="s">
        <v>74</v>
      </c>
      <c r="BY1" s="25" t="s">
        <v>75</v>
      </c>
      <c r="BZ1" s="25" t="s">
        <v>76</v>
      </c>
      <c r="CA1" s="25" t="s">
        <v>77</v>
      </c>
      <c r="CB1" s="25" t="s">
        <v>78</v>
      </c>
      <c r="CC1" s="25" t="s">
        <v>79</v>
      </c>
      <c r="CD1" s="25" t="s">
        <v>80</v>
      </c>
      <c r="CE1" s="25" t="s">
        <v>81</v>
      </c>
      <c r="CF1" s="5" t="s">
        <v>82</v>
      </c>
      <c r="CG1" s="5" t="s">
        <v>83</v>
      </c>
      <c r="CH1" s="5" t="s">
        <v>84</v>
      </c>
      <c r="CI1" s="5" t="s">
        <v>85</v>
      </c>
      <c r="CJ1" s="5" t="s">
        <v>86</v>
      </c>
      <c r="CK1" s="5" t="s">
        <v>87</v>
      </c>
      <c r="CL1" s="5" t="s">
        <v>88</v>
      </c>
      <c r="CM1" s="5" t="s">
        <v>89</v>
      </c>
      <c r="CN1" s="5" t="s">
        <v>90</v>
      </c>
      <c r="CO1" s="5" t="s">
        <v>91</v>
      </c>
      <c r="CP1" s="5" t="s">
        <v>92</v>
      </c>
      <c r="CQ1" s="5" t="s">
        <v>93</v>
      </c>
      <c r="CR1" s="5" t="s">
        <v>94</v>
      </c>
      <c r="CS1" s="5" t="s">
        <v>95</v>
      </c>
      <c r="CT1" s="5" t="s">
        <v>96</v>
      </c>
      <c r="CU1" s="5" t="s">
        <v>97</v>
      </c>
      <c r="CV1" s="5"/>
      <c r="CW1" s="26" t="s">
        <v>98</v>
      </c>
      <c r="CX1" s="26" t="s">
        <v>99</v>
      </c>
      <c r="CY1" s="26" t="s">
        <v>100</v>
      </c>
      <c r="CZ1" s="26" t="s">
        <v>101</v>
      </c>
      <c r="DA1" s="26" t="s">
        <v>102</v>
      </c>
      <c r="DB1" s="26" t="s">
        <v>103</v>
      </c>
      <c r="DC1" s="26" t="s">
        <v>104</v>
      </c>
      <c r="DD1" s="26" t="s">
        <v>105</v>
      </c>
      <c r="DE1" s="26" t="s">
        <v>106</v>
      </c>
      <c r="DF1" s="26" t="s">
        <v>107</v>
      </c>
      <c r="DG1" s="26" t="s">
        <v>108</v>
      </c>
      <c r="DH1" s="26" t="s">
        <v>109</v>
      </c>
      <c r="DI1" s="26" t="s">
        <v>110</v>
      </c>
      <c r="DJ1" s="26" t="s">
        <v>111</v>
      </c>
      <c r="DK1" s="26" t="s">
        <v>112</v>
      </c>
      <c r="DL1" s="26" t="s">
        <v>113</v>
      </c>
      <c r="DM1" s="27" t="s">
        <v>114</v>
      </c>
      <c r="DN1" s="27" t="s">
        <v>115</v>
      </c>
      <c r="DO1" s="27" t="s">
        <v>116</v>
      </c>
      <c r="DP1" s="27" t="s">
        <v>117</v>
      </c>
      <c r="DQ1" s="27" t="s">
        <v>118</v>
      </c>
      <c r="DR1" s="27" t="s">
        <v>119</v>
      </c>
      <c r="DS1" s="27" t="s">
        <v>120</v>
      </c>
      <c r="DT1" s="27" t="s">
        <v>121</v>
      </c>
      <c r="DU1" s="27" t="s">
        <v>122</v>
      </c>
      <c r="DV1" s="27" t="s">
        <v>123</v>
      </c>
      <c r="DW1" s="27" t="s">
        <v>124</v>
      </c>
      <c r="DX1" s="27" t="s">
        <v>125</v>
      </c>
      <c r="DY1" s="27" t="s">
        <v>126</v>
      </c>
      <c r="DZ1" s="27" t="s">
        <v>127</v>
      </c>
      <c r="EA1" s="27" t="s">
        <v>142</v>
      </c>
      <c r="EB1" s="27" t="s">
        <v>145</v>
      </c>
      <c r="EC1" s="28" t="s">
        <v>128</v>
      </c>
      <c r="ED1" s="28" t="s">
        <v>129</v>
      </c>
      <c r="EE1" s="28" t="s">
        <v>130</v>
      </c>
      <c r="EF1" s="28" t="s">
        <v>131</v>
      </c>
      <c r="EG1" s="28" t="s">
        <v>132</v>
      </c>
      <c r="EH1" s="28" t="s">
        <v>133</v>
      </c>
      <c r="EI1" s="28" t="s">
        <v>134</v>
      </c>
      <c r="EJ1" s="28" t="s">
        <v>135</v>
      </c>
      <c r="EK1" s="28" t="s">
        <v>136</v>
      </c>
      <c r="EL1" s="28" t="s">
        <v>137</v>
      </c>
      <c r="EM1" s="28" t="s">
        <v>138</v>
      </c>
      <c r="EN1" s="28" t="s">
        <v>139</v>
      </c>
      <c r="EO1" s="28" t="s">
        <v>140</v>
      </c>
      <c r="EP1" s="28" t="s">
        <v>143</v>
      </c>
      <c r="EQ1" s="28" t="s">
        <v>144</v>
      </c>
      <c r="ER1" s="28" t="s">
        <v>146</v>
      </c>
      <c r="ES1" s="29" t="s">
        <v>147</v>
      </c>
      <c r="ET1" s="29" t="s">
        <v>148</v>
      </c>
      <c r="EU1" s="29" t="s">
        <v>149</v>
      </c>
      <c r="EV1" s="29" t="s">
        <v>150</v>
      </c>
      <c r="EW1" s="29" t="s">
        <v>151</v>
      </c>
      <c r="EX1" s="29" t="s">
        <v>152</v>
      </c>
      <c r="EY1" s="29" t="s">
        <v>153</v>
      </c>
      <c r="EZ1" s="29" t="s">
        <v>154</v>
      </c>
      <c r="FA1" s="29" t="s">
        <v>155</v>
      </c>
      <c r="FB1" s="29" t="s">
        <v>156</v>
      </c>
      <c r="FC1" s="29" t="s">
        <v>157</v>
      </c>
      <c r="FD1" s="29" t="s">
        <v>158</v>
      </c>
      <c r="FE1" s="29" t="s">
        <v>159</v>
      </c>
      <c r="FG1" s="29" t="s">
        <v>161</v>
      </c>
      <c r="FH1" s="29" t="s">
        <v>162</v>
      </c>
      <c r="FI1" s="29"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row>
    <row r="2" spans="1:191" s="17" customFormat="1" ht="13.8" thickBot="1" x14ac:dyDescent="0.3">
      <c r="A2" s="13" t="s">
        <v>190</v>
      </c>
      <c r="B2" s="14" t="s">
        <v>191</v>
      </c>
      <c r="C2" s="14" t="s">
        <v>192</v>
      </c>
      <c r="D2" s="14" t="s">
        <v>193</v>
      </c>
      <c r="E2" s="14" t="s">
        <v>194</v>
      </c>
      <c r="F2" s="14" t="s">
        <v>195</v>
      </c>
      <c r="G2" s="14" t="s">
        <v>196</v>
      </c>
      <c r="H2" s="14" t="s">
        <v>197</v>
      </c>
      <c r="I2" s="14" t="s">
        <v>198</v>
      </c>
      <c r="J2" s="14" t="s">
        <v>199</v>
      </c>
      <c r="K2" s="14" t="s">
        <v>200</v>
      </c>
      <c r="L2" s="14" t="s">
        <v>201</v>
      </c>
      <c r="M2" s="14" t="s">
        <v>202</v>
      </c>
      <c r="N2" s="13" t="s">
        <v>203</v>
      </c>
      <c r="O2" s="14" t="s">
        <v>204</v>
      </c>
      <c r="P2" s="14" t="s">
        <v>205</v>
      </c>
      <c r="Q2" s="14" t="s">
        <v>206</v>
      </c>
      <c r="R2" s="14" t="s">
        <v>207</v>
      </c>
      <c r="S2" s="14" t="s">
        <v>208</v>
      </c>
      <c r="T2" s="14" t="s">
        <v>209</v>
      </c>
      <c r="U2" s="14" t="s">
        <v>210</v>
      </c>
      <c r="V2" s="14" t="s">
        <v>247</v>
      </c>
      <c r="W2" s="13" t="s">
        <v>211</v>
      </c>
      <c r="X2" s="14" t="s">
        <v>212</v>
      </c>
      <c r="Y2" s="14" t="s">
        <v>213</v>
      </c>
      <c r="Z2" s="14" t="s">
        <v>214</v>
      </c>
      <c r="AA2" s="14" t="s">
        <v>215</v>
      </c>
      <c r="AB2" s="13" t="s">
        <v>203</v>
      </c>
      <c r="AC2" s="14" t="s">
        <v>204</v>
      </c>
      <c r="AD2" s="14" t="s">
        <v>205</v>
      </c>
      <c r="AE2" s="14" t="s">
        <v>216</v>
      </c>
      <c r="AF2" s="14" t="s">
        <v>217</v>
      </c>
      <c r="AG2" s="13" t="s">
        <v>203</v>
      </c>
      <c r="AH2" s="14" t="s">
        <v>204</v>
      </c>
      <c r="AI2" s="14" t="s">
        <v>205</v>
      </c>
      <c r="AJ2" s="13" t="s">
        <v>218</v>
      </c>
      <c r="AK2" s="14" t="s">
        <v>219</v>
      </c>
      <c r="AL2" s="14" t="s">
        <v>220</v>
      </c>
      <c r="AM2" s="14" t="s">
        <v>221</v>
      </c>
      <c r="AN2" s="13" t="s">
        <v>211</v>
      </c>
      <c r="AO2" s="14" t="s">
        <v>212</v>
      </c>
      <c r="AP2" s="14" t="s">
        <v>213</v>
      </c>
      <c r="AQ2" s="14" t="s">
        <v>214</v>
      </c>
      <c r="AR2" s="14" t="s">
        <v>215</v>
      </c>
      <c r="AS2" s="13" t="s">
        <v>203</v>
      </c>
      <c r="AT2" s="14" t="s">
        <v>204</v>
      </c>
      <c r="AU2" s="14" t="s">
        <v>205</v>
      </c>
      <c r="AV2" s="14" t="s">
        <v>216</v>
      </c>
      <c r="AW2" s="14" t="s">
        <v>217</v>
      </c>
      <c r="AX2" s="13" t="s">
        <v>203</v>
      </c>
      <c r="AY2" s="14" t="s">
        <v>204</v>
      </c>
      <c r="AZ2" s="14" t="s">
        <v>205</v>
      </c>
      <c r="BA2" s="13" t="s">
        <v>218</v>
      </c>
      <c r="BB2" s="14" t="s">
        <v>219</v>
      </c>
      <c r="BC2" s="14" t="s">
        <v>221</v>
      </c>
      <c r="BD2" s="14" t="s">
        <v>214</v>
      </c>
      <c r="BE2" s="14" t="s">
        <v>215</v>
      </c>
      <c r="BF2" s="13" t="s">
        <v>203</v>
      </c>
      <c r="BG2" s="14" t="s">
        <v>204</v>
      </c>
      <c r="BH2" s="14" t="s">
        <v>205</v>
      </c>
      <c r="BI2" s="14" t="s">
        <v>216</v>
      </c>
      <c r="BJ2" s="14" t="s">
        <v>217</v>
      </c>
      <c r="BK2" s="13" t="s">
        <v>203</v>
      </c>
      <c r="BL2" s="14" t="s">
        <v>204</v>
      </c>
      <c r="BM2" s="14" t="s">
        <v>205</v>
      </c>
      <c r="BN2" s="13" t="s">
        <v>218</v>
      </c>
      <c r="BO2" s="14" t="s">
        <v>219</v>
      </c>
      <c r="BP2" s="14" t="s">
        <v>221</v>
      </c>
      <c r="BQ2" s="13" t="s">
        <v>222</v>
      </c>
      <c r="BR2" s="14" t="s">
        <v>223</v>
      </c>
      <c r="BS2" s="14" t="s">
        <v>214</v>
      </c>
      <c r="BT2" s="14" t="s">
        <v>215</v>
      </c>
      <c r="BU2" s="13" t="s">
        <v>203</v>
      </c>
      <c r="BV2" s="14" t="s">
        <v>204</v>
      </c>
      <c r="BW2" s="14" t="s">
        <v>205</v>
      </c>
      <c r="BX2" s="14" t="s">
        <v>216</v>
      </c>
      <c r="BY2" s="14" t="s">
        <v>217</v>
      </c>
      <c r="BZ2" s="13" t="s">
        <v>203</v>
      </c>
      <c r="CA2" s="14" t="s">
        <v>204</v>
      </c>
      <c r="CB2" s="14" t="s">
        <v>205</v>
      </c>
      <c r="CC2" s="13" t="s">
        <v>218</v>
      </c>
      <c r="CD2" s="14" t="s">
        <v>219</v>
      </c>
      <c r="CE2" s="14" t="s">
        <v>221</v>
      </c>
      <c r="CF2" s="13" t="s">
        <v>224</v>
      </c>
      <c r="CG2" s="14" t="s">
        <v>225</v>
      </c>
      <c r="CH2" s="14" t="s">
        <v>226</v>
      </c>
      <c r="CI2" s="14" t="s">
        <v>214</v>
      </c>
      <c r="CJ2" s="14" t="s">
        <v>215</v>
      </c>
      <c r="CK2" s="13" t="s">
        <v>203</v>
      </c>
      <c r="CL2" s="14" t="s">
        <v>204</v>
      </c>
      <c r="CM2" s="14" t="s">
        <v>205</v>
      </c>
      <c r="CN2" s="14" t="s">
        <v>216</v>
      </c>
      <c r="CO2" s="14" t="s">
        <v>217</v>
      </c>
      <c r="CP2" s="13" t="s">
        <v>203</v>
      </c>
      <c r="CQ2" s="14" t="s">
        <v>204</v>
      </c>
      <c r="CR2" s="14" t="s">
        <v>205</v>
      </c>
      <c r="CS2" s="13" t="s">
        <v>218</v>
      </c>
      <c r="CT2" s="14" t="s">
        <v>219</v>
      </c>
      <c r="CU2" s="14" t="s">
        <v>221</v>
      </c>
      <c r="CV2" s="14" t="s">
        <v>835</v>
      </c>
      <c r="CW2" s="13" t="s">
        <v>227</v>
      </c>
      <c r="CX2" s="14" t="s">
        <v>228</v>
      </c>
      <c r="CY2" s="14" t="s">
        <v>229</v>
      </c>
      <c r="CZ2" s="14" t="s">
        <v>214</v>
      </c>
      <c r="DA2" s="14" t="s">
        <v>215</v>
      </c>
      <c r="DB2" s="13" t="s">
        <v>203</v>
      </c>
      <c r="DC2" s="14" t="s">
        <v>204</v>
      </c>
      <c r="DD2" s="14" t="s">
        <v>205</v>
      </c>
      <c r="DE2" s="14" t="s">
        <v>216</v>
      </c>
      <c r="DF2" s="14" t="s">
        <v>217</v>
      </c>
      <c r="DG2" s="13" t="s">
        <v>203</v>
      </c>
      <c r="DH2" s="14" t="s">
        <v>204</v>
      </c>
      <c r="DI2" s="14" t="s">
        <v>205</v>
      </c>
      <c r="DJ2" s="13" t="s">
        <v>218</v>
      </c>
      <c r="DK2" s="14" t="s">
        <v>219</v>
      </c>
      <c r="DL2" s="14" t="s">
        <v>221</v>
      </c>
      <c r="DM2" s="13" t="s">
        <v>230</v>
      </c>
      <c r="DN2" s="14" t="s">
        <v>231</v>
      </c>
      <c r="DO2" s="14" t="s">
        <v>232</v>
      </c>
      <c r="DP2" s="14" t="s">
        <v>214</v>
      </c>
      <c r="DQ2" s="14" t="s">
        <v>215</v>
      </c>
      <c r="DR2" s="13" t="s">
        <v>203</v>
      </c>
      <c r="DS2" s="14" t="s">
        <v>204</v>
      </c>
      <c r="DT2" s="14" t="s">
        <v>205</v>
      </c>
      <c r="DU2" s="14" t="s">
        <v>216</v>
      </c>
      <c r="DV2" s="14" t="s">
        <v>217</v>
      </c>
      <c r="DW2" s="13" t="s">
        <v>203</v>
      </c>
      <c r="DX2" s="14" t="s">
        <v>204</v>
      </c>
      <c r="DY2" s="14" t="s">
        <v>205</v>
      </c>
      <c r="DZ2" s="14" t="s">
        <v>233</v>
      </c>
      <c r="EA2" s="14" t="s">
        <v>219</v>
      </c>
      <c r="EB2" s="14" t="s">
        <v>221</v>
      </c>
      <c r="EC2" s="13" t="s">
        <v>234</v>
      </c>
      <c r="ED2" s="14" t="s">
        <v>235</v>
      </c>
      <c r="EE2" s="14" t="s">
        <v>214</v>
      </c>
      <c r="EF2" s="14" t="s">
        <v>215</v>
      </c>
      <c r="EG2" s="13" t="s">
        <v>203</v>
      </c>
      <c r="EH2" s="14" t="s">
        <v>204</v>
      </c>
      <c r="EI2" s="14" t="s">
        <v>205</v>
      </c>
      <c r="EJ2" s="14" t="s">
        <v>216</v>
      </c>
      <c r="EK2" s="14" t="s">
        <v>217</v>
      </c>
      <c r="EL2" s="13" t="s">
        <v>203</v>
      </c>
      <c r="EM2" s="14" t="s">
        <v>204</v>
      </c>
      <c r="EN2" s="14" t="s">
        <v>205</v>
      </c>
      <c r="EO2" s="14" t="s">
        <v>233</v>
      </c>
      <c r="EP2" s="13" t="s">
        <v>218</v>
      </c>
      <c r="EQ2" s="14" t="s">
        <v>219</v>
      </c>
      <c r="ER2" s="14" t="s">
        <v>221</v>
      </c>
      <c r="ES2" s="13" t="s">
        <v>236</v>
      </c>
      <c r="ET2" s="14" t="s">
        <v>237</v>
      </c>
      <c r="EU2" s="14" t="s">
        <v>238</v>
      </c>
      <c r="EV2" s="14" t="s">
        <v>239</v>
      </c>
      <c r="EW2" s="14" t="s">
        <v>240</v>
      </c>
      <c r="EX2" s="14" t="s">
        <v>241</v>
      </c>
      <c r="EY2" s="14" t="s">
        <v>242</v>
      </c>
      <c r="EZ2" s="14" t="s">
        <v>241</v>
      </c>
      <c r="FA2" s="14" t="s">
        <v>242</v>
      </c>
      <c r="FB2" s="13" t="s">
        <v>243</v>
      </c>
      <c r="FC2" s="14" t="s">
        <v>244</v>
      </c>
      <c r="FD2" s="14" t="s">
        <v>245</v>
      </c>
      <c r="FE2" s="14" t="s">
        <v>246</v>
      </c>
      <c r="FG2" s="14" t="s">
        <v>248</v>
      </c>
      <c r="FH2" s="14" t="s">
        <v>249</v>
      </c>
      <c r="FI2" s="14" t="s">
        <v>250</v>
      </c>
      <c r="FJ2" s="13" t="s">
        <v>251</v>
      </c>
      <c r="FK2" s="13" t="s">
        <v>252</v>
      </c>
      <c r="FL2" s="13" t="s">
        <v>253</v>
      </c>
      <c r="FM2" s="13" t="s">
        <v>254</v>
      </c>
      <c r="FN2" s="13" t="s">
        <v>255</v>
      </c>
      <c r="FO2" s="13" t="s">
        <v>256</v>
      </c>
      <c r="FP2" s="13" t="s">
        <v>257</v>
      </c>
      <c r="FQ2" s="13" t="s">
        <v>258</v>
      </c>
      <c r="FR2" s="13" t="s">
        <v>259</v>
      </c>
      <c r="FS2" s="13" t="s">
        <v>260</v>
      </c>
      <c r="FT2" s="13" t="s">
        <v>261</v>
      </c>
      <c r="FU2" s="13" t="s">
        <v>262</v>
      </c>
      <c r="FV2" s="13" t="s">
        <v>263</v>
      </c>
      <c r="FW2" s="13" t="s">
        <v>264</v>
      </c>
      <c r="FX2" s="13" t="s">
        <v>265</v>
      </c>
      <c r="FY2" s="13" t="s">
        <v>266</v>
      </c>
      <c r="FZ2" s="15" t="s">
        <v>267</v>
      </c>
      <c r="GA2" s="15" t="s">
        <v>268</v>
      </c>
      <c r="GB2" s="14" t="s">
        <v>269</v>
      </c>
      <c r="GC2" s="14" t="s">
        <v>270</v>
      </c>
      <c r="GD2" s="14" t="s">
        <v>271</v>
      </c>
      <c r="GE2" s="13" t="s">
        <v>272</v>
      </c>
      <c r="GF2" s="13" t="s">
        <v>273</v>
      </c>
      <c r="GG2" s="13" t="s">
        <v>274</v>
      </c>
      <c r="GH2" s="13" t="s">
        <v>275</v>
      </c>
      <c r="GI2" s="16" t="s">
        <v>276</v>
      </c>
    </row>
    <row r="3" spans="1:191" x14ac:dyDescent="0.25">
      <c r="A3" s="1">
        <v>117</v>
      </c>
      <c r="B3" s="18" t="s">
        <v>278</v>
      </c>
      <c r="C3" s="2" t="s">
        <v>279</v>
      </c>
      <c r="D3" s="2" t="s">
        <v>280</v>
      </c>
      <c r="E3" s="2" t="s">
        <v>281</v>
      </c>
      <c r="F3" s="2" t="s">
        <v>281</v>
      </c>
      <c r="G3" s="2" t="s">
        <v>282</v>
      </c>
      <c r="H3" s="2" t="s">
        <v>281</v>
      </c>
      <c r="I3" s="2" t="s">
        <v>282</v>
      </c>
      <c r="J3" s="2" t="s">
        <v>282</v>
      </c>
      <c r="K3" s="2" t="s">
        <v>281</v>
      </c>
      <c r="L3" s="2" t="s">
        <v>282</v>
      </c>
      <c r="M3" s="2" t="s">
        <v>282</v>
      </c>
      <c r="N3" s="1">
        <v>0</v>
      </c>
      <c r="O3" s="2"/>
      <c r="P3" s="2"/>
      <c r="Q3" s="2" t="s">
        <v>283</v>
      </c>
      <c r="R3" s="2" t="s">
        <v>284</v>
      </c>
      <c r="S3" s="2"/>
      <c r="T3" s="2"/>
      <c r="U3" s="2"/>
      <c r="V3" s="2" t="s">
        <v>316</v>
      </c>
      <c r="W3" s="1">
        <v>1</v>
      </c>
      <c r="X3" s="2" t="s">
        <v>285</v>
      </c>
      <c r="Y3" s="2"/>
      <c r="Z3" s="2" t="s">
        <v>286</v>
      </c>
      <c r="AA3" s="2" t="s">
        <v>287</v>
      </c>
      <c r="AB3" s="1">
        <v>0</v>
      </c>
      <c r="AC3" s="2"/>
      <c r="AD3" s="2"/>
      <c r="AE3" s="2" t="s">
        <v>288</v>
      </c>
      <c r="AF3" s="2" t="s">
        <v>289</v>
      </c>
      <c r="AG3" s="1">
        <v>0</v>
      </c>
      <c r="AH3" s="2"/>
      <c r="AI3" s="2"/>
      <c r="AJ3" s="1">
        <v>2</v>
      </c>
      <c r="AK3" s="2" t="s">
        <v>290</v>
      </c>
      <c r="AL3" s="2" t="s">
        <v>291</v>
      </c>
      <c r="AM3" s="2" t="s">
        <v>292</v>
      </c>
      <c r="AN3" s="1">
        <v>1</v>
      </c>
      <c r="AO3" s="2" t="s">
        <v>293</v>
      </c>
      <c r="AP3" s="2"/>
      <c r="AQ3" s="2" t="s">
        <v>294</v>
      </c>
      <c r="AR3" s="2" t="s">
        <v>287</v>
      </c>
      <c r="AS3" s="1">
        <v>0</v>
      </c>
      <c r="AT3" s="2"/>
      <c r="AU3" s="2"/>
      <c r="AV3" s="2" t="s">
        <v>288</v>
      </c>
      <c r="AW3" s="2" t="s">
        <v>289</v>
      </c>
      <c r="AX3" s="1">
        <v>1</v>
      </c>
      <c r="AY3" s="2" t="s">
        <v>295</v>
      </c>
      <c r="AZ3" s="2"/>
      <c r="BA3" s="1">
        <v>0</v>
      </c>
      <c r="BB3" s="2"/>
      <c r="BC3" s="2" t="s">
        <v>296</v>
      </c>
      <c r="BD3" s="2" t="s">
        <v>294</v>
      </c>
      <c r="BE3" s="2" t="s">
        <v>297</v>
      </c>
      <c r="BF3" s="1">
        <v>0</v>
      </c>
      <c r="BG3" s="2"/>
      <c r="BH3" s="2"/>
      <c r="BI3" s="2" t="s">
        <v>298</v>
      </c>
      <c r="BJ3" s="2" t="s">
        <v>289</v>
      </c>
      <c r="BK3" s="1">
        <v>1</v>
      </c>
      <c r="BL3" s="2" t="s">
        <v>295</v>
      </c>
      <c r="BM3" s="2"/>
      <c r="BN3" s="1">
        <v>0</v>
      </c>
      <c r="BO3" s="2"/>
      <c r="BP3" s="2" t="s">
        <v>299</v>
      </c>
      <c r="BQ3" s="1">
        <v>1</v>
      </c>
      <c r="BR3" s="2" t="s">
        <v>300</v>
      </c>
      <c r="BS3" s="2" t="s">
        <v>301</v>
      </c>
      <c r="BT3" s="2" t="s">
        <v>302</v>
      </c>
      <c r="BU3" s="1">
        <v>0</v>
      </c>
      <c r="BV3" s="2"/>
      <c r="BW3" s="2"/>
      <c r="BX3" s="2" t="s">
        <v>298</v>
      </c>
      <c r="BY3" s="2" t="s">
        <v>289</v>
      </c>
      <c r="BZ3" s="1">
        <v>0</v>
      </c>
      <c r="CA3" s="2"/>
      <c r="CB3" s="2"/>
      <c r="CC3" s="1">
        <v>0</v>
      </c>
      <c r="CD3" s="2"/>
      <c r="CE3" s="2" t="s">
        <v>296</v>
      </c>
      <c r="CF3" s="1">
        <v>0</v>
      </c>
      <c r="CG3" s="2"/>
      <c r="CH3" s="2"/>
      <c r="CI3" s="2" t="s">
        <v>303</v>
      </c>
      <c r="CJ3" s="2" t="s">
        <v>304</v>
      </c>
      <c r="CK3" s="1">
        <v>0</v>
      </c>
      <c r="CL3" s="2"/>
      <c r="CM3" s="2"/>
      <c r="CN3" s="2" t="s">
        <v>305</v>
      </c>
      <c r="CO3" s="2" t="s">
        <v>304</v>
      </c>
      <c r="CP3" s="1">
        <v>0</v>
      </c>
      <c r="CQ3" s="2"/>
      <c r="CR3" s="2"/>
      <c r="CS3" s="1">
        <v>0</v>
      </c>
      <c r="CT3" s="2"/>
      <c r="CU3" s="2" t="s">
        <v>296</v>
      </c>
      <c r="CV3" s="36">
        <f>IF(CE3=CU3,1,0)</f>
        <v>1</v>
      </c>
      <c r="CW3" s="1">
        <v>1</v>
      </c>
      <c r="CX3" s="2" t="s">
        <v>306</v>
      </c>
      <c r="CY3" s="2"/>
      <c r="CZ3" s="2" t="s">
        <v>303</v>
      </c>
      <c r="DA3" s="2" t="s">
        <v>304</v>
      </c>
      <c r="DB3" s="1">
        <v>0</v>
      </c>
      <c r="DC3" s="2"/>
      <c r="DD3" s="2"/>
      <c r="DE3" s="2" t="s">
        <v>298</v>
      </c>
      <c r="DF3" s="2" t="s">
        <v>304</v>
      </c>
      <c r="DG3" s="1">
        <v>0</v>
      </c>
      <c r="DH3" s="2"/>
      <c r="DI3" s="2"/>
      <c r="DJ3" s="1">
        <v>0</v>
      </c>
      <c r="DK3" s="2"/>
      <c r="DL3" s="2" t="s">
        <v>296</v>
      </c>
      <c r="DM3" s="1">
        <v>2</v>
      </c>
      <c r="DN3" s="2" t="s">
        <v>307</v>
      </c>
      <c r="DO3" s="2" t="s">
        <v>308</v>
      </c>
      <c r="DP3" s="2" t="s">
        <v>303</v>
      </c>
      <c r="DQ3" s="2" t="s">
        <v>287</v>
      </c>
      <c r="DR3" s="1">
        <v>0</v>
      </c>
      <c r="DS3" s="2"/>
      <c r="DT3" s="2"/>
      <c r="DU3" s="2"/>
      <c r="DV3" s="2"/>
      <c r="DW3" s="1">
        <v>0</v>
      </c>
      <c r="DX3" s="2"/>
      <c r="DY3" s="2"/>
      <c r="DZ3" s="2"/>
      <c r="EA3" s="2"/>
      <c r="EB3" s="2"/>
      <c r="EC3" s="1">
        <v>1</v>
      </c>
      <c r="ED3" s="2" t="s">
        <v>309</v>
      </c>
      <c r="EE3" s="2" t="s">
        <v>310</v>
      </c>
      <c r="EF3" s="2"/>
      <c r="EG3" s="1">
        <v>0</v>
      </c>
      <c r="EH3" s="2"/>
      <c r="EI3" s="2"/>
      <c r="EJ3" s="2"/>
      <c r="EK3" s="2"/>
      <c r="EL3" s="1">
        <v>0</v>
      </c>
      <c r="EM3" s="2"/>
      <c r="EN3" s="2"/>
      <c r="EO3" s="2"/>
      <c r="EP3" s="1">
        <v>0</v>
      </c>
      <c r="EQ3" s="2"/>
      <c r="ER3" s="2"/>
      <c r="ES3" s="1">
        <v>0</v>
      </c>
      <c r="ET3" s="2"/>
      <c r="EU3" s="2"/>
      <c r="EV3" s="2"/>
      <c r="EW3" s="2"/>
      <c r="EX3" s="2" t="s">
        <v>311</v>
      </c>
      <c r="EY3" s="2" t="s">
        <v>312</v>
      </c>
      <c r="EZ3" s="2"/>
      <c r="FA3" s="2"/>
      <c r="FB3" s="1">
        <v>3</v>
      </c>
      <c r="FC3" s="2" t="s">
        <v>313</v>
      </c>
      <c r="FD3" s="2" t="s">
        <v>314</v>
      </c>
      <c r="FE3" s="2" t="s">
        <v>315</v>
      </c>
      <c r="FG3" s="2" t="s">
        <v>317</v>
      </c>
      <c r="FH3" s="2"/>
      <c r="FI3" s="2" t="s">
        <v>318</v>
      </c>
      <c r="FJ3" s="1">
        <v>-1</v>
      </c>
      <c r="FK3" s="1">
        <v>-1</v>
      </c>
      <c r="FL3" s="1">
        <v>-1</v>
      </c>
      <c r="FM3" s="1">
        <v>-1</v>
      </c>
      <c r="FN3" s="1">
        <v>-1</v>
      </c>
      <c r="FO3" s="1">
        <v>-1</v>
      </c>
      <c r="FP3" s="1">
        <v>-1</v>
      </c>
      <c r="FQ3" s="1">
        <v>-1</v>
      </c>
      <c r="FR3" s="1">
        <v>-1</v>
      </c>
      <c r="FS3" s="1">
        <v>-1</v>
      </c>
      <c r="FT3" s="1">
        <v>-1</v>
      </c>
      <c r="FU3" s="1">
        <v>-1</v>
      </c>
      <c r="FV3" s="1">
        <v>-1</v>
      </c>
      <c r="FW3" s="1">
        <v>-1</v>
      </c>
      <c r="FX3" s="1">
        <v>-1</v>
      </c>
      <c r="FY3" s="1">
        <v>-15</v>
      </c>
      <c r="FZ3" s="3"/>
      <c r="GA3" s="3"/>
      <c r="GB3" s="2" t="s">
        <v>319</v>
      </c>
      <c r="GC3" s="2" t="s">
        <v>320</v>
      </c>
      <c r="GD3" s="2" t="s">
        <v>277</v>
      </c>
      <c r="GE3" s="1">
        <v>15</v>
      </c>
      <c r="GF3" s="1">
        <v>15</v>
      </c>
      <c r="GG3" s="1">
        <v>39</v>
      </c>
      <c r="GH3" s="1">
        <v>20</v>
      </c>
      <c r="GI3" s="4"/>
    </row>
    <row r="4" spans="1:191" s="62" customFormat="1" ht="13.8" thickBot="1" x14ac:dyDescent="0.3">
      <c r="A4" s="59">
        <v>208</v>
      </c>
      <c r="B4" s="60" t="s">
        <v>278</v>
      </c>
      <c r="C4" s="60" t="s">
        <v>279</v>
      </c>
      <c r="D4" s="60" t="s">
        <v>320</v>
      </c>
      <c r="E4" s="60" t="s">
        <v>282</v>
      </c>
      <c r="F4" s="60" t="s">
        <v>281</v>
      </c>
      <c r="G4" s="60" t="s">
        <v>282</v>
      </c>
      <c r="H4" s="60" t="s">
        <v>282</v>
      </c>
      <c r="I4" s="60" t="s">
        <v>282</v>
      </c>
      <c r="J4" s="60" t="s">
        <v>282</v>
      </c>
      <c r="K4" s="60" t="s">
        <v>282</v>
      </c>
      <c r="L4" s="60" t="s">
        <v>282</v>
      </c>
      <c r="M4" s="60" t="s">
        <v>282</v>
      </c>
      <c r="N4" s="59">
        <v>1</v>
      </c>
      <c r="O4" s="60" t="s">
        <v>623</v>
      </c>
      <c r="P4" s="60"/>
      <c r="Q4" s="60" t="s">
        <v>355</v>
      </c>
      <c r="R4" s="61"/>
      <c r="S4" s="60"/>
      <c r="T4" s="60" t="s">
        <v>322</v>
      </c>
      <c r="U4" s="60"/>
      <c r="V4" s="60" t="s">
        <v>425</v>
      </c>
      <c r="W4" s="59">
        <v>1</v>
      </c>
      <c r="X4" s="60" t="s">
        <v>466</v>
      </c>
      <c r="Y4" s="60"/>
      <c r="Z4" s="60" t="s">
        <v>294</v>
      </c>
      <c r="AA4" s="60" t="s">
        <v>302</v>
      </c>
      <c r="AB4" s="59">
        <v>0</v>
      </c>
      <c r="AC4" s="60"/>
      <c r="AD4" s="60"/>
      <c r="AE4" s="60" t="s">
        <v>305</v>
      </c>
      <c r="AF4" s="60"/>
      <c r="AG4" s="59">
        <v>0</v>
      </c>
      <c r="AH4" s="60"/>
      <c r="AI4" s="60"/>
      <c r="AJ4" s="59">
        <v>1</v>
      </c>
      <c r="AK4" s="60" t="s">
        <v>624</v>
      </c>
      <c r="AL4" s="60"/>
      <c r="AM4" s="60" t="s">
        <v>299</v>
      </c>
      <c r="AN4" s="59">
        <v>0</v>
      </c>
      <c r="AO4" s="60"/>
      <c r="AP4" s="60"/>
      <c r="AQ4" s="60"/>
      <c r="AR4" s="60"/>
      <c r="AS4" s="59">
        <v>0</v>
      </c>
      <c r="AT4" s="60"/>
      <c r="AU4" s="60"/>
      <c r="AV4" s="60"/>
      <c r="AW4" s="60"/>
      <c r="AX4" s="59">
        <v>0</v>
      </c>
      <c r="AY4" s="60"/>
      <c r="AZ4" s="60"/>
      <c r="BA4" s="59">
        <v>0</v>
      </c>
      <c r="BB4" s="60"/>
      <c r="BC4" s="60"/>
      <c r="BD4" s="60" t="s">
        <v>294</v>
      </c>
      <c r="BE4" s="60"/>
      <c r="BF4" s="59">
        <v>0</v>
      </c>
      <c r="BG4" s="60"/>
      <c r="BH4" s="60"/>
      <c r="BI4" s="60"/>
      <c r="BJ4" s="60"/>
      <c r="BK4" s="59">
        <v>0</v>
      </c>
      <c r="BL4" s="60"/>
      <c r="BM4" s="60"/>
      <c r="BN4" s="59">
        <v>0</v>
      </c>
      <c r="BO4" s="60"/>
      <c r="BP4" s="60"/>
      <c r="BQ4" s="59">
        <v>1</v>
      </c>
      <c r="BR4" s="60" t="s">
        <v>385</v>
      </c>
      <c r="BS4" s="60" t="s">
        <v>301</v>
      </c>
      <c r="BT4" s="60" t="s">
        <v>297</v>
      </c>
      <c r="BU4" s="59">
        <v>0</v>
      </c>
      <c r="BV4" s="60"/>
      <c r="BW4" s="60"/>
      <c r="BX4" s="60" t="s">
        <v>288</v>
      </c>
      <c r="BY4" s="60" t="s">
        <v>339</v>
      </c>
      <c r="BZ4" s="59">
        <v>0</v>
      </c>
      <c r="CA4" s="60"/>
      <c r="CB4" s="60"/>
      <c r="CC4" s="59">
        <v>0</v>
      </c>
      <c r="CD4" s="60"/>
      <c r="CE4" s="60" t="s">
        <v>299</v>
      </c>
      <c r="CF4" s="59">
        <v>0</v>
      </c>
      <c r="CG4" s="60"/>
      <c r="CH4" s="60"/>
      <c r="CI4" s="60"/>
      <c r="CJ4" s="60"/>
      <c r="CK4" s="59">
        <v>0</v>
      </c>
      <c r="CL4" s="60"/>
      <c r="CM4" s="60"/>
      <c r="CN4" s="60"/>
      <c r="CO4" s="60"/>
      <c r="CP4" s="59">
        <v>0</v>
      </c>
      <c r="CQ4" s="60"/>
      <c r="CR4" s="60"/>
      <c r="CS4" s="59">
        <v>0</v>
      </c>
      <c r="CT4" s="60"/>
      <c r="CU4" s="60"/>
      <c r="CV4" s="96">
        <f t="shared" ref="CV4:CV67" si="0">IF(CE4=CU4,1,0)</f>
        <v>0</v>
      </c>
      <c r="CW4" s="59">
        <v>1</v>
      </c>
      <c r="CX4" s="60" t="s">
        <v>625</v>
      </c>
      <c r="CY4" s="60"/>
      <c r="CZ4" s="60" t="s">
        <v>294</v>
      </c>
      <c r="DA4" s="60" t="s">
        <v>302</v>
      </c>
      <c r="DB4" s="59">
        <v>0</v>
      </c>
      <c r="DC4" s="60"/>
      <c r="DD4" s="60"/>
      <c r="DE4" s="60" t="s">
        <v>288</v>
      </c>
      <c r="DF4" s="60" t="s">
        <v>302</v>
      </c>
      <c r="DG4" s="59">
        <v>0</v>
      </c>
      <c r="DH4" s="60"/>
      <c r="DI4" s="60"/>
      <c r="DJ4" s="59">
        <v>1</v>
      </c>
      <c r="DK4" s="60" t="s">
        <v>626</v>
      </c>
      <c r="DL4" s="60" t="s">
        <v>299</v>
      </c>
      <c r="DM4" s="59">
        <v>0</v>
      </c>
      <c r="DN4" s="60"/>
      <c r="DO4" s="60"/>
      <c r="DP4" s="60"/>
      <c r="DQ4" s="60"/>
      <c r="DR4" s="59">
        <v>0</v>
      </c>
      <c r="DS4" s="60"/>
      <c r="DT4" s="60"/>
      <c r="DU4" s="60"/>
      <c r="DV4" s="60"/>
      <c r="DW4" s="59">
        <v>0</v>
      </c>
      <c r="DX4" s="60"/>
      <c r="DY4" s="60"/>
      <c r="DZ4" s="60"/>
      <c r="EA4" s="60"/>
      <c r="EB4" s="60"/>
      <c r="EC4" s="59">
        <v>0</v>
      </c>
      <c r="ED4" s="60"/>
      <c r="EE4" s="60"/>
      <c r="EF4" s="60"/>
      <c r="EG4" s="59">
        <v>0</v>
      </c>
      <c r="EH4" s="60"/>
      <c r="EI4" s="60"/>
      <c r="EJ4" s="60"/>
      <c r="EK4" s="60"/>
      <c r="EL4" s="59">
        <v>0</v>
      </c>
      <c r="EM4" s="60"/>
      <c r="EN4" s="60"/>
      <c r="EO4" s="60"/>
      <c r="EP4" s="59">
        <v>0</v>
      </c>
      <c r="EQ4" s="60"/>
      <c r="ER4" s="60"/>
      <c r="ES4" s="59">
        <v>1</v>
      </c>
      <c r="ET4" s="60" t="s">
        <v>621</v>
      </c>
      <c r="EU4" s="60"/>
      <c r="EV4" s="60"/>
      <c r="EW4" s="60"/>
      <c r="EX4" s="60"/>
      <c r="EY4" s="60"/>
      <c r="EZ4" s="60"/>
      <c r="FA4" s="60"/>
      <c r="FB4" s="59">
        <v>1</v>
      </c>
      <c r="FC4" s="60" t="s">
        <v>627</v>
      </c>
      <c r="FD4" s="60"/>
      <c r="FE4" s="60"/>
      <c r="FG4" s="60" t="s">
        <v>351</v>
      </c>
      <c r="FH4" s="60"/>
      <c r="FI4" s="60"/>
      <c r="FJ4" s="59">
        <v>-1</v>
      </c>
      <c r="FK4" s="59">
        <v>-1</v>
      </c>
      <c r="FL4" s="59">
        <v>-1</v>
      </c>
      <c r="FM4" s="59">
        <v>-1</v>
      </c>
      <c r="FN4" s="59">
        <v>-1</v>
      </c>
      <c r="FO4" s="59">
        <v>-1</v>
      </c>
      <c r="FP4" s="59">
        <v>-1</v>
      </c>
      <c r="FQ4" s="59">
        <v>-1</v>
      </c>
      <c r="FR4" s="59">
        <v>-1</v>
      </c>
      <c r="FS4" s="59">
        <v>-1</v>
      </c>
      <c r="FT4" s="59">
        <v>-1</v>
      </c>
      <c r="FU4" s="59">
        <v>-1</v>
      </c>
      <c r="FV4" s="59">
        <v>-1</v>
      </c>
      <c r="FW4" s="59">
        <v>-1</v>
      </c>
      <c r="FX4" s="59">
        <v>-1</v>
      </c>
      <c r="FY4" s="59">
        <v>-15</v>
      </c>
      <c r="FZ4" s="63"/>
      <c r="GA4" s="63"/>
      <c r="GB4" s="60"/>
      <c r="GC4" s="60" t="s">
        <v>320</v>
      </c>
      <c r="GD4" s="60" t="s">
        <v>277</v>
      </c>
      <c r="GE4" s="59">
        <v>15</v>
      </c>
      <c r="GF4" s="59">
        <v>15</v>
      </c>
      <c r="GG4" s="59">
        <v>68</v>
      </c>
      <c r="GH4" s="59">
        <v>56</v>
      </c>
      <c r="GI4" s="64"/>
    </row>
    <row r="5" spans="1:191" s="48" customFormat="1" x14ac:dyDescent="0.25">
      <c r="A5" s="51">
        <v>119</v>
      </c>
      <c r="B5" s="52" t="s">
        <v>321</v>
      </c>
      <c r="C5" s="52" t="s">
        <v>279</v>
      </c>
      <c r="D5" s="52" t="s">
        <v>280</v>
      </c>
      <c r="E5" s="52" t="s">
        <v>281</v>
      </c>
      <c r="F5" s="52" t="s">
        <v>281</v>
      </c>
      <c r="G5" s="52" t="s">
        <v>282</v>
      </c>
      <c r="H5" s="52" t="s">
        <v>282</v>
      </c>
      <c r="I5" s="52" t="s">
        <v>282</v>
      </c>
      <c r="J5" s="52" t="s">
        <v>282</v>
      </c>
      <c r="K5" s="52" t="s">
        <v>281</v>
      </c>
      <c r="L5" s="52" t="s">
        <v>281</v>
      </c>
      <c r="M5" s="52" t="s">
        <v>282</v>
      </c>
      <c r="N5" s="51">
        <v>0</v>
      </c>
      <c r="O5" s="52"/>
      <c r="P5" s="52"/>
      <c r="Q5" s="52" t="s">
        <v>283</v>
      </c>
      <c r="R5" s="52" t="s">
        <v>322</v>
      </c>
      <c r="S5" s="52"/>
      <c r="T5" s="52"/>
      <c r="U5" s="52"/>
      <c r="V5" s="52" t="s">
        <v>316</v>
      </c>
      <c r="W5" s="51">
        <v>0</v>
      </c>
      <c r="X5" s="52"/>
      <c r="Y5" s="52"/>
      <c r="Z5" s="52" t="s">
        <v>303</v>
      </c>
      <c r="AA5" s="52" t="s">
        <v>302</v>
      </c>
      <c r="AB5" s="51">
        <v>0</v>
      </c>
      <c r="AC5" s="52"/>
      <c r="AD5" s="52"/>
      <c r="AE5" s="52" t="s">
        <v>305</v>
      </c>
      <c r="AF5" s="52" t="s">
        <v>302</v>
      </c>
      <c r="AG5" s="51">
        <v>0</v>
      </c>
      <c r="AH5" s="52"/>
      <c r="AI5" s="52"/>
      <c r="AJ5" s="51">
        <v>0</v>
      </c>
      <c r="AK5" s="52"/>
      <c r="AL5" s="52"/>
      <c r="AM5" s="52" t="s">
        <v>299</v>
      </c>
      <c r="AN5" s="51">
        <v>1</v>
      </c>
      <c r="AO5" s="52" t="s">
        <v>323</v>
      </c>
      <c r="AP5" s="52"/>
      <c r="AQ5" s="52" t="s">
        <v>301</v>
      </c>
      <c r="AR5" s="52" t="s">
        <v>287</v>
      </c>
      <c r="AS5" s="51">
        <v>0</v>
      </c>
      <c r="AT5" s="52"/>
      <c r="AU5" s="52"/>
      <c r="AV5" s="52" t="s">
        <v>324</v>
      </c>
      <c r="AW5" s="52" t="s">
        <v>287</v>
      </c>
      <c r="AX5" s="51">
        <v>0</v>
      </c>
      <c r="AY5" s="52"/>
      <c r="AZ5" s="52"/>
      <c r="BA5" s="51">
        <v>1</v>
      </c>
      <c r="BB5" s="52" t="s">
        <v>325</v>
      </c>
      <c r="BC5" s="52" t="s">
        <v>299</v>
      </c>
      <c r="BD5" s="52"/>
      <c r="BE5" s="52"/>
      <c r="BF5" s="51">
        <v>0</v>
      </c>
      <c r="BG5" s="52"/>
      <c r="BH5" s="52"/>
      <c r="BI5" s="52"/>
      <c r="BJ5" s="52"/>
      <c r="BK5" s="51">
        <v>0</v>
      </c>
      <c r="BL5" s="52"/>
      <c r="BM5" s="52"/>
      <c r="BN5" s="51">
        <v>0</v>
      </c>
      <c r="BO5" s="52"/>
      <c r="BP5" s="52"/>
      <c r="BQ5" s="51">
        <v>0</v>
      </c>
      <c r="BR5" s="52"/>
      <c r="BS5" s="52"/>
      <c r="BT5" s="52"/>
      <c r="BU5" s="51">
        <v>0</v>
      </c>
      <c r="BV5" s="52"/>
      <c r="BW5" s="52"/>
      <c r="BX5" s="52"/>
      <c r="BY5" s="52"/>
      <c r="BZ5" s="51">
        <v>0</v>
      </c>
      <c r="CA5" s="52"/>
      <c r="CB5" s="52"/>
      <c r="CC5" s="51">
        <v>0</v>
      </c>
      <c r="CD5" s="52"/>
      <c r="CE5" s="52"/>
      <c r="CF5" s="51">
        <v>1</v>
      </c>
      <c r="CG5" s="52" t="s">
        <v>326</v>
      </c>
      <c r="CH5" s="52"/>
      <c r="CI5" s="52" t="s">
        <v>303</v>
      </c>
      <c r="CJ5" s="52" t="s">
        <v>302</v>
      </c>
      <c r="CK5" s="51">
        <v>0</v>
      </c>
      <c r="CL5" s="52"/>
      <c r="CM5" s="52"/>
      <c r="CN5" s="52" t="s">
        <v>305</v>
      </c>
      <c r="CO5" s="52" t="s">
        <v>302</v>
      </c>
      <c r="CP5" s="51">
        <v>0</v>
      </c>
      <c r="CQ5" s="52"/>
      <c r="CR5" s="52"/>
      <c r="CS5" s="51">
        <v>1</v>
      </c>
      <c r="CT5" s="52" t="s">
        <v>327</v>
      </c>
      <c r="CU5" s="52" t="s">
        <v>328</v>
      </c>
      <c r="CV5" s="94"/>
      <c r="CW5" s="51">
        <v>1</v>
      </c>
      <c r="CX5" s="52" t="s">
        <v>329</v>
      </c>
      <c r="CY5" s="52"/>
      <c r="CZ5" s="52" t="s">
        <v>294</v>
      </c>
      <c r="DA5" s="52" t="s">
        <v>302</v>
      </c>
      <c r="DB5" s="51">
        <v>0</v>
      </c>
      <c r="DC5" s="52"/>
      <c r="DD5" s="52"/>
      <c r="DE5" s="52" t="s">
        <v>305</v>
      </c>
      <c r="DF5" s="52" t="s">
        <v>302</v>
      </c>
      <c r="DG5" s="51">
        <v>0</v>
      </c>
      <c r="DH5" s="52"/>
      <c r="DI5" s="52"/>
      <c r="DJ5" s="51">
        <v>1</v>
      </c>
      <c r="DK5" s="52" t="s">
        <v>330</v>
      </c>
      <c r="DL5" s="52" t="s">
        <v>299</v>
      </c>
      <c r="DM5" s="51">
        <v>1</v>
      </c>
      <c r="DN5" s="52" t="s">
        <v>308</v>
      </c>
      <c r="DO5" s="52"/>
      <c r="DP5" s="52" t="s">
        <v>294</v>
      </c>
      <c r="DQ5" s="52" t="s">
        <v>331</v>
      </c>
      <c r="DR5" s="51">
        <v>0</v>
      </c>
      <c r="DS5" s="52"/>
      <c r="DT5" s="52"/>
      <c r="DU5" s="52" t="s">
        <v>298</v>
      </c>
      <c r="DV5" s="52" t="s">
        <v>331</v>
      </c>
      <c r="DW5" s="51">
        <v>0</v>
      </c>
      <c r="DX5" s="52"/>
      <c r="DY5" s="52"/>
      <c r="DZ5" s="52" t="s">
        <v>332</v>
      </c>
      <c r="EA5" s="52"/>
      <c r="EB5" s="52" t="s">
        <v>299</v>
      </c>
      <c r="EC5" s="51">
        <v>1</v>
      </c>
      <c r="ED5" s="52" t="s">
        <v>333</v>
      </c>
      <c r="EE5" s="52" t="s">
        <v>294</v>
      </c>
      <c r="EF5" s="52" t="s">
        <v>331</v>
      </c>
      <c r="EG5" s="51">
        <v>0</v>
      </c>
      <c r="EH5" s="52"/>
      <c r="EI5" s="52"/>
      <c r="EJ5" s="52" t="s">
        <v>305</v>
      </c>
      <c r="EK5" s="52" t="s">
        <v>331</v>
      </c>
      <c r="EL5" s="51">
        <v>0</v>
      </c>
      <c r="EM5" s="52"/>
      <c r="EN5" s="52"/>
      <c r="EO5" s="52" t="s">
        <v>334</v>
      </c>
      <c r="EP5" s="51">
        <v>0</v>
      </c>
      <c r="EQ5" s="52"/>
      <c r="ER5" s="52" t="s">
        <v>299</v>
      </c>
      <c r="ES5" s="51">
        <v>0</v>
      </c>
      <c r="ET5" s="52"/>
      <c r="EU5" s="52"/>
      <c r="EV5" s="52"/>
      <c r="EW5" s="52"/>
      <c r="EX5" s="52"/>
      <c r="EY5" s="52"/>
      <c r="EZ5" s="52"/>
      <c r="FA5" s="52"/>
      <c r="FB5" s="51">
        <v>0</v>
      </c>
      <c r="FC5" s="52"/>
      <c r="FD5" s="52"/>
      <c r="FE5" s="52"/>
      <c r="FG5" s="52" t="s">
        <v>335</v>
      </c>
      <c r="FH5" s="52" t="s">
        <v>336</v>
      </c>
      <c r="FI5" s="52"/>
      <c r="FJ5" s="51">
        <v>-1</v>
      </c>
      <c r="FK5" s="51">
        <v>-1</v>
      </c>
      <c r="FL5" s="51">
        <v>-1</v>
      </c>
      <c r="FM5" s="51">
        <v>-1</v>
      </c>
      <c r="FN5" s="51">
        <v>-1</v>
      </c>
      <c r="FO5" s="51">
        <v>-1</v>
      </c>
      <c r="FP5" s="51">
        <v>-1</v>
      </c>
      <c r="FQ5" s="51">
        <v>-1</v>
      </c>
      <c r="FR5" s="51">
        <v>-1</v>
      </c>
      <c r="FS5" s="51">
        <v>-1</v>
      </c>
      <c r="FT5" s="51">
        <v>-1</v>
      </c>
      <c r="FU5" s="51">
        <v>-1</v>
      </c>
      <c r="FV5" s="51">
        <v>-1</v>
      </c>
      <c r="FW5" s="51">
        <v>-1</v>
      </c>
      <c r="FX5" s="51">
        <v>-1</v>
      </c>
      <c r="FY5" s="51">
        <v>-15</v>
      </c>
      <c r="FZ5" s="53"/>
      <c r="GA5" s="53"/>
      <c r="GB5" s="52" t="s">
        <v>319</v>
      </c>
      <c r="GC5" s="52" t="s">
        <v>320</v>
      </c>
      <c r="GD5" s="52" t="s">
        <v>277</v>
      </c>
      <c r="GE5" s="51">
        <v>15</v>
      </c>
      <c r="GF5" s="51">
        <v>15</v>
      </c>
      <c r="GG5" s="51">
        <v>47</v>
      </c>
      <c r="GH5" s="51">
        <v>25</v>
      </c>
      <c r="GI5" s="54"/>
    </row>
    <row r="6" spans="1:191" x14ac:dyDescent="0.25">
      <c r="A6" s="1">
        <v>120</v>
      </c>
      <c r="B6" s="19" t="s">
        <v>321</v>
      </c>
      <c r="C6" s="2" t="s">
        <v>279</v>
      </c>
      <c r="D6" s="2" t="s">
        <v>320</v>
      </c>
      <c r="E6" s="2" t="s">
        <v>282</v>
      </c>
      <c r="F6" s="2" t="s">
        <v>282</v>
      </c>
      <c r="G6" s="2" t="s">
        <v>282</v>
      </c>
      <c r="H6" s="2" t="s">
        <v>282</v>
      </c>
      <c r="I6" s="2" t="s">
        <v>282</v>
      </c>
      <c r="J6" s="2" t="s">
        <v>281</v>
      </c>
      <c r="K6" s="2" t="s">
        <v>282</v>
      </c>
      <c r="L6" s="2" t="s">
        <v>282</v>
      </c>
      <c r="M6" s="2" t="s">
        <v>282</v>
      </c>
      <c r="N6" s="1">
        <v>0</v>
      </c>
      <c r="O6" s="2"/>
      <c r="P6" s="2"/>
      <c r="Q6" s="2" t="s">
        <v>337</v>
      </c>
      <c r="R6" s="2"/>
      <c r="S6" s="2" t="s">
        <v>338</v>
      </c>
      <c r="T6" s="2"/>
      <c r="U6" s="2"/>
      <c r="V6" s="2" t="s">
        <v>346</v>
      </c>
      <c r="W6" s="1">
        <v>0</v>
      </c>
      <c r="X6" s="2"/>
      <c r="Y6" s="2"/>
      <c r="Z6" s="2" t="s">
        <v>294</v>
      </c>
      <c r="AA6" s="2" t="s">
        <v>331</v>
      </c>
      <c r="AB6" s="1">
        <v>0</v>
      </c>
      <c r="AC6" s="2"/>
      <c r="AD6" s="2"/>
      <c r="AE6" s="2" t="s">
        <v>298</v>
      </c>
      <c r="AF6" s="2" t="s">
        <v>339</v>
      </c>
      <c r="AG6" s="1">
        <v>0</v>
      </c>
      <c r="AH6" s="2"/>
      <c r="AI6" s="2"/>
      <c r="AJ6" s="1">
        <v>0</v>
      </c>
      <c r="AK6" s="2"/>
      <c r="AL6" s="2"/>
      <c r="AM6" s="2" t="s">
        <v>328</v>
      </c>
      <c r="AN6" s="1">
        <v>2</v>
      </c>
      <c r="AO6" s="2" t="s">
        <v>340</v>
      </c>
      <c r="AP6" s="2" t="s">
        <v>341</v>
      </c>
      <c r="AQ6" s="2" t="s">
        <v>301</v>
      </c>
      <c r="AR6" s="2" t="s">
        <v>297</v>
      </c>
      <c r="AS6" s="1">
        <v>0</v>
      </c>
      <c r="AT6" s="2"/>
      <c r="AU6" s="2"/>
      <c r="AV6" s="2" t="s">
        <v>288</v>
      </c>
      <c r="AW6" s="2" t="s">
        <v>339</v>
      </c>
      <c r="AX6" s="1">
        <v>0</v>
      </c>
      <c r="AY6" s="2"/>
      <c r="AZ6" s="2"/>
      <c r="BA6" s="1">
        <v>0</v>
      </c>
      <c r="BB6" s="2"/>
      <c r="BC6" s="2" t="s">
        <v>299</v>
      </c>
      <c r="BD6" s="2" t="s">
        <v>294</v>
      </c>
      <c r="BE6" s="2" t="s">
        <v>297</v>
      </c>
      <c r="BF6" s="1">
        <v>0</v>
      </c>
      <c r="BG6" s="2"/>
      <c r="BH6" s="2"/>
      <c r="BI6" s="2" t="s">
        <v>288</v>
      </c>
      <c r="BJ6" s="2" t="s">
        <v>339</v>
      </c>
      <c r="BK6" s="1">
        <v>0</v>
      </c>
      <c r="BL6" s="2"/>
      <c r="BM6" s="2"/>
      <c r="BN6" s="1">
        <v>0</v>
      </c>
      <c r="BO6" s="2"/>
      <c r="BP6" s="2" t="s">
        <v>296</v>
      </c>
      <c r="BQ6" s="1">
        <v>0</v>
      </c>
      <c r="BR6" s="2"/>
      <c r="BS6" s="2" t="s">
        <v>294</v>
      </c>
      <c r="BT6" s="2" t="s">
        <v>297</v>
      </c>
      <c r="BU6" s="1">
        <v>0</v>
      </c>
      <c r="BV6" s="2"/>
      <c r="BW6" s="2"/>
      <c r="BX6" s="2" t="s">
        <v>288</v>
      </c>
      <c r="BY6" s="2" t="s">
        <v>297</v>
      </c>
      <c r="BZ6" s="1">
        <v>0</v>
      </c>
      <c r="CA6" s="2"/>
      <c r="CB6" s="2"/>
      <c r="CC6" s="1">
        <v>0</v>
      </c>
      <c r="CD6" s="2"/>
      <c r="CE6" s="2" t="s">
        <v>299</v>
      </c>
      <c r="CF6" s="1">
        <v>2</v>
      </c>
      <c r="CG6" s="2" t="s">
        <v>342</v>
      </c>
      <c r="CH6" s="2" t="s">
        <v>343</v>
      </c>
      <c r="CI6" s="2" t="s">
        <v>294</v>
      </c>
      <c r="CJ6" s="2" t="s">
        <v>297</v>
      </c>
      <c r="CK6" s="1">
        <v>0</v>
      </c>
      <c r="CL6" s="2"/>
      <c r="CM6" s="2"/>
      <c r="CN6" s="2" t="s">
        <v>298</v>
      </c>
      <c r="CO6" s="2" t="s">
        <v>339</v>
      </c>
      <c r="CP6" s="1">
        <v>0</v>
      </c>
      <c r="CQ6" s="2"/>
      <c r="CR6" s="2"/>
      <c r="CS6" s="1">
        <v>0</v>
      </c>
      <c r="CT6" s="2"/>
      <c r="CU6" s="2" t="s">
        <v>299</v>
      </c>
      <c r="CV6" s="94">
        <f>IF(CE6=CU6,1,0)</f>
        <v>1</v>
      </c>
      <c r="CW6" s="1">
        <v>1</v>
      </c>
      <c r="CX6" s="2" t="s">
        <v>344</v>
      </c>
      <c r="CY6" s="2"/>
      <c r="CZ6" s="2" t="s">
        <v>294</v>
      </c>
      <c r="DA6" s="2" t="s">
        <v>297</v>
      </c>
      <c r="DB6" s="1">
        <v>0</v>
      </c>
      <c r="DC6" s="2"/>
      <c r="DD6" s="2"/>
      <c r="DE6" s="2" t="s">
        <v>288</v>
      </c>
      <c r="DF6" s="2" t="s">
        <v>339</v>
      </c>
      <c r="DG6" s="1">
        <v>0</v>
      </c>
      <c r="DH6" s="2"/>
      <c r="DI6" s="2"/>
      <c r="DJ6" s="1">
        <v>0</v>
      </c>
      <c r="DK6" s="2"/>
      <c r="DL6" s="2" t="s">
        <v>299</v>
      </c>
      <c r="DM6" s="1">
        <v>1</v>
      </c>
      <c r="DN6" s="2" t="s">
        <v>345</v>
      </c>
      <c r="DO6" s="2"/>
      <c r="DP6" s="2" t="s">
        <v>303</v>
      </c>
      <c r="DQ6" s="2" t="s">
        <v>331</v>
      </c>
      <c r="DR6" s="1">
        <v>0</v>
      </c>
      <c r="DS6" s="2"/>
      <c r="DT6" s="2"/>
      <c r="DU6" s="2" t="s">
        <v>298</v>
      </c>
      <c r="DV6" s="2" t="s">
        <v>331</v>
      </c>
      <c r="DW6" s="1">
        <v>0</v>
      </c>
      <c r="DX6" s="2"/>
      <c r="DY6" s="2"/>
      <c r="DZ6" s="2"/>
      <c r="EA6" s="2"/>
      <c r="EB6" s="2" t="s">
        <v>328</v>
      </c>
      <c r="EC6" s="1">
        <v>1</v>
      </c>
      <c r="ED6" s="2" t="s">
        <v>345</v>
      </c>
      <c r="EE6" s="2" t="s">
        <v>303</v>
      </c>
      <c r="EF6" s="2" t="s">
        <v>331</v>
      </c>
      <c r="EG6" s="1">
        <v>0</v>
      </c>
      <c r="EH6" s="2"/>
      <c r="EI6" s="2"/>
      <c r="EJ6" s="2" t="s">
        <v>298</v>
      </c>
      <c r="EK6" s="2" t="s">
        <v>331</v>
      </c>
      <c r="EL6" s="1">
        <v>0</v>
      </c>
      <c r="EM6" s="2"/>
      <c r="EN6" s="2"/>
      <c r="EO6" s="2"/>
      <c r="EP6" s="1">
        <v>0</v>
      </c>
      <c r="EQ6" s="2"/>
      <c r="ER6" s="2" t="s">
        <v>328</v>
      </c>
      <c r="ES6" s="1">
        <v>0</v>
      </c>
      <c r="ET6" s="2"/>
      <c r="EU6" s="2"/>
      <c r="EV6" s="2"/>
      <c r="EW6" s="2"/>
      <c r="EX6" s="2"/>
      <c r="EY6" s="2"/>
      <c r="EZ6" s="2"/>
      <c r="FA6" s="2"/>
      <c r="FB6" s="1">
        <v>0</v>
      </c>
      <c r="FC6" s="2"/>
      <c r="FD6" s="2"/>
      <c r="FE6" s="2"/>
      <c r="FG6" s="2" t="s">
        <v>335</v>
      </c>
      <c r="FH6" s="2"/>
      <c r="FI6" s="2"/>
      <c r="FJ6" s="1">
        <v>-1</v>
      </c>
      <c r="FK6" s="1">
        <v>-1</v>
      </c>
      <c r="FL6" s="1">
        <v>-1</v>
      </c>
      <c r="FM6" s="1">
        <v>-1</v>
      </c>
      <c r="FN6" s="1">
        <v>-1</v>
      </c>
      <c r="FO6" s="1">
        <v>-1</v>
      </c>
      <c r="FP6" s="1">
        <v>-1</v>
      </c>
      <c r="FQ6" s="1">
        <v>-1</v>
      </c>
      <c r="FR6" s="1">
        <v>-1</v>
      </c>
      <c r="FS6" s="1">
        <v>-1</v>
      </c>
      <c r="FT6" s="1">
        <v>-1</v>
      </c>
      <c r="FU6" s="1">
        <v>-1</v>
      </c>
      <c r="FV6" s="1">
        <v>-1</v>
      </c>
      <c r="FW6" s="1">
        <v>-1</v>
      </c>
      <c r="FX6" s="1">
        <v>-1</v>
      </c>
      <c r="FY6" s="1">
        <v>-15</v>
      </c>
      <c r="FZ6" s="3"/>
      <c r="GA6" s="3"/>
      <c r="GB6" s="2" t="s">
        <v>319</v>
      </c>
      <c r="GC6" s="2" t="s">
        <v>320</v>
      </c>
      <c r="GD6" s="2" t="s">
        <v>277</v>
      </c>
      <c r="GE6" s="1">
        <v>15</v>
      </c>
      <c r="GF6" s="1">
        <v>15</v>
      </c>
      <c r="GG6" s="1">
        <v>42</v>
      </c>
      <c r="GH6" s="1">
        <v>14</v>
      </c>
      <c r="GI6" s="4"/>
    </row>
    <row r="7" spans="1:191" s="49" customFormat="1" x14ac:dyDescent="0.25">
      <c r="A7" s="65">
        <v>130</v>
      </c>
      <c r="B7" s="61" t="s">
        <v>321</v>
      </c>
      <c r="C7" s="61" t="s">
        <v>353</v>
      </c>
      <c r="D7" s="61" t="s">
        <v>354</v>
      </c>
      <c r="E7" s="61" t="s">
        <v>281</v>
      </c>
      <c r="F7" s="61" t="s">
        <v>281</v>
      </c>
      <c r="G7" s="61" t="s">
        <v>281</v>
      </c>
      <c r="H7" s="61" t="s">
        <v>282</v>
      </c>
      <c r="I7" s="61" t="s">
        <v>282</v>
      </c>
      <c r="J7" s="61" t="s">
        <v>281</v>
      </c>
      <c r="K7" s="61" t="s">
        <v>281</v>
      </c>
      <c r="L7" s="61" t="s">
        <v>281</v>
      </c>
      <c r="M7" s="61" t="s">
        <v>282</v>
      </c>
      <c r="N7" s="65">
        <v>0</v>
      </c>
      <c r="O7" s="61"/>
      <c r="P7" s="61"/>
      <c r="Q7" s="61" t="s">
        <v>355</v>
      </c>
      <c r="R7" s="61"/>
      <c r="S7" s="61"/>
      <c r="T7" s="61" t="s">
        <v>284</v>
      </c>
      <c r="U7" s="61"/>
      <c r="V7" s="61" t="s">
        <v>316</v>
      </c>
      <c r="W7" s="65">
        <v>0</v>
      </c>
      <c r="X7" s="61"/>
      <c r="Y7" s="61"/>
      <c r="Z7" s="61" t="s">
        <v>303</v>
      </c>
      <c r="AA7" s="61" t="s">
        <v>331</v>
      </c>
      <c r="AB7" s="65">
        <v>1</v>
      </c>
      <c r="AC7" s="61" t="s">
        <v>356</v>
      </c>
      <c r="AD7" s="61"/>
      <c r="AE7" s="61" t="s">
        <v>298</v>
      </c>
      <c r="AF7" s="61" t="s">
        <v>331</v>
      </c>
      <c r="AG7" s="65">
        <v>0</v>
      </c>
      <c r="AH7" s="61"/>
      <c r="AI7" s="61"/>
      <c r="AJ7" s="65">
        <v>0</v>
      </c>
      <c r="AK7" s="61"/>
      <c r="AL7" s="61"/>
      <c r="AM7" s="61" t="s">
        <v>328</v>
      </c>
      <c r="AN7" s="65">
        <v>1</v>
      </c>
      <c r="AO7" s="61" t="s">
        <v>357</v>
      </c>
      <c r="AP7" s="61"/>
      <c r="AQ7" s="61" t="s">
        <v>294</v>
      </c>
      <c r="AR7" s="61" t="s">
        <v>287</v>
      </c>
      <c r="AS7" s="65">
        <v>0</v>
      </c>
      <c r="AT7" s="61"/>
      <c r="AU7" s="61"/>
      <c r="AV7" s="61" t="s">
        <v>288</v>
      </c>
      <c r="AW7" s="61" t="s">
        <v>287</v>
      </c>
      <c r="AX7" s="65">
        <v>0</v>
      </c>
      <c r="AY7" s="61"/>
      <c r="AZ7" s="61"/>
      <c r="BA7" s="65">
        <v>0</v>
      </c>
      <c r="BB7" s="61"/>
      <c r="BC7" s="61" t="s">
        <v>299</v>
      </c>
      <c r="BD7" s="61"/>
      <c r="BE7" s="61"/>
      <c r="BF7" s="65">
        <v>0</v>
      </c>
      <c r="BG7" s="61"/>
      <c r="BH7" s="61"/>
      <c r="BI7" s="61"/>
      <c r="BJ7" s="61"/>
      <c r="BK7" s="65">
        <v>0</v>
      </c>
      <c r="BL7" s="61"/>
      <c r="BM7" s="61"/>
      <c r="BN7" s="65">
        <v>0</v>
      </c>
      <c r="BO7" s="61"/>
      <c r="BP7" s="61"/>
      <c r="BQ7" s="65">
        <v>0</v>
      </c>
      <c r="BR7" s="61"/>
      <c r="BS7" s="61"/>
      <c r="BT7" s="61"/>
      <c r="BU7" s="65">
        <v>0</v>
      </c>
      <c r="BV7" s="61"/>
      <c r="BW7" s="61"/>
      <c r="BX7" s="61"/>
      <c r="BY7" s="61"/>
      <c r="BZ7" s="65">
        <v>0</v>
      </c>
      <c r="CA7" s="61"/>
      <c r="CB7" s="61"/>
      <c r="CC7" s="65">
        <v>0</v>
      </c>
      <c r="CD7" s="61"/>
      <c r="CE7" s="61"/>
      <c r="CF7" s="65">
        <v>2</v>
      </c>
      <c r="CG7" s="61" t="s">
        <v>358</v>
      </c>
      <c r="CH7" s="61" t="s">
        <v>359</v>
      </c>
      <c r="CI7" s="61" t="s">
        <v>303</v>
      </c>
      <c r="CJ7" s="61" t="s">
        <v>297</v>
      </c>
      <c r="CK7" s="65">
        <v>0</v>
      </c>
      <c r="CL7" s="61"/>
      <c r="CM7" s="61"/>
      <c r="CN7" s="61" t="s">
        <v>305</v>
      </c>
      <c r="CO7" s="61" t="s">
        <v>339</v>
      </c>
      <c r="CP7" s="65">
        <v>0</v>
      </c>
      <c r="CQ7" s="61"/>
      <c r="CR7" s="61"/>
      <c r="CS7" s="65">
        <v>0</v>
      </c>
      <c r="CT7" s="61"/>
      <c r="CU7" s="61" t="s">
        <v>299</v>
      </c>
      <c r="CV7" s="94"/>
      <c r="CW7" s="65">
        <v>1</v>
      </c>
      <c r="CX7" s="61" t="s">
        <v>360</v>
      </c>
      <c r="CY7" s="61"/>
      <c r="CZ7" s="61" t="s">
        <v>301</v>
      </c>
      <c r="DA7" s="61" t="s">
        <v>339</v>
      </c>
      <c r="DB7" s="65">
        <v>0</v>
      </c>
      <c r="DC7" s="61"/>
      <c r="DD7" s="61"/>
      <c r="DE7" s="61" t="s">
        <v>324</v>
      </c>
      <c r="DF7" s="61" t="s">
        <v>287</v>
      </c>
      <c r="DG7" s="65">
        <v>0</v>
      </c>
      <c r="DH7" s="61"/>
      <c r="DI7" s="61"/>
      <c r="DJ7" s="65">
        <v>1</v>
      </c>
      <c r="DK7" s="61" t="s">
        <v>361</v>
      </c>
      <c r="DL7" s="61" t="s">
        <v>299</v>
      </c>
      <c r="DM7" s="65">
        <v>1</v>
      </c>
      <c r="DN7" s="61" t="s">
        <v>362</v>
      </c>
      <c r="DO7" s="61"/>
      <c r="DP7" s="61" t="s">
        <v>303</v>
      </c>
      <c r="DQ7" s="61" t="s">
        <v>331</v>
      </c>
      <c r="DR7" s="65">
        <v>0</v>
      </c>
      <c r="DS7" s="61"/>
      <c r="DT7" s="61"/>
      <c r="DU7" s="61" t="s">
        <v>298</v>
      </c>
      <c r="DV7" s="61" t="s">
        <v>331</v>
      </c>
      <c r="DW7" s="65">
        <v>0</v>
      </c>
      <c r="DX7" s="61"/>
      <c r="DY7" s="61"/>
      <c r="DZ7" s="61"/>
      <c r="EA7" s="61"/>
      <c r="EB7" s="61" t="s">
        <v>299</v>
      </c>
      <c r="EC7" s="65">
        <v>0</v>
      </c>
      <c r="ED7" s="61"/>
      <c r="EE7" s="61" t="s">
        <v>294</v>
      </c>
      <c r="EF7" s="61" t="s">
        <v>331</v>
      </c>
      <c r="EG7" s="65">
        <v>0</v>
      </c>
      <c r="EH7" s="61"/>
      <c r="EI7" s="61"/>
      <c r="EJ7" s="61" t="s">
        <v>298</v>
      </c>
      <c r="EK7" s="61" t="s">
        <v>331</v>
      </c>
      <c r="EL7" s="65">
        <v>0</v>
      </c>
      <c r="EM7" s="61"/>
      <c r="EN7" s="61"/>
      <c r="EO7" s="61"/>
      <c r="EP7" s="65">
        <v>0</v>
      </c>
      <c r="EQ7" s="61"/>
      <c r="ER7" s="61" t="s">
        <v>299</v>
      </c>
      <c r="ES7" s="65">
        <v>0</v>
      </c>
      <c r="ET7" s="61"/>
      <c r="EU7" s="61"/>
      <c r="EV7" s="61"/>
      <c r="EW7" s="61"/>
      <c r="EX7" s="61"/>
      <c r="EY7" s="61"/>
      <c r="EZ7" s="61"/>
      <c r="FA7" s="61"/>
      <c r="FB7" s="65">
        <v>1</v>
      </c>
      <c r="FC7" s="61" t="s">
        <v>363</v>
      </c>
      <c r="FD7" s="61"/>
      <c r="FE7" s="61"/>
      <c r="FG7" s="61" t="s">
        <v>317</v>
      </c>
      <c r="FH7" s="61" t="s">
        <v>364</v>
      </c>
      <c r="FI7" s="61"/>
      <c r="FJ7" s="65">
        <v>-1</v>
      </c>
      <c r="FK7" s="65">
        <v>-1</v>
      </c>
      <c r="FL7" s="65">
        <v>-1</v>
      </c>
      <c r="FM7" s="65">
        <v>-1</v>
      </c>
      <c r="FN7" s="65">
        <v>-1</v>
      </c>
      <c r="FO7" s="65">
        <v>-1</v>
      </c>
      <c r="FP7" s="65">
        <v>-1</v>
      </c>
      <c r="FQ7" s="65">
        <v>-1</v>
      </c>
      <c r="FR7" s="65">
        <v>-1</v>
      </c>
      <c r="FS7" s="65">
        <v>-1</v>
      </c>
      <c r="FT7" s="65">
        <v>-1</v>
      </c>
      <c r="FU7" s="65">
        <v>-1</v>
      </c>
      <c r="FV7" s="65">
        <v>-1</v>
      </c>
      <c r="FW7" s="65">
        <v>-1</v>
      </c>
      <c r="FX7" s="65">
        <v>-1</v>
      </c>
      <c r="FY7" s="65">
        <v>-15</v>
      </c>
      <c r="FZ7" s="66"/>
      <c r="GA7" s="66"/>
      <c r="GB7" s="61"/>
      <c r="GC7" s="61" t="s">
        <v>320</v>
      </c>
      <c r="GD7" s="61" t="s">
        <v>277</v>
      </c>
      <c r="GE7" s="65">
        <v>15</v>
      </c>
      <c r="GF7" s="65">
        <v>15</v>
      </c>
      <c r="GG7" s="65">
        <v>51</v>
      </c>
      <c r="GH7" s="65">
        <v>28</v>
      </c>
      <c r="GI7" s="67"/>
    </row>
    <row r="8" spans="1:191" s="49" customFormat="1" x14ac:dyDescent="0.25">
      <c r="A8" s="65">
        <v>131</v>
      </c>
      <c r="B8" s="61" t="s">
        <v>321</v>
      </c>
      <c r="C8" s="61" t="s">
        <v>279</v>
      </c>
      <c r="D8" s="61" t="s">
        <v>348</v>
      </c>
      <c r="E8" s="61" t="s">
        <v>281</v>
      </c>
      <c r="F8" s="61" t="s">
        <v>281</v>
      </c>
      <c r="G8" s="61" t="s">
        <v>282</v>
      </c>
      <c r="H8" s="61" t="s">
        <v>282</v>
      </c>
      <c r="I8" s="61" t="s">
        <v>282</v>
      </c>
      <c r="J8" s="61" t="s">
        <v>281</v>
      </c>
      <c r="K8" s="61" t="s">
        <v>281</v>
      </c>
      <c r="L8" s="61" t="s">
        <v>281</v>
      </c>
      <c r="M8" s="61" t="s">
        <v>282</v>
      </c>
      <c r="N8" s="65">
        <v>0</v>
      </c>
      <c r="O8" s="61"/>
      <c r="P8" s="61"/>
      <c r="Q8" s="61" t="s">
        <v>355</v>
      </c>
      <c r="R8" s="61"/>
      <c r="S8" s="61"/>
      <c r="T8" s="61" t="s">
        <v>322</v>
      </c>
      <c r="U8" s="61"/>
      <c r="V8" s="61" t="s">
        <v>316</v>
      </c>
      <c r="W8" s="65">
        <v>1</v>
      </c>
      <c r="X8" s="61" t="s">
        <v>365</v>
      </c>
      <c r="Y8" s="61"/>
      <c r="Z8" s="61" t="s">
        <v>294</v>
      </c>
      <c r="AA8" s="61" t="s">
        <v>302</v>
      </c>
      <c r="AB8" s="65">
        <v>0</v>
      </c>
      <c r="AC8" s="61"/>
      <c r="AD8" s="61"/>
      <c r="AE8" s="61" t="s">
        <v>298</v>
      </c>
      <c r="AF8" s="61" t="s">
        <v>302</v>
      </c>
      <c r="AG8" s="65">
        <v>0</v>
      </c>
      <c r="AH8" s="61"/>
      <c r="AI8" s="61"/>
      <c r="AJ8" s="65">
        <v>0</v>
      </c>
      <c r="AK8" s="61"/>
      <c r="AL8" s="61"/>
      <c r="AM8" s="61" t="s">
        <v>366</v>
      </c>
      <c r="AN8" s="65">
        <v>1</v>
      </c>
      <c r="AO8" s="61" t="s">
        <v>367</v>
      </c>
      <c r="AP8" s="61"/>
      <c r="AQ8" s="61" t="s">
        <v>301</v>
      </c>
      <c r="AR8" s="61" t="s">
        <v>287</v>
      </c>
      <c r="AS8" s="65">
        <v>0</v>
      </c>
      <c r="AT8" s="61"/>
      <c r="AU8" s="61"/>
      <c r="AV8" s="61" t="s">
        <v>324</v>
      </c>
      <c r="AW8" s="61" t="s">
        <v>297</v>
      </c>
      <c r="AX8" s="65">
        <v>0</v>
      </c>
      <c r="AY8" s="61"/>
      <c r="AZ8" s="61"/>
      <c r="BA8" s="65">
        <v>1</v>
      </c>
      <c r="BB8" s="61" t="s">
        <v>368</v>
      </c>
      <c r="BC8" s="61" t="s">
        <v>296</v>
      </c>
      <c r="BD8" s="61"/>
      <c r="BE8" s="61"/>
      <c r="BF8" s="65">
        <v>0</v>
      </c>
      <c r="BG8" s="61"/>
      <c r="BH8" s="61"/>
      <c r="BI8" s="61"/>
      <c r="BJ8" s="61"/>
      <c r="BK8" s="65">
        <v>0</v>
      </c>
      <c r="BL8" s="61"/>
      <c r="BM8" s="61"/>
      <c r="BN8" s="65">
        <v>0</v>
      </c>
      <c r="BO8" s="61"/>
      <c r="BP8" s="61"/>
      <c r="BQ8" s="65">
        <v>1</v>
      </c>
      <c r="BR8" s="61" t="s">
        <v>369</v>
      </c>
      <c r="BS8" s="61" t="s">
        <v>301</v>
      </c>
      <c r="BT8" s="61" t="s">
        <v>297</v>
      </c>
      <c r="BU8" s="65">
        <v>0</v>
      </c>
      <c r="BV8" s="61"/>
      <c r="BW8" s="61"/>
      <c r="BX8" s="61" t="s">
        <v>288</v>
      </c>
      <c r="BY8" s="61" t="s">
        <v>297</v>
      </c>
      <c r="BZ8" s="65">
        <v>0</v>
      </c>
      <c r="CA8" s="61"/>
      <c r="CB8" s="61"/>
      <c r="CC8" s="65">
        <v>0</v>
      </c>
      <c r="CD8" s="61"/>
      <c r="CE8" s="61" t="s">
        <v>328</v>
      </c>
      <c r="CF8" s="65">
        <v>1</v>
      </c>
      <c r="CG8" s="61" t="s">
        <v>370</v>
      </c>
      <c r="CH8" s="61"/>
      <c r="CI8" s="61" t="s">
        <v>301</v>
      </c>
      <c r="CJ8" s="61" t="s">
        <v>302</v>
      </c>
      <c r="CK8" s="65">
        <v>0</v>
      </c>
      <c r="CL8" s="61"/>
      <c r="CM8" s="61"/>
      <c r="CN8" s="61" t="s">
        <v>305</v>
      </c>
      <c r="CO8" s="61" t="s">
        <v>302</v>
      </c>
      <c r="CP8" s="65">
        <v>0</v>
      </c>
      <c r="CQ8" s="61"/>
      <c r="CR8" s="61"/>
      <c r="CS8" s="65">
        <v>0</v>
      </c>
      <c r="CT8" s="61"/>
      <c r="CU8" s="61" t="s">
        <v>328</v>
      </c>
      <c r="CV8" s="94">
        <f t="shared" si="0"/>
        <v>1</v>
      </c>
      <c r="CW8" s="65">
        <v>2</v>
      </c>
      <c r="CX8" s="61" t="s">
        <v>371</v>
      </c>
      <c r="CY8" s="61" t="s">
        <v>372</v>
      </c>
      <c r="CZ8" s="61" t="s">
        <v>294</v>
      </c>
      <c r="DA8" s="61" t="s">
        <v>302</v>
      </c>
      <c r="DB8" s="65">
        <v>0</v>
      </c>
      <c r="DC8" s="61"/>
      <c r="DD8" s="61"/>
      <c r="DE8" s="61" t="s">
        <v>298</v>
      </c>
      <c r="DF8" s="61" t="s">
        <v>297</v>
      </c>
      <c r="DG8" s="65">
        <v>0</v>
      </c>
      <c r="DH8" s="61"/>
      <c r="DI8" s="61"/>
      <c r="DJ8" s="65">
        <v>0</v>
      </c>
      <c r="DK8" s="61"/>
      <c r="DL8" s="61" t="s">
        <v>296</v>
      </c>
      <c r="DM8" s="65">
        <v>1</v>
      </c>
      <c r="DN8" s="61" t="s">
        <v>373</v>
      </c>
      <c r="DO8" s="61"/>
      <c r="DP8" s="61" t="s">
        <v>294</v>
      </c>
      <c r="DQ8" s="61" t="s">
        <v>331</v>
      </c>
      <c r="DR8" s="65">
        <v>0</v>
      </c>
      <c r="DS8" s="61"/>
      <c r="DT8" s="61"/>
      <c r="DU8" s="61" t="s">
        <v>298</v>
      </c>
      <c r="DV8" s="61" t="s">
        <v>331</v>
      </c>
      <c r="DW8" s="65">
        <v>0</v>
      </c>
      <c r="DX8" s="61"/>
      <c r="DY8" s="61"/>
      <c r="DZ8" s="61"/>
      <c r="EA8" s="61"/>
      <c r="EB8" s="61" t="s">
        <v>296</v>
      </c>
      <c r="EC8" s="65">
        <v>1</v>
      </c>
      <c r="ED8" s="61" t="s">
        <v>374</v>
      </c>
      <c r="EE8" s="61" t="s">
        <v>294</v>
      </c>
      <c r="EF8" s="61" t="s">
        <v>331</v>
      </c>
      <c r="EG8" s="65">
        <v>1</v>
      </c>
      <c r="EH8" s="61" t="s">
        <v>302</v>
      </c>
      <c r="EI8" s="61"/>
      <c r="EJ8" s="61" t="s">
        <v>305</v>
      </c>
      <c r="EK8" s="61" t="s">
        <v>331</v>
      </c>
      <c r="EL8" s="65">
        <v>0</v>
      </c>
      <c r="EM8" s="61"/>
      <c r="EN8" s="61"/>
      <c r="EO8" s="61"/>
      <c r="EP8" s="65">
        <v>0</v>
      </c>
      <c r="EQ8" s="61"/>
      <c r="ER8" s="61" t="s">
        <v>296</v>
      </c>
      <c r="ES8" s="65">
        <v>0</v>
      </c>
      <c r="ET8" s="61"/>
      <c r="EU8" s="61"/>
      <c r="EV8" s="61"/>
      <c r="EW8" s="61"/>
      <c r="EX8" s="61"/>
      <c r="EY8" s="61"/>
      <c r="EZ8" s="61"/>
      <c r="FA8" s="61"/>
      <c r="FB8" s="65">
        <v>0</v>
      </c>
      <c r="FC8" s="61"/>
      <c r="FD8" s="61"/>
      <c r="FE8" s="61"/>
      <c r="FG8" s="61" t="s">
        <v>335</v>
      </c>
      <c r="FH8" s="61" t="s">
        <v>375</v>
      </c>
      <c r="FI8" s="61"/>
      <c r="FJ8" s="65">
        <v>-1</v>
      </c>
      <c r="FK8" s="65">
        <v>-1</v>
      </c>
      <c r="FL8" s="65">
        <v>-1</v>
      </c>
      <c r="FM8" s="65">
        <v>-1</v>
      </c>
      <c r="FN8" s="65">
        <v>-1</v>
      </c>
      <c r="FO8" s="65">
        <v>-1</v>
      </c>
      <c r="FP8" s="65">
        <v>-1</v>
      </c>
      <c r="FQ8" s="65">
        <v>-1</v>
      </c>
      <c r="FR8" s="65">
        <v>-1</v>
      </c>
      <c r="FS8" s="65">
        <v>-1</v>
      </c>
      <c r="FT8" s="65">
        <v>-1</v>
      </c>
      <c r="FU8" s="65">
        <v>-1</v>
      </c>
      <c r="FV8" s="65">
        <v>-1</v>
      </c>
      <c r="FW8" s="65">
        <v>-1</v>
      </c>
      <c r="FX8" s="65">
        <v>-1</v>
      </c>
      <c r="FY8" s="65">
        <v>-15</v>
      </c>
      <c r="FZ8" s="66"/>
      <c r="GA8" s="66"/>
      <c r="GB8" s="61" t="s">
        <v>319</v>
      </c>
      <c r="GC8" s="61" t="s">
        <v>320</v>
      </c>
      <c r="GD8" s="61" t="s">
        <v>277</v>
      </c>
      <c r="GE8" s="65">
        <v>15</v>
      </c>
      <c r="GF8" s="65">
        <v>15</v>
      </c>
      <c r="GG8" s="65">
        <v>41</v>
      </c>
      <c r="GH8" s="65">
        <v>16</v>
      </c>
      <c r="GI8" s="67"/>
    </row>
    <row r="9" spans="1:191" s="48" customFormat="1" x14ac:dyDescent="0.25">
      <c r="A9" s="51">
        <v>135</v>
      </c>
      <c r="B9" s="52" t="s">
        <v>321</v>
      </c>
      <c r="C9" s="52" t="s">
        <v>279</v>
      </c>
      <c r="D9" s="52" t="s">
        <v>377</v>
      </c>
      <c r="E9" s="52" t="s">
        <v>281</v>
      </c>
      <c r="F9" s="52" t="s">
        <v>282</v>
      </c>
      <c r="G9" s="52" t="s">
        <v>282</v>
      </c>
      <c r="H9" s="52" t="s">
        <v>282</v>
      </c>
      <c r="I9" s="52" t="s">
        <v>282</v>
      </c>
      <c r="J9" s="52" t="s">
        <v>281</v>
      </c>
      <c r="K9" s="52" t="s">
        <v>282</v>
      </c>
      <c r="L9" s="52" t="s">
        <v>281</v>
      </c>
      <c r="M9" s="52" t="s">
        <v>282</v>
      </c>
      <c r="N9" s="51">
        <v>0</v>
      </c>
      <c r="O9" s="52"/>
      <c r="P9" s="52"/>
      <c r="Q9" s="52" t="s">
        <v>283</v>
      </c>
      <c r="R9" s="52" t="s">
        <v>378</v>
      </c>
      <c r="S9" s="52"/>
      <c r="T9" s="52"/>
      <c r="U9" s="52"/>
      <c r="V9" s="52" t="s">
        <v>346</v>
      </c>
      <c r="W9" s="51">
        <v>1</v>
      </c>
      <c r="X9" s="52" t="s">
        <v>379</v>
      </c>
      <c r="Y9" s="52"/>
      <c r="Z9" s="52" t="s">
        <v>303</v>
      </c>
      <c r="AA9" s="52" t="s">
        <v>331</v>
      </c>
      <c r="AB9" s="51">
        <v>0</v>
      </c>
      <c r="AC9" s="52"/>
      <c r="AD9" s="52"/>
      <c r="AE9" s="52" t="s">
        <v>305</v>
      </c>
      <c r="AF9" s="52" t="s">
        <v>297</v>
      </c>
      <c r="AG9" s="51">
        <v>1</v>
      </c>
      <c r="AH9" s="52" t="s">
        <v>380</v>
      </c>
      <c r="AI9" s="52"/>
      <c r="AJ9" s="51">
        <v>0</v>
      </c>
      <c r="AK9" s="52"/>
      <c r="AL9" s="52"/>
      <c r="AM9" s="52" t="s">
        <v>299</v>
      </c>
      <c r="AN9" s="51">
        <v>0</v>
      </c>
      <c r="AO9" s="52"/>
      <c r="AP9" s="52"/>
      <c r="AQ9" s="52" t="s">
        <v>301</v>
      </c>
      <c r="AR9" s="52" t="s">
        <v>287</v>
      </c>
      <c r="AS9" s="51">
        <v>1</v>
      </c>
      <c r="AT9" s="52"/>
      <c r="AU9" s="52" t="s">
        <v>381</v>
      </c>
      <c r="AV9" s="52" t="s">
        <v>288</v>
      </c>
      <c r="AW9" s="52" t="s">
        <v>339</v>
      </c>
      <c r="AX9" s="51">
        <v>0</v>
      </c>
      <c r="AY9" s="52"/>
      <c r="AZ9" s="52"/>
      <c r="BA9" s="51">
        <v>1</v>
      </c>
      <c r="BB9" s="52" t="s">
        <v>382</v>
      </c>
      <c r="BC9" s="52" t="s">
        <v>328</v>
      </c>
      <c r="BD9" s="52" t="s">
        <v>301</v>
      </c>
      <c r="BE9" s="52" t="s">
        <v>297</v>
      </c>
      <c r="BF9" s="51">
        <v>1</v>
      </c>
      <c r="BG9" s="52" t="s">
        <v>339</v>
      </c>
      <c r="BH9" s="52"/>
      <c r="BI9" s="52" t="s">
        <v>324</v>
      </c>
      <c r="BJ9" s="52" t="s">
        <v>297</v>
      </c>
      <c r="BK9" s="51">
        <v>0</v>
      </c>
      <c r="BL9" s="52"/>
      <c r="BM9" s="52"/>
      <c r="BN9" s="51">
        <v>0</v>
      </c>
      <c r="BO9" s="52"/>
      <c r="BP9" s="52" t="s">
        <v>296</v>
      </c>
      <c r="BQ9" s="51">
        <v>0</v>
      </c>
      <c r="BR9" s="52"/>
      <c r="BS9" s="52" t="s">
        <v>303</v>
      </c>
      <c r="BT9" s="52" t="s">
        <v>297</v>
      </c>
      <c r="BU9" s="51">
        <v>0</v>
      </c>
      <c r="BV9" s="52"/>
      <c r="BW9" s="52"/>
      <c r="BX9" s="52" t="s">
        <v>305</v>
      </c>
      <c r="BY9" s="52" t="s">
        <v>297</v>
      </c>
      <c r="BZ9" s="51">
        <v>0</v>
      </c>
      <c r="CA9" s="52"/>
      <c r="CB9" s="52"/>
      <c r="CC9" s="51">
        <v>0</v>
      </c>
      <c r="CD9" s="52"/>
      <c r="CE9" s="52" t="s">
        <v>328</v>
      </c>
      <c r="CF9" s="51">
        <v>0</v>
      </c>
      <c r="CG9" s="52"/>
      <c r="CH9" s="52"/>
      <c r="CI9" s="52" t="s">
        <v>303</v>
      </c>
      <c r="CJ9" s="52" t="s">
        <v>297</v>
      </c>
      <c r="CK9" s="51">
        <v>0</v>
      </c>
      <c r="CL9" s="52"/>
      <c r="CM9" s="52"/>
      <c r="CN9" s="52" t="s">
        <v>298</v>
      </c>
      <c r="CO9" s="52" t="s">
        <v>297</v>
      </c>
      <c r="CP9" s="51">
        <v>0</v>
      </c>
      <c r="CQ9" s="52"/>
      <c r="CR9" s="52"/>
      <c r="CS9" s="51">
        <v>0</v>
      </c>
      <c r="CT9" s="52"/>
      <c r="CU9" s="52" t="s">
        <v>328</v>
      </c>
      <c r="CV9" s="94">
        <f t="shared" si="0"/>
        <v>1</v>
      </c>
      <c r="CW9" s="51">
        <v>0</v>
      </c>
      <c r="CX9" s="52"/>
      <c r="CY9" s="52"/>
      <c r="CZ9" s="52" t="s">
        <v>286</v>
      </c>
      <c r="DA9" s="52" t="s">
        <v>297</v>
      </c>
      <c r="DB9" s="51">
        <v>0</v>
      </c>
      <c r="DC9" s="52"/>
      <c r="DD9" s="52"/>
      <c r="DE9" s="52" t="s">
        <v>324</v>
      </c>
      <c r="DF9" s="52" t="s">
        <v>297</v>
      </c>
      <c r="DG9" s="51">
        <v>0</v>
      </c>
      <c r="DH9" s="52"/>
      <c r="DI9" s="52"/>
      <c r="DJ9" s="51">
        <v>0</v>
      </c>
      <c r="DK9" s="52"/>
      <c r="DL9" s="52" t="s">
        <v>296</v>
      </c>
      <c r="DM9" s="51">
        <v>0</v>
      </c>
      <c r="DN9" s="52"/>
      <c r="DO9" s="52"/>
      <c r="DP9" s="52" t="s">
        <v>303</v>
      </c>
      <c r="DQ9" s="52" t="s">
        <v>331</v>
      </c>
      <c r="DR9" s="51">
        <v>0</v>
      </c>
      <c r="DS9" s="52"/>
      <c r="DT9" s="52"/>
      <c r="DU9" s="52" t="s">
        <v>305</v>
      </c>
      <c r="DV9" s="52" t="s">
        <v>297</v>
      </c>
      <c r="DW9" s="51">
        <v>0</v>
      </c>
      <c r="DX9" s="52"/>
      <c r="DY9" s="52"/>
      <c r="DZ9" s="52"/>
      <c r="EA9" s="52" t="s">
        <v>380</v>
      </c>
      <c r="EB9" s="52" t="s">
        <v>292</v>
      </c>
      <c r="EC9" s="51">
        <v>1</v>
      </c>
      <c r="ED9" s="52" t="s">
        <v>333</v>
      </c>
      <c r="EE9" s="52" t="s">
        <v>301</v>
      </c>
      <c r="EF9" s="52" t="s">
        <v>331</v>
      </c>
      <c r="EG9" s="51">
        <v>0</v>
      </c>
      <c r="EH9" s="52"/>
      <c r="EI9" s="52"/>
      <c r="EJ9" s="52" t="s">
        <v>288</v>
      </c>
      <c r="EK9" s="52" t="s">
        <v>331</v>
      </c>
      <c r="EL9" s="51">
        <v>0</v>
      </c>
      <c r="EM9" s="52"/>
      <c r="EN9" s="52"/>
      <c r="EO9" s="52"/>
      <c r="EP9" s="51">
        <v>0</v>
      </c>
      <c r="EQ9" s="52"/>
      <c r="ER9" s="52" t="s">
        <v>328</v>
      </c>
      <c r="ES9" s="51">
        <v>4</v>
      </c>
      <c r="ET9" s="52" t="s">
        <v>383</v>
      </c>
      <c r="EU9" s="52" t="s">
        <v>341</v>
      </c>
      <c r="EV9" s="52" t="s">
        <v>384</v>
      </c>
      <c r="EW9" s="52" t="s">
        <v>385</v>
      </c>
      <c r="EX9" s="52"/>
      <c r="EY9" s="52"/>
      <c r="EZ9" s="52"/>
      <c r="FA9" s="52"/>
      <c r="FB9" s="51">
        <v>0</v>
      </c>
      <c r="FC9" s="52"/>
      <c r="FD9" s="52"/>
      <c r="FE9" s="52"/>
      <c r="FG9" s="52" t="s">
        <v>351</v>
      </c>
      <c r="FH9" s="52"/>
      <c r="FI9" s="52"/>
      <c r="FJ9" s="51">
        <v>-1</v>
      </c>
      <c r="FK9" s="51">
        <v>-1</v>
      </c>
      <c r="FL9" s="51">
        <v>-1</v>
      </c>
      <c r="FM9" s="51">
        <v>-1</v>
      </c>
      <c r="FN9" s="51">
        <v>-1</v>
      </c>
      <c r="FO9" s="51">
        <v>-1</v>
      </c>
      <c r="FP9" s="51">
        <v>-1</v>
      </c>
      <c r="FQ9" s="51">
        <v>-1</v>
      </c>
      <c r="FR9" s="51">
        <v>-1</v>
      </c>
      <c r="FS9" s="51">
        <v>-1</v>
      </c>
      <c r="FT9" s="51">
        <v>-1</v>
      </c>
      <c r="FU9" s="51">
        <v>-1</v>
      </c>
      <c r="FV9" s="51">
        <v>-1</v>
      </c>
      <c r="FW9" s="51">
        <v>-1</v>
      </c>
      <c r="FX9" s="51">
        <v>-1</v>
      </c>
      <c r="FY9" s="51">
        <v>-15</v>
      </c>
      <c r="FZ9" s="53"/>
      <c r="GA9" s="53"/>
      <c r="GB9" s="52" t="s">
        <v>319</v>
      </c>
      <c r="GC9" s="52" t="s">
        <v>320</v>
      </c>
      <c r="GD9" s="52" t="s">
        <v>277</v>
      </c>
      <c r="GE9" s="51">
        <v>15</v>
      </c>
      <c r="GF9" s="51">
        <v>15</v>
      </c>
      <c r="GG9" s="51">
        <v>41</v>
      </c>
      <c r="GH9" s="51">
        <v>15</v>
      </c>
      <c r="GI9" s="54"/>
    </row>
    <row r="10" spans="1:191" s="49" customFormat="1" x14ac:dyDescent="0.25">
      <c r="A10" s="65">
        <v>137</v>
      </c>
      <c r="B10" s="61" t="s">
        <v>321</v>
      </c>
      <c r="C10" s="61" t="s">
        <v>279</v>
      </c>
      <c r="D10" s="61" t="s">
        <v>280</v>
      </c>
      <c r="E10" s="61" t="s">
        <v>281</v>
      </c>
      <c r="F10" s="61" t="s">
        <v>281</v>
      </c>
      <c r="G10" s="61" t="s">
        <v>282</v>
      </c>
      <c r="H10" s="61" t="s">
        <v>282</v>
      </c>
      <c r="I10" s="61" t="s">
        <v>282</v>
      </c>
      <c r="J10" s="61" t="s">
        <v>281</v>
      </c>
      <c r="K10" s="61" t="s">
        <v>281</v>
      </c>
      <c r="L10" s="61" t="s">
        <v>282</v>
      </c>
      <c r="M10" s="61" t="s">
        <v>282</v>
      </c>
      <c r="N10" s="65">
        <v>0</v>
      </c>
      <c r="O10" s="61"/>
      <c r="P10" s="61"/>
      <c r="Q10" s="61" t="s">
        <v>355</v>
      </c>
      <c r="R10" s="61"/>
      <c r="S10" s="61"/>
      <c r="T10" s="61" t="s">
        <v>284</v>
      </c>
      <c r="U10" s="61"/>
      <c r="V10" s="61" t="s">
        <v>393</v>
      </c>
      <c r="W10" s="65">
        <v>1</v>
      </c>
      <c r="X10" s="61" t="s">
        <v>386</v>
      </c>
      <c r="Y10" s="61"/>
      <c r="Z10" s="61" t="s">
        <v>294</v>
      </c>
      <c r="AA10" s="61" t="s">
        <v>287</v>
      </c>
      <c r="AB10" s="65">
        <v>1</v>
      </c>
      <c r="AC10" s="61" t="s">
        <v>297</v>
      </c>
      <c r="AD10" s="61"/>
      <c r="AE10" s="61" t="s">
        <v>324</v>
      </c>
      <c r="AF10" s="61" t="s">
        <v>302</v>
      </c>
      <c r="AG10" s="65">
        <v>1</v>
      </c>
      <c r="AH10" s="61" t="s">
        <v>387</v>
      </c>
      <c r="AI10" s="61"/>
      <c r="AJ10" s="65">
        <v>1</v>
      </c>
      <c r="AK10" s="61" t="s">
        <v>388</v>
      </c>
      <c r="AL10" s="61"/>
      <c r="AM10" s="61" t="s">
        <v>328</v>
      </c>
      <c r="AN10" s="65">
        <v>1</v>
      </c>
      <c r="AO10" s="61" t="s">
        <v>386</v>
      </c>
      <c r="AP10" s="61"/>
      <c r="AQ10" s="61" t="s">
        <v>294</v>
      </c>
      <c r="AR10" s="61" t="s">
        <v>287</v>
      </c>
      <c r="AS10" s="65">
        <v>1</v>
      </c>
      <c r="AT10" s="61" t="s">
        <v>297</v>
      </c>
      <c r="AU10" s="61"/>
      <c r="AV10" s="61" t="s">
        <v>324</v>
      </c>
      <c r="AW10" s="61" t="s">
        <v>302</v>
      </c>
      <c r="AX10" s="65">
        <v>1</v>
      </c>
      <c r="AY10" s="61" t="s">
        <v>387</v>
      </c>
      <c r="AZ10" s="61"/>
      <c r="BA10" s="65">
        <v>1</v>
      </c>
      <c r="BB10" s="61" t="s">
        <v>389</v>
      </c>
      <c r="BC10" s="61" t="s">
        <v>328</v>
      </c>
      <c r="BD10" s="61"/>
      <c r="BE10" s="61"/>
      <c r="BF10" s="65">
        <v>0</v>
      </c>
      <c r="BG10" s="61"/>
      <c r="BH10" s="61"/>
      <c r="BI10" s="61"/>
      <c r="BJ10" s="61"/>
      <c r="BK10" s="65">
        <v>0</v>
      </c>
      <c r="BL10" s="61"/>
      <c r="BM10" s="61"/>
      <c r="BN10" s="65">
        <v>0</v>
      </c>
      <c r="BO10" s="61"/>
      <c r="BP10" s="61"/>
      <c r="BQ10" s="65">
        <v>0</v>
      </c>
      <c r="BR10" s="61"/>
      <c r="BS10" s="61"/>
      <c r="BT10" s="61"/>
      <c r="BU10" s="65">
        <v>0</v>
      </c>
      <c r="BV10" s="61"/>
      <c r="BW10" s="61"/>
      <c r="BX10" s="61"/>
      <c r="BY10" s="61"/>
      <c r="BZ10" s="65">
        <v>0</v>
      </c>
      <c r="CA10" s="61"/>
      <c r="CB10" s="61"/>
      <c r="CC10" s="65">
        <v>0</v>
      </c>
      <c r="CD10" s="61"/>
      <c r="CE10" s="61"/>
      <c r="CF10" s="65">
        <v>0</v>
      </c>
      <c r="CG10" s="61"/>
      <c r="CH10" s="61"/>
      <c r="CI10" s="61"/>
      <c r="CJ10" s="61"/>
      <c r="CK10" s="65">
        <v>0</v>
      </c>
      <c r="CL10" s="61"/>
      <c r="CM10" s="61"/>
      <c r="CN10" s="61"/>
      <c r="CO10" s="61"/>
      <c r="CP10" s="65">
        <v>0</v>
      </c>
      <c r="CQ10" s="61"/>
      <c r="CR10" s="61"/>
      <c r="CS10" s="65">
        <v>0</v>
      </c>
      <c r="CT10" s="61"/>
      <c r="CU10" s="61"/>
      <c r="CV10" s="94"/>
      <c r="CW10" s="65">
        <v>0</v>
      </c>
      <c r="CX10" s="61"/>
      <c r="CY10" s="61"/>
      <c r="CZ10" s="61"/>
      <c r="DA10" s="61"/>
      <c r="DB10" s="65">
        <v>0</v>
      </c>
      <c r="DC10" s="61"/>
      <c r="DD10" s="61"/>
      <c r="DE10" s="61"/>
      <c r="DF10" s="61"/>
      <c r="DG10" s="65">
        <v>0</v>
      </c>
      <c r="DH10" s="61"/>
      <c r="DI10" s="61"/>
      <c r="DJ10" s="65">
        <v>0</v>
      </c>
      <c r="DK10" s="61"/>
      <c r="DL10" s="61"/>
      <c r="DM10" s="65">
        <v>0</v>
      </c>
      <c r="DN10" s="61"/>
      <c r="DO10" s="61"/>
      <c r="DP10" s="61"/>
      <c r="DQ10" s="61"/>
      <c r="DR10" s="65">
        <v>0</v>
      </c>
      <c r="DS10" s="61"/>
      <c r="DT10" s="61"/>
      <c r="DU10" s="61"/>
      <c r="DV10" s="61"/>
      <c r="DW10" s="65">
        <v>0</v>
      </c>
      <c r="DX10" s="61"/>
      <c r="DY10" s="61"/>
      <c r="DZ10" s="61"/>
      <c r="EA10" s="61"/>
      <c r="EB10" s="61"/>
      <c r="EC10" s="65">
        <v>0</v>
      </c>
      <c r="ED10" s="61"/>
      <c r="EE10" s="61"/>
      <c r="EF10" s="61"/>
      <c r="EG10" s="65">
        <v>0</v>
      </c>
      <c r="EH10" s="61"/>
      <c r="EI10" s="61"/>
      <c r="EJ10" s="61"/>
      <c r="EK10" s="61"/>
      <c r="EL10" s="65">
        <v>0</v>
      </c>
      <c r="EM10" s="61"/>
      <c r="EN10" s="61"/>
      <c r="EO10" s="61"/>
      <c r="EP10" s="65">
        <v>0</v>
      </c>
      <c r="EQ10" s="61"/>
      <c r="ER10" s="61"/>
      <c r="ES10" s="65">
        <v>3</v>
      </c>
      <c r="ET10" s="61" t="s">
        <v>390</v>
      </c>
      <c r="EU10" s="61" t="s">
        <v>391</v>
      </c>
      <c r="EV10" s="61" t="s">
        <v>329</v>
      </c>
      <c r="EW10" s="61"/>
      <c r="EX10" s="61"/>
      <c r="EY10" s="61"/>
      <c r="EZ10" s="61"/>
      <c r="FA10" s="61"/>
      <c r="FB10" s="65">
        <v>1</v>
      </c>
      <c r="FC10" s="61" t="s">
        <v>392</v>
      </c>
      <c r="FD10" s="61"/>
      <c r="FE10" s="61"/>
      <c r="FG10" s="61" t="s">
        <v>351</v>
      </c>
      <c r="FH10" s="61"/>
      <c r="FI10" s="61"/>
      <c r="FJ10" s="65">
        <v>-1</v>
      </c>
      <c r="FK10" s="65">
        <v>-1</v>
      </c>
      <c r="FL10" s="65">
        <v>-1</v>
      </c>
      <c r="FM10" s="65">
        <v>-1</v>
      </c>
      <c r="FN10" s="65">
        <v>-1</v>
      </c>
      <c r="FO10" s="65">
        <v>-1</v>
      </c>
      <c r="FP10" s="65">
        <v>-1</v>
      </c>
      <c r="FQ10" s="65">
        <v>-1</v>
      </c>
      <c r="FR10" s="65">
        <v>-1</v>
      </c>
      <c r="FS10" s="65">
        <v>-1</v>
      </c>
      <c r="FT10" s="65">
        <v>-1</v>
      </c>
      <c r="FU10" s="65">
        <v>-1</v>
      </c>
      <c r="FV10" s="65">
        <v>-1</v>
      </c>
      <c r="FW10" s="65">
        <v>-1</v>
      </c>
      <c r="FX10" s="65">
        <v>-1</v>
      </c>
      <c r="FY10" s="65">
        <v>-15</v>
      </c>
      <c r="FZ10" s="66"/>
      <c r="GA10" s="66"/>
      <c r="GB10" s="61"/>
      <c r="GC10" s="61" t="s">
        <v>320</v>
      </c>
      <c r="GD10" s="61" t="s">
        <v>277</v>
      </c>
      <c r="GE10" s="65">
        <v>15</v>
      </c>
      <c r="GF10" s="65">
        <v>15</v>
      </c>
      <c r="GG10" s="65">
        <v>70</v>
      </c>
      <c r="GH10" s="65">
        <v>62</v>
      </c>
      <c r="GI10" s="67"/>
    </row>
    <row r="11" spans="1:191" x14ac:dyDescent="0.25">
      <c r="A11" s="1">
        <v>138</v>
      </c>
      <c r="B11" s="19" t="s">
        <v>321</v>
      </c>
      <c r="C11" s="2" t="s">
        <v>279</v>
      </c>
      <c r="D11" s="2" t="s">
        <v>320</v>
      </c>
      <c r="E11" s="2" t="s">
        <v>282</v>
      </c>
      <c r="F11" s="2" t="s">
        <v>282</v>
      </c>
      <c r="G11" s="2" t="s">
        <v>282</v>
      </c>
      <c r="H11" s="2" t="s">
        <v>282</v>
      </c>
      <c r="I11" s="2" t="s">
        <v>281</v>
      </c>
      <c r="J11" s="2" t="s">
        <v>282</v>
      </c>
      <c r="K11" s="2" t="s">
        <v>282</v>
      </c>
      <c r="L11" s="2" t="s">
        <v>282</v>
      </c>
      <c r="M11" s="2" t="s">
        <v>282</v>
      </c>
      <c r="N11" s="1">
        <v>0</v>
      </c>
      <c r="O11" s="2"/>
      <c r="P11" s="2"/>
      <c r="Q11" s="2" t="s">
        <v>355</v>
      </c>
      <c r="R11" s="2"/>
      <c r="S11" s="2"/>
      <c r="T11" s="2" t="s">
        <v>394</v>
      </c>
      <c r="U11" s="2"/>
      <c r="V11" s="2" t="s">
        <v>346</v>
      </c>
      <c r="W11" s="1">
        <v>0</v>
      </c>
      <c r="X11" s="2"/>
      <c r="Y11" s="2"/>
      <c r="Z11" s="2" t="s">
        <v>303</v>
      </c>
      <c r="AA11" s="2" t="s">
        <v>302</v>
      </c>
      <c r="AB11" s="1">
        <v>0</v>
      </c>
      <c r="AC11" s="2"/>
      <c r="AD11" s="2"/>
      <c r="AE11" s="2" t="s">
        <v>298</v>
      </c>
      <c r="AF11" s="2" t="s">
        <v>302</v>
      </c>
      <c r="AG11" s="1">
        <v>0</v>
      </c>
      <c r="AH11" s="2"/>
      <c r="AI11" s="2"/>
      <c r="AJ11" s="1">
        <v>0</v>
      </c>
      <c r="AK11" s="2"/>
      <c r="AL11" s="2"/>
      <c r="AM11" s="2" t="s">
        <v>299</v>
      </c>
      <c r="AN11" s="1"/>
      <c r="AO11" s="2"/>
      <c r="AP11" s="2"/>
      <c r="AQ11" s="2"/>
      <c r="AR11" s="2"/>
      <c r="AS11" s="1"/>
      <c r="AT11" s="2"/>
      <c r="AU11" s="2"/>
      <c r="AV11" s="2"/>
      <c r="AW11" s="2"/>
      <c r="AX11" s="1"/>
      <c r="AY11" s="2"/>
      <c r="AZ11" s="2"/>
      <c r="BA11" s="1"/>
      <c r="BB11" s="2"/>
      <c r="BC11" s="2"/>
      <c r="BD11" s="2"/>
      <c r="BE11" s="2"/>
      <c r="BF11" s="1"/>
      <c r="BG11" s="2"/>
      <c r="BH11" s="2"/>
      <c r="BI11" s="2"/>
      <c r="BJ11" s="2"/>
      <c r="BK11" s="1"/>
      <c r="BL11" s="2"/>
      <c r="BM11" s="2"/>
      <c r="BN11" s="1"/>
      <c r="BO11" s="2"/>
      <c r="BP11" s="2"/>
      <c r="BQ11" s="1"/>
      <c r="BR11" s="2"/>
      <c r="BS11" s="2"/>
      <c r="BT11" s="2"/>
      <c r="BU11" s="1"/>
      <c r="BV11" s="2"/>
      <c r="BW11" s="2"/>
      <c r="BX11" s="2"/>
      <c r="BY11" s="2"/>
      <c r="BZ11" s="1"/>
      <c r="CA11" s="2"/>
      <c r="CB11" s="2"/>
      <c r="CC11" s="1"/>
      <c r="CD11" s="2"/>
      <c r="CE11" s="2"/>
      <c r="CF11" s="1"/>
      <c r="CG11" s="2"/>
      <c r="CH11" s="2"/>
      <c r="CI11" s="2"/>
      <c r="CJ11" s="2"/>
      <c r="CK11" s="1"/>
      <c r="CL11" s="2"/>
      <c r="CM11" s="2"/>
      <c r="CN11" s="2"/>
      <c r="CO11" s="2"/>
      <c r="CP11" s="1"/>
      <c r="CQ11" s="2"/>
      <c r="CR11" s="2"/>
      <c r="CS11" s="1"/>
      <c r="CT11" s="2"/>
      <c r="CU11" s="2"/>
      <c r="CV11" s="94"/>
      <c r="CW11" s="1"/>
      <c r="CX11" s="2"/>
      <c r="CY11" s="2"/>
      <c r="CZ11" s="2"/>
      <c r="DA11" s="2"/>
      <c r="DB11" s="1"/>
      <c r="DC11" s="2"/>
      <c r="DD11" s="2"/>
      <c r="DE11" s="2"/>
      <c r="DF11" s="2"/>
      <c r="DG11" s="1"/>
      <c r="DH11" s="2"/>
      <c r="DI11" s="2"/>
      <c r="DJ11" s="1"/>
      <c r="DK11" s="2"/>
      <c r="DL11" s="2"/>
      <c r="DM11" s="1"/>
      <c r="DN11" s="2"/>
      <c r="DO11" s="2"/>
      <c r="DP11" s="2"/>
      <c r="DQ11" s="2"/>
      <c r="DR11" s="1"/>
      <c r="DS11" s="2"/>
      <c r="DT11" s="2"/>
      <c r="DU11" s="2"/>
      <c r="DV11" s="2"/>
      <c r="DW11" s="1"/>
      <c r="DX11" s="2"/>
      <c r="DY11" s="2"/>
      <c r="DZ11" s="2"/>
      <c r="EA11" s="2"/>
      <c r="EB11" s="2"/>
      <c r="EC11" s="1"/>
      <c r="ED11" s="2"/>
      <c r="EE11" s="2"/>
      <c r="EF11" s="2"/>
      <c r="EG11" s="1"/>
      <c r="EH11" s="2"/>
      <c r="EI11" s="2"/>
      <c r="EJ11" s="2"/>
      <c r="EK11" s="2"/>
      <c r="EL11" s="1"/>
      <c r="EM11" s="2"/>
      <c r="EN11" s="2"/>
      <c r="EO11" s="2"/>
      <c r="EP11" s="1"/>
      <c r="EQ11" s="2"/>
      <c r="ER11" s="2"/>
      <c r="ES11" s="1"/>
      <c r="ET11" s="2"/>
      <c r="EU11" s="2"/>
      <c r="EV11" s="2"/>
      <c r="EW11" s="2"/>
      <c r="EX11" s="2"/>
      <c r="EY11" s="2"/>
      <c r="EZ11" s="2"/>
      <c r="FA11" s="2"/>
      <c r="FB11" s="1"/>
      <c r="FC11" s="2"/>
      <c r="FD11" s="2"/>
      <c r="FE11" s="2"/>
      <c r="FG11" s="2"/>
      <c r="FH11" s="2"/>
      <c r="FI11" s="2"/>
      <c r="FJ11" s="1">
        <v>-1</v>
      </c>
      <c r="FK11" s="1">
        <v>-1</v>
      </c>
      <c r="FL11" s="1">
        <v>-1</v>
      </c>
      <c r="FM11" s="1">
        <v>-1</v>
      </c>
      <c r="FN11" s="1">
        <v>-1</v>
      </c>
      <c r="FO11" s="1">
        <v>-1</v>
      </c>
      <c r="FP11" s="1">
        <v>-1</v>
      </c>
      <c r="FQ11" s="1"/>
      <c r="FR11" s="1"/>
      <c r="FS11" s="1"/>
      <c r="FT11" s="1"/>
      <c r="FU11" s="1"/>
      <c r="FV11" s="1"/>
      <c r="FW11" s="1"/>
      <c r="FX11" s="1"/>
      <c r="FY11" s="1">
        <v>-7</v>
      </c>
      <c r="FZ11" s="3"/>
      <c r="GA11" s="3"/>
      <c r="GB11" s="2"/>
      <c r="GC11" s="2" t="s">
        <v>277</v>
      </c>
      <c r="GD11" s="2" t="s">
        <v>277</v>
      </c>
      <c r="GE11" s="1">
        <v>7</v>
      </c>
      <c r="GF11" s="1">
        <v>7</v>
      </c>
      <c r="GG11" s="1">
        <v>35</v>
      </c>
      <c r="GH11" s="1">
        <v>11</v>
      </c>
      <c r="GI11" s="4"/>
    </row>
    <row r="12" spans="1:191" s="50" customFormat="1" x14ac:dyDescent="0.25">
      <c r="A12" s="55">
        <v>146</v>
      </c>
      <c r="B12" s="56" t="s">
        <v>321</v>
      </c>
      <c r="C12" s="56" t="s">
        <v>353</v>
      </c>
      <c r="D12" s="56" t="s">
        <v>280</v>
      </c>
      <c r="E12" s="56" t="s">
        <v>281</v>
      </c>
      <c r="F12" s="56" t="s">
        <v>282</v>
      </c>
      <c r="G12" s="56" t="s">
        <v>282</v>
      </c>
      <c r="H12" s="56" t="s">
        <v>282</v>
      </c>
      <c r="I12" s="56" t="s">
        <v>282</v>
      </c>
      <c r="J12" s="56" t="s">
        <v>281</v>
      </c>
      <c r="K12" s="56" t="s">
        <v>281</v>
      </c>
      <c r="L12" s="56" t="s">
        <v>281</v>
      </c>
      <c r="M12" s="56" t="s">
        <v>282</v>
      </c>
      <c r="N12" s="55">
        <v>0</v>
      </c>
      <c r="O12" s="56"/>
      <c r="P12" s="56"/>
      <c r="Q12" s="56" t="s">
        <v>337</v>
      </c>
      <c r="R12" s="56"/>
      <c r="S12" s="50" t="s">
        <v>395</v>
      </c>
      <c r="T12" s="56"/>
      <c r="U12" s="56"/>
      <c r="V12" s="56" t="s">
        <v>316</v>
      </c>
      <c r="W12" s="55"/>
      <c r="X12" s="56"/>
      <c r="Y12" s="56"/>
      <c r="Z12" s="56"/>
      <c r="AA12" s="56"/>
      <c r="AB12" s="55"/>
      <c r="AC12" s="56"/>
      <c r="AD12" s="56"/>
      <c r="AE12" s="56"/>
      <c r="AF12" s="56"/>
      <c r="AG12" s="55"/>
      <c r="AH12" s="56"/>
      <c r="AI12" s="56"/>
      <c r="AJ12" s="55"/>
      <c r="AK12" s="56"/>
      <c r="AL12" s="56"/>
      <c r="AM12" s="56"/>
      <c r="AN12" s="55"/>
      <c r="AO12" s="56"/>
      <c r="AP12" s="56"/>
      <c r="AQ12" s="56"/>
      <c r="AR12" s="56"/>
      <c r="AS12" s="55"/>
      <c r="AT12" s="56"/>
      <c r="AU12" s="56"/>
      <c r="AV12" s="56"/>
      <c r="AW12" s="56"/>
      <c r="AX12" s="55"/>
      <c r="AY12" s="56"/>
      <c r="AZ12" s="56"/>
      <c r="BA12" s="55"/>
      <c r="BB12" s="56"/>
      <c r="BC12" s="56"/>
      <c r="BD12" s="56"/>
      <c r="BE12" s="56"/>
      <c r="BF12" s="55"/>
      <c r="BG12" s="56"/>
      <c r="BH12" s="56"/>
      <c r="BI12" s="56"/>
      <c r="BJ12" s="56"/>
      <c r="BK12" s="55"/>
      <c r="BL12" s="56"/>
      <c r="BM12" s="56"/>
      <c r="BN12" s="55"/>
      <c r="BO12" s="56"/>
      <c r="BP12" s="56"/>
      <c r="BQ12" s="55"/>
      <c r="BR12" s="56"/>
      <c r="BS12" s="56"/>
      <c r="BT12" s="56"/>
      <c r="BU12" s="55"/>
      <c r="BV12" s="56"/>
      <c r="BW12" s="56"/>
      <c r="BX12" s="56"/>
      <c r="BY12" s="56"/>
      <c r="BZ12" s="55"/>
      <c r="CA12" s="56"/>
      <c r="CB12" s="56"/>
      <c r="CC12" s="55"/>
      <c r="CD12" s="56"/>
      <c r="CE12" s="56"/>
      <c r="CF12" s="55"/>
      <c r="CG12" s="56"/>
      <c r="CH12" s="56"/>
      <c r="CI12" s="56"/>
      <c r="CJ12" s="56"/>
      <c r="CK12" s="55"/>
      <c r="CL12" s="56"/>
      <c r="CM12" s="56"/>
      <c r="CN12" s="56"/>
      <c r="CO12" s="56"/>
      <c r="CP12" s="55"/>
      <c r="CQ12" s="56"/>
      <c r="CR12" s="56"/>
      <c r="CS12" s="55"/>
      <c r="CT12" s="56"/>
      <c r="CU12" s="56"/>
      <c r="CV12" s="94"/>
      <c r="CW12" s="55"/>
      <c r="CX12" s="56"/>
      <c r="CY12" s="56"/>
      <c r="CZ12" s="56"/>
      <c r="DA12" s="56"/>
      <c r="DB12" s="55"/>
      <c r="DC12" s="56"/>
      <c r="DD12" s="56"/>
      <c r="DE12" s="56"/>
      <c r="DF12" s="56"/>
      <c r="DG12" s="55"/>
      <c r="DH12" s="56"/>
      <c r="DI12" s="56"/>
      <c r="DJ12" s="55"/>
      <c r="DK12" s="56"/>
      <c r="DL12" s="56"/>
      <c r="DM12" s="55"/>
      <c r="DN12" s="56"/>
      <c r="DO12" s="56"/>
      <c r="DP12" s="56"/>
      <c r="DQ12" s="56"/>
      <c r="DR12" s="55"/>
      <c r="DS12" s="56"/>
      <c r="DT12" s="56"/>
      <c r="DU12" s="56"/>
      <c r="DV12" s="56"/>
      <c r="DW12" s="55"/>
      <c r="DX12" s="56"/>
      <c r="DY12" s="56"/>
      <c r="DZ12" s="56"/>
      <c r="EA12" s="56"/>
      <c r="EB12" s="56"/>
      <c r="EC12" s="55"/>
      <c r="ED12" s="56"/>
      <c r="EE12" s="56"/>
      <c r="EF12" s="56"/>
      <c r="EG12" s="55"/>
      <c r="EH12" s="56"/>
      <c r="EI12" s="56"/>
      <c r="EJ12" s="56"/>
      <c r="EK12" s="56"/>
      <c r="EL12" s="55"/>
      <c r="EM12" s="56"/>
      <c r="EN12" s="56"/>
      <c r="EO12" s="56"/>
      <c r="EP12" s="55"/>
      <c r="EQ12" s="56"/>
      <c r="ER12" s="56"/>
      <c r="ES12" s="55"/>
      <c r="ET12" s="56"/>
      <c r="EU12" s="56"/>
      <c r="EV12" s="56"/>
      <c r="EW12" s="56"/>
      <c r="EX12" s="56"/>
      <c r="EY12" s="56"/>
      <c r="EZ12" s="56"/>
      <c r="FA12" s="56"/>
      <c r="FB12" s="55"/>
      <c r="FC12" s="56"/>
      <c r="FD12" s="56"/>
      <c r="FE12" s="56"/>
      <c r="FG12" s="56"/>
      <c r="FH12" s="56"/>
      <c r="FI12" s="56"/>
      <c r="FJ12" s="55">
        <v>-1</v>
      </c>
      <c r="FK12" s="55">
        <v>-1</v>
      </c>
      <c r="FL12" s="55">
        <v>-1</v>
      </c>
      <c r="FM12" s="55">
        <v>-1</v>
      </c>
      <c r="FN12" s="55">
        <v>-1</v>
      </c>
      <c r="FO12" s="55"/>
      <c r="FP12" s="55"/>
      <c r="FQ12" s="55"/>
      <c r="FR12" s="55"/>
      <c r="FS12" s="55"/>
      <c r="FT12" s="55"/>
      <c r="FU12" s="55"/>
      <c r="FV12" s="55"/>
      <c r="FW12" s="55"/>
      <c r="FX12" s="55"/>
      <c r="FY12" s="55">
        <v>-5</v>
      </c>
      <c r="FZ12" s="57"/>
      <c r="GA12" s="57"/>
      <c r="GB12" s="56"/>
      <c r="GC12" s="56" t="s">
        <v>277</v>
      </c>
      <c r="GD12" s="56" t="s">
        <v>277</v>
      </c>
      <c r="GE12" s="55">
        <v>5</v>
      </c>
      <c r="GF12" s="55">
        <v>5</v>
      </c>
      <c r="GG12" s="55">
        <v>14</v>
      </c>
      <c r="GH12" s="55">
        <v>1</v>
      </c>
      <c r="GI12" s="58"/>
    </row>
    <row r="13" spans="1:191" x14ac:dyDescent="0.25">
      <c r="A13" s="1">
        <v>160</v>
      </c>
      <c r="B13" s="19" t="s">
        <v>321</v>
      </c>
      <c r="C13" s="2" t="s">
        <v>353</v>
      </c>
      <c r="D13" s="2" t="s">
        <v>422</v>
      </c>
      <c r="E13" s="2" t="s">
        <v>281</v>
      </c>
      <c r="F13" s="2" t="s">
        <v>282</v>
      </c>
      <c r="G13" s="2" t="s">
        <v>282</v>
      </c>
      <c r="H13" s="2" t="s">
        <v>282</v>
      </c>
      <c r="I13" s="2" t="s">
        <v>282</v>
      </c>
      <c r="J13" s="2" t="s">
        <v>281</v>
      </c>
      <c r="K13" s="2" t="s">
        <v>282</v>
      </c>
      <c r="L13" s="2" t="s">
        <v>282</v>
      </c>
      <c r="M13" s="2" t="s">
        <v>282</v>
      </c>
      <c r="N13" s="1">
        <v>0</v>
      </c>
      <c r="O13" s="2"/>
      <c r="P13" s="2"/>
      <c r="Q13" s="2" t="s">
        <v>283</v>
      </c>
      <c r="R13" s="2" t="s">
        <v>449</v>
      </c>
      <c r="S13" s="2"/>
      <c r="T13" s="2"/>
      <c r="U13" s="2"/>
      <c r="V13" s="2" t="s">
        <v>346</v>
      </c>
      <c r="W13" s="1">
        <v>0</v>
      </c>
      <c r="X13" s="2"/>
      <c r="Y13" s="2"/>
      <c r="Z13" s="2" t="s">
        <v>303</v>
      </c>
      <c r="AA13" s="2" t="s">
        <v>302</v>
      </c>
      <c r="AB13" s="1">
        <v>0</v>
      </c>
      <c r="AC13" s="2"/>
      <c r="AD13" s="2"/>
      <c r="AE13" s="2" t="s">
        <v>288</v>
      </c>
      <c r="AF13" s="2" t="s">
        <v>331</v>
      </c>
      <c r="AG13" s="1">
        <v>0</v>
      </c>
      <c r="AH13" s="2"/>
      <c r="AI13" s="2"/>
      <c r="AJ13" s="1">
        <v>1</v>
      </c>
      <c r="AK13" s="2" t="s">
        <v>450</v>
      </c>
      <c r="AL13" s="2"/>
      <c r="AM13" s="2" t="s">
        <v>292</v>
      </c>
      <c r="AN13" s="1">
        <v>0</v>
      </c>
      <c r="AO13" s="2"/>
      <c r="AP13" s="2"/>
      <c r="AQ13" s="2" t="s">
        <v>294</v>
      </c>
      <c r="AR13" s="2" t="s">
        <v>287</v>
      </c>
      <c r="AS13" s="1">
        <v>1</v>
      </c>
      <c r="AT13" s="2"/>
      <c r="AU13" s="2" t="s">
        <v>451</v>
      </c>
      <c r="AV13" s="2" t="s">
        <v>288</v>
      </c>
      <c r="AW13" s="2" t="s">
        <v>287</v>
      </c>
      <c r="AX13" s="1">
        <v>0</v>
      </c>
      <c r="AY13" s="2"/>
      <c r="AZ13" s="2"/>
      <c r="BA13" s="1">
        <v>1</v>
      </c>
      <c r="BB13" s="2" t="s">
        <v>452</v>
      </c>
      <c r="BC13" s="2" t="s">
        <v>296</v>
      </c>
      <c r="BD13" s="2" t="s">
        <v>294</v>
      </c>
      <c r="BE13" s="2" t="s">
        <v>297</v>
      </c>
      <c r="BF13" s="1">
        <v>0</v>
      </c>
      <c r="BG13" s="2"/>
      <c r="BH13" s="2"/>
      <c r="BI13" s="2" t="s">
        <v>324</v>
      </c>
      <c r="BJ13" s="2" t="s">
        <v>297</v>
      </c>
      <c r="BK13" s="1">
        <v>0</v>
      </c>
      <c r="BL13" s="2"/>
      <c r="BM13" s="2"/>
      <c r="BN13" s="1">
        <v>0</v>
      </c>
      <c r="BO13" s="2"/>
      <c r="BP13" s="2" t="s">
        <v>296</v>
      </c>
      <c r="BQ13" s="1"/>
      <c r="BR13" s="2"/>
      <c r="BS13" s="2"/>
      <c r="BT13" s="2"/>
      <c r="BU13" s="1"/>
      <c r="BV13" s="2"/>
      <c r="BW13" s="2"/>
      <c r="BX13" s="2"/>
      <c r="BY13" s="2"/>
      <c r="BZ13" s="1"/>
      <c r="CA13" s="2"/>
      <c r="CB13" s="2"/>
      <c r="CC13" s="1"/>
      <c r="CD13" s="2"/>
      <c r="CE13" s="2"/>
      <c r="CF13" s="1"/>
      <c r="CG13" s="2"/>
      <c r="CH13" s="2"/>
      <c r="CI13" s="2"/>
      <c r="CJ13" s="2"/>
      <c r="CK13" s="1"/>
      <c r="CL13" s="2"/>
      <c r="CM13" s="2"/>
      <c r="CN13" s="2"/>
      <c r="CO13" s="2"/>
      <c r="CP13" s="1"/>
      <c r="CQ13" s="2"/>
      <c r="CR13" s="2"/>
      <c r="CS13" s="1"/>
      <c r="CT13" s="2"/>
      <c r="CU13" s="2"/>
      <c r="CV13" s="94"/>
      <c r="CW13" s="1"/>
      <c r="CX13" s="2"/>
      <c r="CY13" s="2"/>
      <c r="CZ13" s="2"/>
      <c r="DA13" s="2"/>
      <c r="DB13" s="1"/>
      <c r="DC13" s="2"/>
      <c r="DD13" s="2"/>
      <c r="DE13" s="2"/>
      <c r="DF13" s="2"/>
      <c r="DG13" s="1"/>
      <c r="DH13" s="2"/>
      <c r="DI13" s="2"/>
      <c r="DJ13" s="1"/>
      <c r="DK13" s="2"/>
      <c r="DL13" s="2"/>
      <c r="DM13" s="1"/>
      <c r="DN13" s="2"/>
      <c r="DO13" s="2"/>
      <c r="DP13" s="2"/>
      <c r="DQ13" s="2"/>
      <c r="DR13" s="1"/>
      <c r="DS13" s="2"/>
      <c r="DT13" s="2"/>
      <c r="DU13" s="2"/>
      <c r="DV13" s="2"/>
      <c r="DW13" s="1"/>
      <c r="DX13" s="2"/>
      <c r="DY13" s="2"/>
      <c r="DZ13" s="2"/>
      <c r="EA13" s="2"/>
      <c r="EB13" s="2"/>
      <c r="EC13" s="1"/>
      <c r="ED13" s="2"/>
      <c r="EE13" s="2"/>
      <c r="EF13" s="2"/>
      <c r="EG13" s="1"/>
      <c r="EH13" s="2"/>
      <c r="EI13" s="2"/>
      <c r="EJ13" s="2"/>
      <c r="EK13" s="2"/>
      <c r="EL13" s="1"/>
      <c r="EM13" s="2"/>
      <c r="EN13" s="2"/>
      <c r="EO13" s="2"/>
      <c r="EP13" s="1"/>
      <c r="EQ13" s="2"/>
      <c r="ER13" s="2"/>
      <c r="ES13" s="1"/>
      <c r="ET13" s="2"/>
      <c r="EU13" s="2"/>
      <c r="EV13" s="2"/>
      <c r="EW13" s="2"/>
      <c r="EX13" s="2"/>
      <c r="EY13" s="2"/>
      <c r="EZ13" s="2"/>
      <c r="FA13" s="2"/>
      <c r="FB13" s="1"/>
      <c r="FC13" s="2"/>
      <c r="FD13" s="2"/>
      <c r="FE13" s="2"/>
      <c r="FG13" s="2"/>
      <c r="FH13" s="2"/>
      <c r="FI13" s="2"/>
      <c r="FJ13" s="1">
        <v>-1</v>
      </c>
      <c r="FK13" s="1">
        <v>-1</v>
      </c>
      <c r="FL13" s="1">
        <v>-1</v>
      </c>
      <c r="FM13" s="1">
        <v>-1</v>
      </c>
      <c r="FN13" s="1">
        <v>-1</v>
      </c>
      <c r="FO13" s="1">
        <v>-1</v>
      </c>
      <c r="FP13" s="1">
        <v>-1</v>
      </c>
      <c r="FQ13" s="1">
        <v>-1</v>
      </c>
      <c r="FR13" s="1">
        <v>-1</v>
      </c>
      <c r="FS13" s="1"/>
      <c r="FT13" s="1"/>
      <c r="FU13" s="1"/>
      <c r="FV13" s="1"/>
      <c r="FW13" s="1"/>
      <c r="FX13" s="1"/>
      <c r="FY13" s="1">
        <v>-9</v>
      </c>
      <c r="FZ13" s="3"/>
      <c r="GA13" s="3"/>
      <c r="GB13" s="2"/>
      <c r="GC13" s="2" t="s">
        <v>277</v>
      </c>
      <c r="GD13" s="2" t="s">
        <v>277</v>
      </c>
      <c r="GE13" s="1">
        <v>9</v>
      </c>
      <c r="GF13" s="1">
        <v>9</v>
      </c>
      <c r="GG13" s="1">
        <v>31</v>
      </c>
      <c r="GH13" s="1">
        <v>10</v>
      </c>
      <c r="GI13" s="4"/>
    </row>
    <row r="14" spans="1:191" s="49" customFormat="1" x14ac:dyDescent="0.25">
      <c r="A14" s="65">
        <v>161</v>
      </c>
      <c r="B14" s="61" t="s">
        <v>321</v>
      </c>
      <c r="C14" s="61" t="s">
        <v>353</v>
      </c>
      <c r="D14" s="61" t="s">
        <v>377</v>
      </c>
      <c r="E14" s="61" t="s">
        <v>281</v>
      </c>
      <c r="F14" s="61" t="s">
        <v>281</v>
      </c>
      <c r="G14" s="61" t="s">
        <v>282</v>
      </c>
      <c r="H14" s="61" t="s">
        <v>282</v>
      </c>
      <c r="I14" s="61" t="s">
        <v>282</v>
      </c>
      <c r="J14" s="61" t="s">
        <v>281</v>
      </c>
      <c r="K14" s="61" t="s">
        <v>282</v>
      </c>
      <c r="L14" s="61" t="s">
        <v>282</v>
      </c>
      <c r="M14" s="61" t="s">
        <v>282</v>
      </c>
      <c r="N14" s="65">
        <v>0</v>
      </c>
      <c r="O14" s="61"/>
      <c r="P14" s="61"/>
      <c r="Q14" s="61" t="s">
        <v>355</v>
      </c>
      <c r="R14" s="61"/>
      <c r="S14" s="61"/>
      <c r="T14" s="61" t="s">
        <v>322</v>
      </c>
      <c r="U14" s="61"/>
      <c r="V14" s="61" t="s">
        <v>346</v>
      </c>
      <c r="W14" s="65">
        <v>0</v>
      </c>
      <c r="X14" s="61"/>
      <c r="Y14" s="61"/>
      <c r="Z14" s="61"/>
      <c r="AA14" s="61"/>
      <c r="AB14" s="65">
        <v>0</v>
      </c>
      <c r="AC14" s="61"/>
      <c r="AD14" s="61"/>
      <c r="AE14" s="61"/>
      <c r="AF14" s="61"/>
      <c r="AG14" s="65">
        <v>0</v>
      </c>
      <c r="AH14" s="61"/>
      <c r="AI14" s="61"/>
      <c r="AJ14" s="65">
        <v>0</v>
      </c>
      <c r="AK14" s="61"/>
      <c r="AL14" s="61"/>
      <c r="AM14" s="61"/>
      <c r="AN14" s="65"/>
      <c r="AO14" s="61"/>
      <c r="AP14" s="61"/>
      <c r="AQ14" s="61"/>
      <c r="AR14" s="61"/>
      <c r="AS14" s="65"/>
      <c r="AT14" s="61"/>
      <c r="AU14" s="61"/>
      <c r="AV14" s="61"/>
      <c r="AW14" s="61"/>
      <c r="AX14" s="65"/>
      <c r="AY14" s="61"/>
      <c r="AZ14" s="61"/>
      <c r="BA14" s="65"/>
      <c r="BB14" s="61"/>
      <c r="BC14" s="61"/>
      <c r="BD14" s="61"/>
      <c r="BE14" s="61"/>
      <c r="BF14" s="65"/>
      <c r="BG14" s="61"/>
      <c r="BH14" s="61"/>
      <c r="BI14" s="61"/>
      <c r="BJ14" s="61"/>
      <c r="BK14" s="65"/>
      <c r="BL14" s="61"/>
      <c r="BM14" s="61"/>
      <c r="BN14" s="65"/>
      <c r="BO14" s="61"/>
      <c r="BP14" s="61"/>
      <c r="BQ14" s="65"/>
      <c r="BR14" s="61"/>
      <c r="BS14" s="61"/>
      <c r="BT14" s="61"/>
      <c r="BU14" s="65"/>
      <c r="BV14" s="61"/>
      <c r="BW14" s="61"/>
      <c r="BX14" s="61"/>
      <c r="BY14" s="61"/>
      <c r="BZ14" s="65"/>
      <c r="CA14" s="61"/>
      <c r="CB14" s="61"/>
      <c r="CC14" s="65"/>
      <c r="CD14" s="61"/>
      <c r="CE14" s="61"/>
      <c r="CF14" s="65"/>
      <c r="CG14" s="61"/>
      <c r="CH14" s="61"/>
      <c r="CI14" s="61"/>
      <c r="CJ14" s="61"/>
      <c r="CK14" s="65"/>
      <c r="CL14" s="61"/>
      <c r="CM14" s="61"/>
      <c r="CN14" s="61"/>
      <c r="CO14" s="61"/>
      <c r="CP14" s="65"/>
      <c r="CQ14" s="61"/>
      <c r="CR14" s="61"/>
      <c r="CS14" s="65"/>
      <c r="CT14" s="61"/>
      <c r="CU14" s="61"/>
      <c r="CV14" s="94"/>
      <c r="CW14" s="65"/>
      <c r="CX14" s="61"/>
      <c r="CY14" s="61"/>
      <c r="CZ14" s="61"/>
      <c r="DA14" s="61"/>
      <c r="DB14" s="65"/>
      <c r="DC14" s="61"/>
      <c r="DD14" s="61"/>
      <c r="DE14" s="61"/>
      <c r="DF14" s="61"/>
      <c r="DG14" s="65"/>
      <c r="DH14" s="61"/>
      <c r="DI14" s="61"/>
      <c r="DJ14" s="65"/>
      <c r="DK14" s="61"/>
      <c r="DL14" s="61"/>
      <c r="DM14" s="65"/>
      <c r="DN14" s="61"/>
      <c r="DO14" s="61"/>
      <c r="DP14" s="61"/>
      <c r="DQ14" s="61"/>
      <c r="DR14" s="65"/>
      <c r="DS14" s="61"/>
      <c r="DT14" s="61"/>
      <c r="DU14" s="61"/>
      <c r="DV14" s="61"/>
      <c r="DW14" s="65"/>
      <c r="DX14" s="61"/>
      <c r="DY14" s="61"/>
      <c r="DZ14" s="61"/>
      <c r="EA14" s="61"/>
      <c r="EB14" s="61"/>
      <c r="EC14" s="65"/>
      <c r="ED14" s="61"/>
      <c r="EE14" s="61"/>
      <c r="EF14" s="61"/>
      <c r="EG14" s="65"/>
      <c r="EH14" s="61"/>
      <c r="EI14" s="61"/>
      <c r="EJ14" s="61"/>
      <c r="EK14" s="61"/>
      <c r="EL14" s="65"/>
      <c r="EM14" s="61"/>
      <c r="EN14" s="61"/>
      <c r="EO14" s="61"/>
      <c r="EP14" s="65"/>
      <c r="EQ14" s="61"/>
      <c r="ER14" s="61"/>
      <c r="ES14" s="65"/>
      <c r="ET14" s="61"/>
      <c r="EU14" s="61"/>
      <c r="EV14" s="61"/>
      <c r="EW14" s="61"/>
      <c r="EX14" s="61"/>
      <c r="EY14" s="61"/>
      <c r="EZ14" s="61"/>
      <c r="FA14" s="61"/>
      <c r="FB14" s="65"/>
      <c r="FC14" s="61"/>
      <c r="FD14" s="61"/>
      <c r="FE14" s="61"/>
      <c r="FG14" s="61"/>
      <c r="FH14" s="61"/>
      <c r="FI14" s="61"/>
      <c r="FJ14" s="65">
        <v>-1</v>
      </c>
      <c r="FK14" s="65">
        <v>-1</v>
      </c>
      <c r="FL14" s="65">
        <v>-1</v>
      </c>
      <c r="FM14" s="65">
        <v>-1</v>
      </c>
      <c r="FN14" s="65">
        <v>-1</v>
      </c>
      <c r="FO14" s="65">
        <v>-1</v>
      </c>
      <c r="FP14" s="65"/>
      <c r="FQ14" s="65"/>
      <c r="FR14" s="65"/>
      <c r="FS14" s="65"/>
      <c r="FT14" s="65"/>
      <c r="FU14" s="65"/>
      <c r="FV14" s="65"/>
      <c r="FW14" s="65"/>
      <c r="FX14" s="65"/>
      <c r="FY14" s="65">
        <v>-6</v>
      </c>
      <c r="FZ14" s="66"/>
      <c r="GA14" s="66"/>
      <c r="GB14" s="61"/>
      <c r="GC14" s="61" t="s">
        <v>277</v>
      </c>
      <c r="GD14" s="61" t="s">
        <v>277</v>
      </c>
      <c r="GE14" s="65">
        <v>6</v>
      </c>
      <c r="GF14" s="65">
        <v>6</v>
      </c>
      <c r="GG14" s="65">
        <v>65</v>
      </c>
      <c r="GH14" s="65">
        <v>50</v>
      </c>
      <c r="GI14" s="67"/>
    </row>
    <row r="15" spans="1:191" s="48" customFormat="1" x14ac:dyDescent="0.25">
      <c r="A15" s="51">
        <v>162</v>
      </c>
      <c r="B15" s="52" t="s">
        <v>321</v>
      </c>
      <c r="C15" s="52" t="s">
        <v>353</v>
      </c>
      <c r="D15" s="52" t="s">
        <v>422</v>
      </c>
      <c r="E15" s="52" t="s">
        <v>281</v>
      </c>
      <c r="F15" s="52" t="s">
        <v>282</v>
      </c>
      <c r="G15" s="52" t="s">
        <v>282</v>
      </c>
      <c r="H15" s="52" t="s">
        <v>282</v>
      </c>
      <c r="I15" s="52" t="s">
        <v>282</v>
      </c>
      <c r="J15" s="52" t="s">
        <v>281</v>
      </c>
      <c r="K15" s="52" t="s">
        <v>282</v>
      </c>
      <c r="L15" s="52" t="s">
        <v>282</v>
      </c>
      <c r="M15" s="52" t="s">
        <v>282</v>
      </c>
      <c r="N15" s="51">
        <v>0</v>
      </c>
      <c r="O15" s="52"/>
      <c r="P15" s="52"/>
      <c r="Q15" s="52" t="s">
        <v>283</v>
      </c>
      <c r="R15" s="52" t="s">
        <v>378</v>
      </c>
      <c r="S15" s="52"/>
      <c r="T15" s="52"/>
      <c r="U15" s="52"/>
      <c r="V15" s="52" t="s">
        <v>346</v>
      </c>
      <c r="W15" s="51">
        <v>2</v>
      </c>
      <c r="X15" s="52" t="s">
        <v>453</v>
      </c>
      <c r="Y15" s="52" t="s">
        <v>365</v>
      </c>
      <c r="Z15" s="52" t="s">
        <v>303</v>
      </c>
      <c r="AA15" s="52" t="s">
        <v>302</v>
      </c>
      <c r="AB15" s="51">
        <v>0</v>
      </c>
      <c r="AC15" s="52"/>
      <c r="AD15" s="52"/>
      <c r="AE15" s="52" t="s">
        <v>288</v>
      </c>
      <c r="AF15" s="52" t="s">
        <v>331</v>
      </c>
      <c r="AG15" s="51">
        <v>0</v>
      </c>
      <c r="AH15" s="52"/>
      <c r="AI15" s="52"/>
      <c r="AJ15" s="51">
        <v>1</v>
      </c>
      <c r="AK15" s="52" t="s">
        <v>454</v>
      </c>
      <c r="AL15" s="52"/>
      <c r="AM15" s="52" t="s">
        <v>299</v>
      </c>
      <c r="AN15" s="51">
        <v>1</v>
      </c>
      <c r="AO15" s="52" t="s">
        <v>455</v>
      </c>
      <c r="AP15" s="52"/>
      <c r="AQ15" s="52" t="s">
        <v>294</v>
      </c>
      <c r="AR15" s="52" t="s">
        <v>287</v>
      </c>
      <c r="AS15" s="51">
        <v>1</v>
      </c>
      <c r="AT15" s="52"/>
      <c r="AU15" s="52" t="s">
        <v>297</v>
      </c>
      <c r="AV15" s="52" t="s">
        <v>288</v>
      </c>
      <c r="AW15" s="52" t="s">
        <v>287</v>
      </c>
      <c r="AX15" s="51">
        <v>0</v>
      </c>
      <c r="AY15" s="52"/>
      <c r="AZ15" s="52"/>
      <c r="BA15" s="51">
        <v>1</v>
      </c>
      <c r="BB15" s="52" t="s">
        <v>456</v>
      </c>
      <c r="BC15" s="52" t="s">
        <v>299</v>
      </c>
      <c r="BD15" s="52" t="s">
        <v>294</v>
      </c>
      <c r="BE15" s="52" t="s">
        <v>297</v>
      </c>
      <c r="BF15" s="51">
        <v>0</v>
      </c>
      <c r="BG15" s="52"/>
      <c r="BH15" s="52"/>
      <c r="BI15" s="52" t="s">
        <v>324</v>
      </c>
      <c r="BJ15" s="52" t="s">
        <v>297</v>
      </c>
      <c r="BK15" s="51">
        <v>0</v>
      </c>
      <c r="BL15" s="52"/>
      <c r="BM15" s="52"/>
      <c r="BN15" s="51">
        <v>1</v>
      </c>
      <c r="BO15" s="52" t="s">
        <v>457</v>
      </c>
      <c r="BP15" s="52" t="s">
        <v>299</v>
      </c>
      <c r="BQ15" s="51">
        <v>0</v>
      </c>
      <c r="BR15" s="52"/>
      <c r="BS15" s="52"/>
      <c r="BT15" s="52"/>
      <c r="BU15" s="51">
        <v>0</v>
      </c>
      <c r="BV15" s="52"/>
      <c r="BW15" s="52"/>
      <c r="BX15" s="52"/>
      <c r="BY15" s="52"/>
      <c r="BZ15" s="51">
        <v>0</v>
      </c>
      <c r="CA15" s="52"/>
      <c r="CB15" s="52"/>
      <c r="CC15" s="51">
        <v>0</v>
      </c>
      <c r="CD15" s="52"/>
      <c r="CE15" s="52"/>
      <c r="CF15" s="51">
        <v>1</v>
      </c>
      <c r="CG15" s="52" t="s">
        <v>359</v>
      </c>
      <c r="CH15" s="52"/>
      <c r="CI15" s="52" t="s">
        <v>303</v>
      </c>
      <c r="CJ15" s="52" t="s">
        <v>297</v>
      </c>
      <c r="CK15" s="51">
        <v>0</v>
      </c>
      <c r="CL15" s="52"/>
      <c r="CM15" s="52"/>
      <c r="CN15" s="52" t="s">
        <v>305</v>
      </c>
      <c r="CO15" s="52" t="s">
        <v>297</v>
      </c>
      <c r="CP15" s="51">
        <v>0</v>
      </c>
      <c r="CQ15" s="52"/>
      <c r="CR15" s="52"/>
      <c r="CS15" s="51">
        <v>0</v>
      </c>
      <c r="CT15" s="52"/>
      <c r="CU15" s="52" t="s">
        <v>299</v>
      </c>
      <c r="CV15" s="94"/>
      <c r="CW15" s="51">
        <v>1</v>
      </c>
      <c r="CX15" s="52" t="s">
        <v>383</v>
      </c>
      <c r="CY15" s="52"/>
      <c r="CZ15" s="52" t="s">
        <v>303</v>
      </c>
      <c r="DA15" s="52" t="s">
        <v>297</v>
      </c>
      <c r="DB15" s="51">
        <v>0</v>
      </c>
      <c r="DC15" s="52"/>
      <c r="DD15" s="52"/>
      <c r="DE15" s="52" t="s">
        <v>324</v>
      </c>
      <c r="DF15" s="52" t="s">
        <v>297</v>
      </c>
      <c r="DG15" s="51">
        <v>0</v>
      </c>
      <c r="DH15" s="52"/>
      <c r="DI15" s="52"/>
      <c r="DJ15" s="51">
        <v>1</v>
      </c>
      <c r="DK15" s="52" t="s">
        <v>457</v>
      </c>
      <c r="DL15" s="52" t="s">
        <v>328</v>
      </c>
      <c r="DM15" s="51">
        <v>1</v>
      </c>
      <c r="DN15" s="52" t="s">
        <v>458</v>
      </c>
      <c r="DO15" s="52"/>
      <c r="DP15" s="52" t="s">
        <v>303</v>
      </c>
      <c r="DQ15" s="52" t="s">
        <v>331</v>
      </c>
      <c r="DR15" s="51">
        <v>0</v>
      </c>
      <c r="DS15" s="52"/>
      <c r="DT15" s="52"/>
      <c r="DU15" s="52" t="s">
        <v>305</v>
      </c>
      <c r="DV15" s="52" t="s">
        <v>331</v>
      </c>
      <c r="DW15" s="51">
        <v>0</v>
      </c>
      <c r="DX15" s="52"/>
      <c r="DY15" s="52"/>
      <c r="DZ15" s="52"/>
      <c r="EA15" s="52" t="s">
        <v>761</v>
      </c>
      <c r="EB15" s="52" t="s">
        <v>328</v>
      </c>
      <c r="EC15" s="51">
        <v>1</v>
      </c>
      <c r="ED15" s="52" t="s">
        <v>459</v>
      </c>
      <c r="EE15" s="52" t="s">
        <v>303</v>
      </c>
      <c r="EF15" s="52" t="s">
        <v>331</v>
      </c>
      <c r="EG15" s="51">
        <v>0</v>
      </c>
      <c r="EH15" s="52"/>
      <c r="EI15" s="52"/>
      <c r="EJ15" s="52" t="s">
        <v>288</v>
      </c>
      <c r="EK15" s="52" t="s">
        <v>331</v>
      </c>
      <c r="EL15" s="51">
        <v>0</v>
      </c>
      <c r="EM15" s="52"/>
      <c r="EN15" s="52"/>
      <c r="EO15" s="52" t="s">
        <v>460</v>
      </c>
      <c r="EP15" s="51">
        <v>0</v>
      </c>
      <c r="EQ15" s="52"/>
      <c r="ER15" s="52" t="s">
        <v>328</v>
      </c>
      <c r="ES15" s="51">
        <v>0</v>
      </c>
      <c r="ET15" s="52"/>
      <c r="EU15" s="52"/>
      <c r="EV15" s="52"/>
      <c r="EW15" s="52"/>
      <c r="EX15" s="52"/>
      <c r="EY15" s="52"/>
      <c r="EZ15" s="52"/>
      <c r="FA15" s="52"/>
      <c r="FB15" s="51">
        <v>0</v>
      </c>
      <c r="FC15" s="52"/>
      <c r="FD15" s="52"/>
      <c r="FE15" s="52"/>
      <c r="FG15" s="52" t="s">
        <v>335</v>
      </c>
      <c r="FH15" s="52" t="s">
        <v>461</v>
      </c>
      <c r="FI15" s="52"/>
      <c r="FJ15" s="51">
        <v>-1</v>
      </c>
      <c r="FK15" s="51">
        <v>-1</v>
      </c>
      <c r="FL15" s="51">
        <v>-1</v>
      </c>
      <c r="FM15" s="51">
        <v>-1</v>
      </c>
      <c r="FN15" s="51">
        <v>-1</v>
      </c>
      <c r="FO15" s="51">
        <v>-1</v>
      </c>
      <c r="FP15" s="51">
        <v>-1</v>
      </c>
      <c r="FQ15" s="51">
        <v>-1</v>
      </c>
      <c r="FR15" s="51">
        <v>-1</v>
      </c>
      <c r="FS15" s="51">
        <v>-1</v>
      </c>
      <c r="FT15" s="51">
        <v>-1</v>
      </c>
      <c r="FU15" s="51">
        <v>-1</v>
      </c>
      <c r="FV15" s="51">
        <v>-1</v>
      </c>
      <c r="FW15" s="51">
        <v>-1</v>
      </c>
      <c r="FX15" s="51">
        <v>-1</v>
      </c>
      <c r="FY15" s="51">
        <v>-15</v>
      </c>
      <c r="FZ15" s="53"/>
      <c r="GA15" s="53"/>
      <c r="GB15" s="52" t="s">
        <v>319</v>
      </c>
      <c r="GC15" s="52" t="s">
        <v>320</v>
      </c>
      <c r="GD15" s="52" t="s">
        <v>277</v>
      </c>
      <c r="GE15" s="51">
        <v>15</v>
      </c>
      <c r="GF15" s="51">
        <v>15</v>
      </c>
      <c r="GG15" s="51">
        <v>38</v>
      </c>
      <c r="GH15" s="51">
        <v>16</v>
      </c>
      <c r="GI15" s="54"/>
    </row>
    <row r="16" spans="1:191" x14ac:dyDescent="0.25">
      <c r="A16" s="1">
        <v>166</v>
      </c>
      <c r="B16" s="19" t="s">
        <v>321</v>
      </c>
      <c r="C16" s="2" t="s">
        <v>353</v>
      </c>
      <c r="D16" s="2" t="s">
        <v>422</v>
      </c>
      <c r="E16" s="2" t="s">
        <v>282</v>
      </c>
      <c r="F16" s="2" t="s">
        <v>281</v>
      </c>
      <c r="G16" s="2" t="s">
        <v>282</v>
      </c>
      <c r="H16" s="2" t="s">
        <v>282</v>
      </c>
      <c r="I16" s="2" t="s">
        <v>282</v>
      </c>
      <c r="J16" s="2" t="s">
        <v>281</v>
      </c>
      <c r="K16" s="2" t="s">
        <v>282</v>
      </c>
      <c r="L16" s="2" t="s">
        <v>282</v>
      </c>
      <c r="M16" s="2" t="s">
        <v>282</v>
      </c>
      <c r="N16" s="1">
        <v>1</v>
      </c>
      <c r="O16" s="2"/>
      <c r="P16" s="2" t="s">
        <v>462</v>
      </c>
      <c r="Q16" s="2" t="s">
        <v>337</v>
      </c>
      <c r="R16" s="2"/>
      <c r="S16" s="2" t="s">
        <v>463</v>
      </c>
      <c r="T16" s="2"/>
      <c r="U16" s="2"/>
      <c r="V16" s="2" t="s">
        <v>346</v>
      </c>
      <c r="W16" s="1">
        <v>0</v>
      </c>
      <c r="X16" s="2"/>
      <c r="Y16" s="2"/>
      <c r="Z16" s="2" t="s">
        <v>303</v>
      </c>
      <c r="AA16" s="2" t="s">
        <v>331</v>
      </c>
      <c r="AB16" s="1">
        <v>0</v>
      </c>
      <c r="AC16" s="2"/>
      <c r="AD16" s="2"/>
      <c r="AE16" s="2" t="s">
        <v>305</v>
      </c>
      <c r="AF16" s="2" t="s">
        <v>297</v>
      </c>
      <c r="AG16" s="1">
        <v>0</v>
      </c>
      <c r="AH16" s="2"/>
      <c r="AI16" s="2"/>
      <c r="AJ16" s="1">
        <v>0</v>
      </c>
      <c r="AK16" s="2"/>
      <c r="AL16" s="2"/>
      <c r="AM16" s="2" t="s">
        <v>296</v>
      </c>
      <c r="AN16" s="1">
        <v>0</v>
      </c>
      <c r="AO16" s="2"/>
      <c r="AP16" s="2"/>
      <c r="AQ16" s="2" t="s">
        <v>301</v>
      </c>
      <c r="AR16" s="2" t="s">
        <v>287</v>
      </c>
      <c r="AS16" s="1">
        <v>0</v>
      </c>
      <c r="AT16" s="2"/>
      <c r="AU16" s="2"/>
      <c r="AV16" s="2" t="s">
        <v>324</v>
      </c>
      <c r="AW16" s="2" t="s">
        <v>297</v>
      </c>
      <c r="AX16" s="1">
        <v>0</v>
      </c>
      <c r="AY16" s="2"/>
      <c r="AZ16" s="2"/>
      <c r="BA16" s="1">
        <v>0</v>
      </c>
      <c r="BB16" s="2"/>
      <c r="BC16" s="2" t="s">
        <v>299</v>
      </c>
      <c r="BD16" s="2" t="s">
        <v>303</v>
      </c>
      <c r="BE16" s="2" t="s">
        <v>297</v>
      </c>
      <c r="BF16" s="1">
        <v>0</v>
      </c>
      <c r="BG16" s="2"/>
      <c r="BH16" s="2"/>
      <c r="BI16" s="2" t="s">
        <v>305</v>
      </c>
      <c r="BJ16" s="2" t="s">
        <v>331</v>
      </c>
      <c r="BK16" s="1">
        <v>0</v>
      </c>
      <c r="BL16" s="2"/>
      <c r="BM16" s="2"/>
      <c r="BN16" s="1">
        <v>0</v>
      </c>
      <c r="BO16" s="2"/>
      <c r="BP16" s="2" t="s">
        <v>296</v>
      </c>
      <c r="BQ16" s="1">
        <v>0</v>
      </c>
      <c r="BR16" s="2"/>
      <c r="BS16" s="2" t="s">
        <v>301</v>
      </c>
      <c r="BT16" s="2" t="s">
        <v>339</v>
      </c>
      <c r="BU16" s="1">
        <v>0</v>
      </c>
      <c r="BV16" s="2"/>
      <c r="BW16" s="2"/>
      <c r="BX16" s="2" t="s">
        <v>324</v>
      </c>
      <c r="BY16" s="2" t="s">
        <v>297</v>
      </c>
      <c r="BZ16" s="1">
        <v>0</v>
      </c>
      <c r="CA16" s="2"/>
      <c r="CB16" s="2"/>
      <c r="CC16" s="1">
        <v>0</v>
      </c>
      <c r="CD16" s="2"/>
      <c r="CE16" s="2" t="s">
        <v>296</v>
      </c>
      <c r="CF16" s="1"/>
      <c r="CG16" s="2"/>
      <c r="CH16" s="2"/>
      <c r="CI16" s="2"/>
      <c r="CJ16" s="2"/>
      <c r="CK16" s="1"/>
      <c r="CL16" s="2"/>
      <c r="CM16" s="2"/>
      <c r="CN16" s="2"/>
      <c r="CO16" s="2"/>
      <c r="CP16" s="1"/>
      <c r="CQ16" s="2"/>
      <c r="CR16" s="2"/>
      <c r="CS16" s="1"/>
      <c r="CT16" s="2"/>
      <c r="CU16" s="2"/>
      <c r="CV16" s="94"/>
      <c r="CW16" s="1"/>
      <c r="CX16" s="2"/>
      <c r="CY16" s="2"/>
      <c r="CZ16" s="2"/>
      <c r="DA16" s="2"/>
      <c r="DB16" s="1"/>
      <c r="DC16" s="2"/>
      <c r="DD16" s="2"/>
      <c r="DE16" s="2"/>
      <c r="DF16" s="2"/>
      <c r="DG16" s="1"/>
      <c r="DH16" s="2"/>
      <c r="DI16" s="2"/>
      <c r="DJ16" s="1"/>
      <c r="DK16" s="2"/>
      <c r="DL16" s="2"/>
      <c r="DM16" s="1"/>
      <c r="DN16" s="2"/>
      <c r="DO16" s="2"/>
      <c r="DP16" s="2"/>
      <c r="DQ16" s="2"/>
      <c r="DR16" s="1"/>
      <c r="DS16" s="2"/>
      <c r="DT16" s="2"/>
      <c r="DU16" s="2"/>
      <c r="DV16" s="2"/>
      <c r="DW16" s="1"/>
      <c r="DX16" s="2"/>
      <c r="DY16" s="2"/>
      <c r="DZ16" s="2"/>
      <c r="EA16" s="2"/>
      <c r="EB16" s="2"/>
      <c r="EC16" s="1"/>
      <c r="ED16" s="2"/>
      <c r="EE16" s="2"/>
      <c r="EF16" s="2"/>
      <c r="EG16" s="1"/>
      <c r="EH16" s="2"/>
      <c r="EI16" s="2"/>
      <c r="EJ16" s="2"/>
      <c r="EK16" s="2"/>
      <c r="EL16" s="1"/>
      <c r="EM16" s="2"/>
      <c r="EN16" s="2"/>
      <c r="EO16" s="2"/>
      <c r="EP16" s="1"/>
      <c r="EQ16" s="2"/>
      <c r="ER16" s="2"/>
      <c r="ES16" s="1"/>
      <c r="ET16" s="2"/>
      <c r="EU16" s="2"/>
      <c r="EV16" s="2"/>
      <c r="EW16" s="2"/>
      <c r="EX16" s="2"/>
      <c r="EY16" s="2"/>
      <c r="EZ16" s="2"/>
      <c r="FA16" s="2"/>
      <c r="FB16" s="1"/>
      <c r="FC16" s="2"/>
      <c r="FD16" s="2"/>
      <c r="FE16" s="2"/>
      <c r="FG16" s="2"/>
      <c r="FH16" s="2"/>
      <c r="FI16" s="2"/>
      <c r="FJ16" s="1">
        <v>-1</v>
      </c>
      <c r="FK16" s="1">
        <v>-1</v>
      </c>
      <c r="FL16" s="1">
        <v>-1</v>
      </c>
      <c r="FM16" s="1">
        <v>-1</v>
      </c>
      <c r="FN16" s="1">
        <v>-1</v>
      </c>
      <c r="FO16" s="1">
        <v>-1</v>
      </c>
      <c r="FP16" s="1">
        <v>-1</v>
      </c>
      <c r="FQ16" s="1">
        <v>-1</v>
      </c>
      <c r="FR16" s="1">
        <v>-1</v>
      </c>
      <c r="FS16" s="1"/>
      <c r="FT16" s="1"/>
      <c r="FU16" s="1"/>
      <c r="FV16" s="1"/>
      <c r="FW16" s="1"/>
      <c r="FX16" s="1"/>
      <c r="FY16" s="1">
        <v>-9</v>
      </c>
      <c r="FZ16" s="3"/>
      <c r="GA16" s="3"/>
      <c r="GB16" s="2"/>
      <c r="GC16" s="2" t="s">
        <v>277</v>
      </c>
      <c r="GD16" s="2" t="s">
        <v>277</v>
      </c>
      <c r="GE16" s="1">
        <v>9</v>
      </c>
      <c r="GF16" s="1">
        <v>9</v>
      </c>
      <c r="GG16" s="1">
        <v>40</v>
      </c>
      <c r="GH16" s="1">
        <v>14</v>
      </c>
      <c r="GI16" s="4"/>
    </row>
    <row r="17" spans="1:191" s="40" customFormat="1" x14ac:dyDescent="0.25">
      <c r="A17" s="38">
        <v>173</v>
      </c>
      <c r="B17" s="39" t="s">
        <v>321</v>
      </c>
      <c r="C17" s="39" t="s">
        <v>353</v>
      </c>
      <c r="D17" s="39" t="s">
        <v>320</v>
      </c>
      <c r="E17" s="39" t="s">
        <v>282</v>
      </c>
      <c r="F17" s="39" t="s">
        <v>282</v>
      </c>
      <c r="G17" s="39" t="s">
        <v>282</v>
      </c>
      <c r="H17" s="39" t="s">
        <v>282</v>
      </c>
      <c r="I17" s="39" t="s">
        <v>282</v>
      </c>
      <c r="J17" s="39" t="s">
        <v>281</v>
      </c>
      <c r="K17" s="39" t="s">
        <v>282</v>
      </c>
      <c r="L17" s="39" t="s">
        <v>282</v>
      </c>
      <c r="M17" s="39" t="s">
        <v>282</v>
      </c>
      <c r="N17" s="38">
        <v>0</v>
      </c>
      <c r="O17" s="39"/>
      <c r="P17" s="39"/>
      <c r="Q17" s="39" t="s">
        <v>423</v>
      </c>
      <c r="R17" s="39"/>
      <c r="S17" s="39"/>
      <c r="T17" s="39"/>
      <c r="U17" s="40" t="s">
        <v>424</v>
      </c>
      <c r="V17" s="39" t="s">
        <v>346</v>
      </c>
      <c r="W17" s="38">
        <v>0</v>
      </c>
      <c r="X17" s="39"/>
      <c r="Y17" s="39"/>
      <c r="Z17" s="39" t="s">
        <v>294</v>
      </c>
      <c r="AA17" s="39" t="s">
        <v>297</v>
      </c>
      <c r="AB17" s="38">
        <v>0</v>
      </c>
      <c r="AC17" s="39"/>
      <c r="AD17" s="39"/>
      <c r="AE17" s="39" t="s">
        <v>305</v>
      </c>
      <c r="AF17" s="39" t="s">
        <v>331</v>
      </c>
      <c r="AG17" s="38">
        <v>0</v>
      </c>
      <c r="AH17" s="39"/>
      <c r="AI17" s="39"/>
      <c r="AJ17" s="38">
        <v>0</v>
      </c>
      <c r="AK17" s="39"/>
      <c r="AL17" s="39"/>
      <c r="AM17" s="39" t="s">
        <v>299</v>
      </c>
      <c r="AN17" s="38"/>
      <c r="AO17" s="39"/>
      <c r="AP17" s="39"/>
      <c r="AQ17" s="39"/>
      <c r="AR17" s="39"/>
      <c r="AS17" s="38"/>
      <c r="AT17" s="39"/>
      <c r="AU17" s="39"/>
      <c r="AV17" s="39"/>
      <c r="AW17" s="39"/>
      <c r="AX17" s="38"/>
      <c r="AY17" s="39"/>
      <c r="AZ17" s="39"/>
      <c r="BA17" s="38"/>
      <c r="BB17" s="39"/>
      <c r="BC17" s="39"/>
      <c r="BD17" s="39"/>
      <c r="BE17" s="39"/>
      <c r="BF17" s="38"/>
      <c r="BG17" s="39"/>
      <c r="BH17" s="39"/>
      <c r="BI17" s="39"/>
      <c r="BJ17" s="39"/>
      <c r="BK17" s="38"/>
      <c r="BL17" s="39"/>
      <c r="BM17" s="39"/>
      <c r="BN17" s="38"/>
      <c r="BO17" s="39"/>
      <c r="BP17" s="39"/>
      <c r="BQ17" s="38"/>
      <c r="BR17" s="39"/>
      <c r="BS17" s="39"/>
      <c r="BT17" s="39"/>
      <c r="BU17" s="38"/>
      <c r="BV17" s="39"/>
      <c r="BW17" s="39"/>
      <c r="BX17" s="39"/>
      <c r="BY17" s="39"/>
      <c r="BZ17" s="38"/>
      <c r="CA17" s="39"/>
      <c r="CB17" s="39"/>
      <c r="CC17" s="38"/>
      <c r="CD17" s="39"/>
      <c r="CE17" s="39"/>
      <c r="CF17" s="38"/>
      <c r="CG17" s="39"/>
      <c r="CH17" s="39"/>
      <c r="CI17" s="39"/>
      <c r="CJ17" s="39"/>
      <c r="CK17" s="38"/>
      <c r="CL17" s="39"/>
      <c r="CM17" s="39"/>
      <c r="CN17" s="39"/>
      <c r="CO17" s="39"/>
      <c r="CP17" s="38"/>
      <c r="CQ17" s="39"/>
      <c r="CR17" s="39"/>
      <c r="CS17" s="38"/>
      <c r="CT17" s="39"/>
      <c r="CU17" s="39"/>
      <c r="CV17" s="94"/>
      <c r="CW17" s="38"/>
      <c r="CX17" s="39"/>
      <c r="CY17" s="39"/>
      <c r="CZ17" s="39"/>
      <c r="DA17" s="39"/>
      <c r="DB17" s="38"/>
      <c r="DC17" s="39"/>
      <c r="DD17" s="39"/>
      <c r="DE17" s="39"/>
      <c r="DF17" s="39"/>
      <c r="DG17" s="38"/>
      <c r="DH17" s="39"/>
      <c r="DI17" s="39"/>
      <c r="DJ17" s="38"/>
      <c r="DK17" s="39"/>
      <c r="DL17" s="39"/>
      <c r="DM17" s="38"/>
      <c r="DN17" s="39"/>
      <c r="DO17" s="39"/>
      <c r="DP17" s="39"/>
      <c r="DQ17" s="39"/>
      <c r="DR17" s="38"/>
      <c r="DS17" s="39"/>
      <c r="DT17" s="39"/>
      <c r="DU17" s="39"/>
      <c r="DV17" s="39"/>
      <c r="DW17" s="38"/>
      <c r="DX17" s="39"/>
      <c r="DY17" s="39"/>
      <c r="DZ17" s="39"/>
      <c r="EA17" s="39"/>
      <c r="EB17" s="39"/>
      <c r="EC17" s="38"/>
      <c r="ED17" s="39"/>
      <c r="EE17" s="39"/>
      <c r="EF17" s="39"/>
      <c r="EG17" s="38"/>
      <c r="EH17" s="39"/>
      <c r="EI17" s="39"/>
      <c r="EJ17" s="39"/>
      <c r="EK17" s="39"/>
      <c r="EL17" s="38"/>
      <c r="EM17" s="39"/>
      <c r="EN17" s="39"/>
      <c r="EO17" s="39"/>
      <c r="EP17" s="38"/>
      <c r="EQ17" s="39"/>
      <c r="ER17" s="39"/>
      <c r="ES17" s="38"/>
      <c r="ET17" s="39"/>
      <c r="EU17" s="39"/>
      <c r="EV17" s="39"/>
      <c r="EW17" s="39"/>
      <c r="EX17" s="39"/>
      <c r="EY17" s="39"/>
      <c r="EZ17" s="39"/>
      <c r="FA17" s="39"/>
      <c r="FB17" s="38"/>
      <c r="FC17" s="39"/>
      <c r="FD17" s="39"/>
      <c r="FE17" s="39"/>
      <c r="FG17" s="39"/>
      <c r="FH17" s="39"/>
      <c r="FI17" s="39"/>
      <c r="FJ17" s="38">
        <v>-1</v>
      </c>
      <c r="FK17" s="38">
        <v>-1</v>
      </c>
      <c r="FL17" s="38">
        <v>-1</v>
      </c>
      <c r="FM17" s="38">
        <v>-1</v>
      </c>
      <c r="FN17" s="38">
        <v>-1</v>
      </c>
      <c r="FO17" s="38">
        <v>-1</v>
      </c>
      <c r="FP17" s="38"/>
      <c r="FQ17" s="38"/>
      <c r="FR17" s="38"/>
      <c r="FS17" s="38"/>
      <c r="FT17" s="38"/>
      <c r="FU17" s="38"/>
      <c r="FV17" s="38"/>
      <c r="FW17" s="38"/>
      <c r="FX17" s="38"/>
      <c r="FY17" s="38">
        <v>-6</v>
      </c>
      <c r="FZ17" s="41"/>
      <c r="GA17" s="41"/>
      <c r="GB17" s="39"/>
      <c r="GC17" s="39" t="s">
        <v>277</v>
      </c>
      <c r="GD17" s="39" t="s">
        <v>277</v>
      </c>
      <c r="GE17" s="38">
        <v>6</v>
      </c>
      <c r="GF17" s="38">
        <v>6</v>
      </c>
      <c r="GG17" s="38">
        <v>35</v>
      </c>
      <c r="GH17" s="38">
        <v>11</v>
      </c>
      <c r="GI17" s="42"/>
    </row>
    <row r="18" spans="1:191" s="40" customFormat="1" x14ac:dyDescent="0.25">
      <c r="A18" s="38">
        <v>175</v>
      </c>
      <c r="B18" s="39" t="s">
        <v>321</v>
      </c>
      <c r="C18" s="39" t="s">
        <v>279</v>
      </c>
      <c r="D18" s="39" t="s">
        <v>377</v>
      </c>
      <c r="E18" s="39" t="s">
        <v>281</v>
      </c>
      <c r="F18" s="39" t="s">
        <v>281</v>
      </c>
      <c r="G18" s="39" t="s">
        <v>282</v>
      </c>
      <c r="H18" s="39" t="s">
        <v>282</v>
      </c>
      <c r="I18" s="39" t="s">
        <v>282</v>
      </c>
      <c r="J18" s="39" t="s">
        <v>281</v>
      </c>
      <c r="K18" s="39" t="s">
        <v>282</v>
      </c>
      <c r="L18" s="39" t="s">
        <v>282</v>
      </c>
      <c r="M18" s="39" t="s">
        <v>282</v>
      </c>
      <c r="N18" s="38">
        <v>0</v>
      </c>
      <c r="O18" s="39"/>
      <c r="P18" s="39"/>
      <c r="Q18" s="39" t="s">
        <v>423</v>
      </c>
      <c r="R18" s="39"/>
      <c r="S18" s="39"/>
      <c r="T18" s="39"/>
      <c r="U18" s="40" t="s">
        <v>464</v>
      </c>
      <c r="V18" s="39" t="s">
        <v>350</v>
      </c>
      <c r="W18" s="38">
        <v>0</v>
      </c>
      <c r="X18" s="39"/>
      <c r="Y18" s="39"/>
      <c r="Z18" s="39" t="s">
        <v>294</v>
      </c>
      <c r="AA18" s="39" t="s">
        <v>297</v>
      </c>
      <c r="AB18" s="38">
        <v>0</v>
      </c>
      <c r="AC18" s="39"/>
      <c r="AD18" s="39"/>
      <c r="AE18" s="39" t="s">
        <v>305</v>
      </c>
      <c r="AF18" s="39" t="s">
        <v>287</v>
      </c>
      <c r="AG18" s="38">
        <v>0</v>
      </c>
      <c r="AH18" s="39"/>
      <c r="AI18" s="39"/>
      <c r="AJ18" s="38">
        <v>0</v>
      </c>
      <c r="AK18" s="39"/>
      <c r="AL18" s="39"/>
      <c r="AM18" s="39" t="s">
        <v>299</v>
      </c>
      <c r="AN18" s="38">
        <v>0</v>
      </c>
      <c r="AO18" s="39"/>
      <c r="AP18" s="39"/>
      <c r="AQ18" s="39" t="s">
        <v>294</v>
      </c>
      <c r="AR18" s="39" t="s">
        <v>287</v>
      </c>
      <c r="AS18" s="38">
        <v>0</v>
      </c>
      <c r="AT18" s="39"/>
      <c r="AU18" s="39"/>
      <c r="AV18" s="39" t="s">
        <v>288</v>
      </c>
      <c r="AW18" s="39" t="s">
        <v>287</v>
      </c>
      <c r="AX18" s="38">
        <v>0</v>
      </c>
      <c r="AY18" s="39"/>
      <c r="AZ18" s="39"/>
      <c r="BA18" s="38">
        <v>0</v>
      </c>
      <c r="BB18" s="39"/>
      <c r="BC18" s="39" t="s">
        <v>299</v>
      </c>
      <c r="BD18" s="39" t="s">
        <v>301</v>
      </c>
      <c r="BE18" s="39" t="s">
        <v>297</v>
      </c>
      <c r="BF18" s="38">
        <v>0</v>
      </c>
      <c r="BG18" s="39"/>
      <c r="BH18" s="39"/>
      <c r="BI18" s="39" t="s">
        <v>324</v>
      </c>
      <c r="BJ18" s="39" t="s">
        <v>297</v>
      </c>
      <c r="BK18" s="38">
        <v>0</v>
      </c>
      <c r="BL18" s="39"/>
      <c r="BM18" s="39"/>
      <c r="BN18" s="38">
        <v>0</v>
      </c>
      <c r="BO18" s="39"/>
      <c r="BP18" s="39" t="s">
        <v>299</v>
      </c>
      <c r="BQ18" s="38">
        <v>0</v>
      </c>
      <c r="BR18" s="39"/>
      <c r="BS18" s="39" t="s">
        <v>294</v>
      </c>
      <c r="BT18" s="39" t="s">
        <v>297</v>
      </c>
      <c r="BU18" s="38">
        <v>0</v>
      </c>
      <c r="BV18" s="39"/>
      <c r="BW18" s="39"/>
      <c r="BX18" s="39" t="s">
        <v>298</v>
      </c>
      <c r="BY18" s="39" t="s">
        <v>297</v>
      </c>
      <c r="BZ18" s="38">
        <v>0</v>
      </c>
      <c r="CA18" s="39"/>
      <c r="CB18" s="39"/>
      <c r="CC18" s="38">
        <v>0</v>
      </c>
      <c r="CD18" s="39"/>
      <c r="CE18" s="39" t="s">
        <v>299</v>
      </c>
      <c r="CF18" s="38">
        <v>0</v>
      </c>
      <c r="CG18" s="39"/>
      <c r="CH18" s="39"/>
      <c r="CI18" s="39" t="s">
        <v>294</v>
      </c>
      <c r="CJ18" s="39" t="s">
        <v>297</v>
      </c>
      <c r="CK18" s="38">
        <v>0</v>
      </c>
      <c r="CL18" s="39"/>
      <c r="CM18" s="39"/>
      <c r="CN18" s="39" t="s">
        <v>305</v>
      </c>
      <c r="CO18" s="39" t="s">
        <v>297</v>
      </c>
      <c r="CP18" s="38">
        <v>0</v>
      </c>
      <c r="CQ18" s="39"/>
      <c r="CR18" s="39"/>
      <c r="CS18" s="38">
        <v>0</v>
      </c>
      <c r="CT18" s="39"/>
      <c r="CU18" s="39" t="s">
        <v>299</v>
      </c>
      <c r="CV18" s="94">
        <f t="shared" si="0"/>
        <v>1</v>
      </c>
      <c r="CW18" s="38">
        <v>0</v>
      </c>
      <c r="CX18" s="39"/>
      <c r="CY18" s="39"/>
      <c r="CZ18" s="39" t="s">
        <v>301</v>
      </c>
      <c r="DA18" s="39" t="s">
        <v>297</v>
      </c>
      <c r="DB18" s="38">
        <v>0</v>
      </c>
      <c r="DC18" s="39"/>
      <c r="DD18" s="39"/>
      <c r="DE18" s="39" t="s">
        <v>324</v>
      </c>
      <c r="DF18" s="39" t="s">
        <v>297</v>
      </c>
      <c r="DG18" s="38">
        <v>0</v>
      </c>
      <c r="DH18" s="39"/>
      <c r="DI18" s="39"/>
      <c r="DJ18" s="38">
        <v>0</v>
      </c>
      <c r="DK18" s="39"/>
      <c r="DL18" s="39" t="s">
        <v>299</v>
      </c>
      <c r="DM18" s="38">
        <v>0</v>
      </c>
      <c r="DN18" s="39"/>
      <c r="DO18" s="39"/>
      <c r="DP18" s="39" t="s">
        <v>303</v>
      </c>
      <c r="DQ18" s="39" t="s">
        <v>331</v>
      </c>
      <c r="DR18" s="38">
        <v>0</v>
      </c>
      <c r="DS18" s="39"/>
      <c r="DT18" s="39"/>
      <c r="DU18" s="39" t="s">
        <v>298</v>
      </c>
      <c r="DV18" s="39" t="s">
        <v>331</v>
      </c>
      <c r="DW18" s="38">
        <v>0</v>
      </c>
      <c r="DX18" s="39"/>
      <c r="DY18" s="39"/>
      <c r="DZ18" s="39"/>
      <c r="EA18" s="39"/>
      <c r="EB18" s="39" t="s">
        <v>299</v>
      </c>
      <c r="EC18" s="38">
        <v>0</v>
      </c>
      <c r="ED18" s="39"/>
      <c r="EE18" s="39" t="s">
        <v>294</v>
      </c>
      <c r="EF18" s="39" t="s">
        <v>297</v>
      </c>
      <c r="EG18" s="38">
        <v>0</v>
      </c>
      <c r="EH18" s="39"/>
      <c r="EI18" s="39"/>
      <c r="EJ18" s="39" t="s">
        <v>298</v>
      </c>
      <c r="EK18" s="39" t="s">
        <v>331</v>
      </c>
      <c r="EL18" s="38">
        <v>0</v>
      </c>
      <c r="EM18" s="39"/>
      <c r="EN18" s="39"/>
      <c r="EO18" s="39"/>
      <c r="EP18" s="38">
        <v>0</v>
      </c>
      <c r="EQ18" s="39"/>
      <c r="ER18" s="39" t="s">
        <v>299</v>
      </c>
      <c r="ES18" s="38">
        <v>0</v>
      </c>
      <c r="ET18" s="39"/>
      <c r="EU18" s="39"/>
      <c r="EV18" s="39"/>
      <c r="EW18" s="39"/>
      <c r="EX18" s="39"/>
      <c r="EY18" s="39"/>
      <c r="EZ18" s="39"/>
      <c r="FA18" s="39"/>
      <c r="FB18" s="38">
        <v>0</v>
      </c>
      <c r="FC18" s="39"/>
      <c r="FD18" s="39"/>
      <c r="FE18" s="39"/>
      <c r="FG18" s="39" t="s">
        <v>335</v>
      </c>
      <c r="FH18" s="39"/>
      <c r="FI18" s="39"/>
      <c r="FJ18" s="38">
        <v>-1</v>
      </c>
      <c r="FK18" s="38">
        <v>-1</v>
      </c>
      <c r="FL18" s="38">
        <v>-1</v>
      </c>
      <c r="FM18" s="38">
        <v>-1</v>
      </c>
      <c r="FN18" s="38">
        <v>-1</v>
      </c>
      <c r="FO18" s="38">
        <v>-1</v>
      </c>
      <c r="FP18" s="38">
        <v>-1</v>
      </c>
      <c r="FQ18" s="38">
        <v>-1</v>
      </c>
      <c r="FR18" s="38">
        <v>-1</v>
      </c>
      <c r="FS18" s="38">
        <v>-1</v>
      </c>
      <c r="FT18" s="38">
        <v>-1</v>
      </c>
      <c r="FU18" s="38">
        <v>-1</v>
      </c>
      <c r="FV18" s="38">
        <v>-1</v>
      </c>
      <c r="FW18" s="38">
        <v>-1</v>
      </c>
      <c r="FX18" s="38">
        <v>-1</v>
      </c>
      <c r="FY18" s="38">
        <v>-15</v>
      </c>
      <c r="FZ18" s="41"/>
      <c r="GA18" s="41"/>
      <c r="GB18" s="39"/>
      <c r="GC18" s="39" t="s">
        <v>320</v>
      </c>
      <c r="GD18" s="39" t="s">
        <v>277</v>
      </c>
      <c r="GE18" s="38">
        <v>15</v>
      </c>
      <c r="GF18" s="38">
        <v>15</v>
      </c>
      <c r="GG18" s="38">
        <v>51</v>
      </c>
      <c r="GH18" s="38">
        <v>21</v>
      </c>
      <c r="GI18" s="42"/>
    </row>
    <row r="19" spans="1:191" s="40" customFormat="1" x14ac:dyDescent="0.25">
      <c r="A19" s="38">
        <v>176</v>
      </c>
      <c r="B19" s="39" t="s">
        <v>321</v>
      </c>
      <c r="C19" s="39" t="s">
        <v>353</v>
      </c>
      <c r="D19" s="39" t="s">
        <v>422</v>
      </c>
      <c r="E19" s="39" t="s">
        <v>282</v>
      </c>
      <c r="F19" s="39" t="s">
        <v>282</v>
      </c>
      <c r="G19" s="39" t="s">
        <v>282</v>
      </c>
      <c r="H19" s="39" t="s">
        <v>282</v>
      </c>
      <c r="I19" s="39" t="s">
        <v>282</v>
      </c>
      <c r="J19" s="39" t="s">
        <v>281</v>
      </c>
      <c r="K19" s="39" t="s">
        <v>282</v>
      </c>
      <c r="L19" s="39" t="s">
        <v>282</v>
      </c>
      <c r="M19" s="39" t="s">
        <v>281</v>
      </c>
      <c r="N19" s="38">
        <v>0</v>
      </c>
      <c r="O19" s="39"/>
      <c r="P19" s="39"/>
      <c r="Q19" s="39" t="s">
        <v>423</v>
      </c>
      <c r="R19" s="39"/>
      <c r="S19" s="39"/>
      <c r="T19" s="39"/>
      <c r="U19" s="40" t="s">
        <v>464</v>
      </c>
      <c r="V19" s="39" t="s">
        <v>316</v>
      </c>
      <c r="W19" s="38"/>
      <c r="X19" s="39"/>
      <c r="Y19" s="39"/>
      <c r="Z19" s="39"/>
      <c r="AA19" s="39"/>
      <c r="AB19" s="38"/>
      <c r="AC19" s="39"/>
      <c r="AD19" s="39"/>
      <c r="AE19" s="39"/>
      <c r="AF19" s="39"/>
      <c r="AG19" s="38"/>
      <c r="AH19" s="39"/>
      <c r="AI19" s="39"/>
      <c r="AJ19" s="38"/>
      <c r="AK19" s="39"/>
      <c r="AL19" s="39"/>
      <c r="AM19" s="39"/>
      <c r="AN19" s="38"/>
      <c r="AO19" s="39"/>
      <c r="AP19" s="39"/>
      <c r="AQ19" s="39"/>
      <c r="AR19" s="39"/>
      <c r="AS19" s="38"/>
      <c r="AT19" s="39"/>
      <c r="AU19" s="39"/>
      <c r="AV19" s="39"/>
      <c r="AW19" s="39"/>
      <c r="AX19" s="38"/>
      <c r="AY19" s="39"/>
      <c r="AZ19" s="39"/>
      <c r="BA19" s="38"/>
      <c r="BB19" s="39"/>
      <c r="BC19" s="39"/>
      <c r="BD19" s="39"/>
      <c r="BE19" s="39"/>
      <c r="BF19" s="38"/>
      <c r="BG19" s="39"/>
      <c r="BH19" s="39"/>
      <c r="BI19" s="39"/>
      <c r="BJ19" s="39"/>
      <c r="BK19" s="38"/>
      <c r="BL19" s="39"/>
      <c r="BM19" s="39"/>
      <c r="BN19" s="38"/>
      <c r="BO19" s="39"/>
      <c r="BP19" s="39"/>
      <c r="BQ19" s="38"/>
      <c r="BR19" s="39"/>
      <c r="BS19" s="39"/>
      <c r="BT19" s="39"/>
      <c r="BU19" s="38"/>
      <c r="BV19" s="39"/>
      <c r="BW19" s="39"/>
      <c r="BX19" s="39"/>
      <c r="BY19" s="39"/>
      <c r="BZ19" s="38"/>
      <c r="CA19" s="39"/>
      <c r="CB19" s="39"/>
      <c r="CC19" s="38"/>
      <c r="CD19" s="39"/>
      <c r="CE19" s="39"/>
      <c r="CF19" s="38"/>
      <c r="CG19" s="39"/>
      <c r="CH19" s="39"/>
      <c r="CI19" s="39"/>
      <c r="CJ19" s="39"/>
      <c r="CK19" s="38"/>
      <c r="CL19" s="39"/>
      <c r="CM19" s="39"/>
      <c r="CN19" s="39"/>
      <c r="CO19" s="39"/>
      <c r="CP19" s="38"/>
      <c r="CQ19" s="39"/>
      <c r="CR19" s="39"/>
      <c r="CS19" s="38"/>
      <c r="CT19" s="39"/>
      <c r="CU19" s="39"/>
      <c r="CV19" s="94"/>
      <c r="CW19" s="38"/>
      <c r="CX19" s="39"/>
      <c r="CY19" s="39"/>
      <c r="CZ19" s="39"/>
      <c r="DA19" s="39"/>
      <c r="DB19" s="38"/>
      <c r="DC19" s="39"/>
      <c r="DD19" s="39"/>
      <c r="DE19" s="39"/>
      <c r="DF19" s="39"/>
      <c r="DG19" s="38"/>
      <c r="DH19" s="39"/>
      <c r="DI19" s="39"/>
      <c r="DJ19" s="38"/>
      <c r="DK19" s="39"/>
      <c r="DL19" s="39"/>
      <c r="DM19" s="38"/>
      <c r="DN19" s="39"/>
      <c r="DO19" s="39"/>
      <c r="DP19" s="39"/>
      <c r="DQ19" s="39"/>
      <c r="DR19" s="38"/>
      <c r="DS19" s="39"/>
      <c r="DT19" s="39"/>
      <c r="DU19" s="39"/>
      <c r="DV19" s="39"/>
      <c r="DW19" s="38"/>
      <c r="DX19" s="39"/>
      <c r="DY19" s="39"/>
      <c r="DZ19" s="39"/>
      <c r="EA19" s="39"/>
      <c r="EB19" s="39"/>
      <c r="EC19" s="38"/>
      <c r="ED19" s="39"/>
      <c r="EE19" s="39"/>
      <c r="EF19" s="39"/>
      <c r="EG19" s="38"/>
      <c r="EH19" s="39"/>
      <c r="EI19" s="39"/>
      <c r="EJ19" s="39"/>
      <c r="EK19" s="39"/>
      <c r="EL19" s="38"/>
      <c r="EM19" s="39"/>
      <c r="EN19" s="39"/>
      <c r="EO19" s="39"/>
      <c r="EP19" s="38"/>
      <c r="EQ19" s="39"/>
      <c r="ER19" s="39"/>
      <c r="ES19" s="38"/>
      <c r="ET19" s="39"/>
      <c r="EU19" s="39"/>
      <c r="EV19" s="39"/>
      <c r="EW19" s="39"/>
      <c r="EX19" s="39"/>
      <c r="EY19" s="39"/>
      <c r="EZ19" s="39"/>
      <c r="FA19" s="39"/>
      <c r="FB19" s="38"/>
      <c r="FC19" s="39"/>
      <c r="FD19" s="39"/>
      <c r="FE19" s="39"/>
      <c r="FG19" s="39"/>
      <c r="FH19" s="39"/>
      <c r="FI19" s="39"/>
      <c r="FJ19" s="38">
        <v>-1</v>
      </c>
      <c r="FK19" s="38">
        <v>-1</v>
      </c>
      <c r="FL19" s="38">
        <v>-1</v>
      </c>
      <c r="FM19" s="38">
        <v>-1</v>
      </c>
      <c r="FN19" s="38">
        <v>-1</v>
      </c>
      <c r="FO19" s="38"/>
      <c r="FP19" s="38"/>
      <c r="FQ19" s="38"/>
      <c r="FR19" s="38"/>
      <c r="FS19" s="38"/>
      <c r="FT19" s="38"/>
      <c r="FU19" s="38"/>
      <c r="FV19" s="38"/>
      <c r="FW19" s="38"/>
      <c r="FX19" s="38"/>
      <c r="FY19" s="38">
        <v>-5</v>
      </c>
      <c r="FZ19" s="41"/>
      <c r="GA19" s="41"/>
      <c r="GB19" s="39"/>
      <c r="GC19" s="39" t="s">
        <v>277</v>
      </c>
      <c r="GD19" s="39" t="s">
        <v>277</v>
      </c>
      <c r="GE19" s="38">
        <v>5</v>
      </c>
      <c r="GF19" s="38">
        <v>5</v>
      </c>
      <c r="GG19" s="38">
        <v>14</v>
      </c>
      <c r="GH19" s="38">
        <v>1</v>
      </c>
      <c r="GI19" s="42"/>
    </row>
    <row r="20" spans="1:191" s="40" customFormat="1" x14ac:dyDescent="0.25">
      <c r="A20" s="38">
        <v>189</v>
      </c>
      <c r="B20" s="39" t="s">
        <v>321</v>
      </c>
      <c r="C20" s="39" t="s">
        <v>353</v>
      </c>
      <c r="D20" s="39" t="s">
        <v>320</v>
      </c>
      <c r="E20" s="39" t="s">
        <v>282</v>
      </c>
      <c r="F20" s="39" t="s">
        <v>282</v>
      </c>
      <c r="G20" s="39" t="s">
        <v>282</v>
      </c>
      <c r="H20" s="39" t="s">
        <v>282</v>
      </c>
      <c r="I20" s="39" t="s">
        <v>282</v>
      </c>
      <c r="J20" s="39" t="s">
        <v>281</v>
      </c>
      <c r="K20" s="39" t="s">
        <v>282</v>
      </c>
      <c r="L20" s="39" t="s">
        <v>282</v>
      </c>
      <c r="M20" s="39" t="s">
        <v>282</v>
      </c>
      <c r="N20" s="38">
        <v>0</v>
      </c>
      <c r="O20" s="39"/>
      <c r="P20" s="39"/>
      <c r="Q20" s="39" t="s">
        <v>423</v>
      </c>
      <c r="R20" s="39"/>
      <c r="S20" s="39"/>
      <c r="T20" s="39"/>
      <c r="U20" s="40" t="s">
        <v>424</v>
      </c>
      <c r="V20" s="39" t="s">
        <v>346</v>
      </c>
      <c r="W20" s="38">
        <v>0</v>
      </c>
      <c r="X20" s="39"/>
      <c r="Y20" s="39"/>
      <c r="Z20" s="39" t="s">
        <v>294</v>
      </c>
      <c r="AA20" s="39" t="s">
        <v>297</v>
      </c>
      <c r="AB20" s="38">
        <v>0</v>
      </c>
      <c r="AC20" s="39"/>
      <c r="AD20" s="39"/>
      <c r="AE20" s="39" t="s">
        <v>288</v>
      </c>
      <c r="AF20" s="39" t="s">
        <v>331</v>
      </c>
      <c r="AG20" s="38">
        <v>0</v>
      </c>
      <c r="AH20" s="39"/>
      <c r="AI20" s="39"/>
      <c r="AJ20" s="38">
        <v>0</v>
      </c>
      <c r="AK20" s="39"/>
      <c r="AL20" s="39"/>
      <c r="AM20" s="39" t="s">
        <v>299</v>
      </c>
      <c r="AN20" s="38">
        <v>0</v>
      </c>
      <c r="AO20" s="39"/>
      <c r="AP20" s="39"/>
      <c r="AQ20" s="39" t="s">
        <v>301</v>
      </c>
      <c r="AR20" s="39" t="s">
        <v>297</v>
      </c>
      <c r="AS20" s="38">
        <v>0</v>
      </c>
      <c r="AT20" s="39"/>
      <c r="AU20" s="39"/>
      <c r="AV20" s="39" t="s">
        <v>288</v>
      </c>
      <c r="AW20" s="39" t="s">
        <v>331</v>
      </c>
      <c r="AX20" s="38">
        <v>0</v>
      </c>
      <c r="AY20" s="39"/>
      <c r="AZ20" s="39"/>
      <c r="BA20" s="38">
        <v>0</v>
      </c>
      <c r="BB20" s="39"/>
      <c r="BC20" s="39" t="s">
        <v>299</v>
      </c>
      <c r="BD20" s="39" t="s">
        <v>310</v>
      </c>
      <c r="BE20" s="39" t="s">
        <v>297</v>
      </c>
      <c r="BF20" s="38">
        <v>1</v>
      </c>
      <c r="BG20" s="39" t="s">
        <v>520</v>
      </c>
      <c r="BH20" s="39"/>
      <c r="BI20" s="39" t="s">
        <v>324</v>
      </c>
      <c r="BJ20" s="39" t="s">
        <v>521</v>
      </c>
      <c r="BK20" s="38">
        <v>0</v>
      </c>
      <c r="BL20" s="39"/>
      <c r="BM20" s="39"/>
      <c r="BN20" s="38">
        <v>0</v>
      </c>
      <c r="BO20" s="39"/>
      <c r="BP20" s="39" t="s">
        <v>299</v>
      </c>
      <c r="BQ20" s="38">
        <v>1</v>
      </c>
      <c r="BR20" s="39" t="s">
        <v>522</v>
      </c>
      <c r="BS20" s="39" t="s">
        <v>303</v>
      </c>
      <c r="BT20" s="39" t="s">
        <v>297</v>
      </c>
      <c r="BU20" s="38">
        <v>0</v>
      </c>
      <c r="BV20" s="39"/>
      <c r="BW20" s="39"/>
      <c r="BX20" s="39" t="s">
        <v>298</v>
      </c>
      <c r="BY20" s="39" t="s">
        <v>331</v>
      </c>
      <c r="BZ20" s="38">
        <v>0</v>
      </c>
      <c r="CA20" s="39"/>
      <c r="CB20" s="39"/>
      <c r="CC20" s="38">
        <v>0</v>
      </c>
      <c r="CD20" s="39"/>
      <c r="CE20" s="39" t="s">
        <v>299</v>
      </c>
      <c r="CF20" s="38">
        <v>1</v>
      </c>
      <c r="CG20" s="39" t="s">
        <v>405</v>
      </c>
      <c r="CH20" s="39"/>
      <c r="CI20" s="39" t="s">
        <v>294</v>
      </c>
      <c r="CJ20" s="39" t="s">
        <v>297</v>
      </c>
      <c r="CK20" s="38">
        <v>0</v>
      </c>
      <c r="CL20" s="39"/>
      <c r="CM20" s="39"/>
      <c r="CN20" s="39" t="s">
        <v>288</v>
      </c>
      <c r="CO20" s="39" t="s">
        <v>500</v>
      </c>
      <c r="CP20" s="38">
        <v>0</v>
      </c>
      <c r="CQ20" s="39"/>
      <c r="CR20" s="39"/>
      <c r="CS20" s="38">
        <v>0</v>
      </c>
      <c r="CT20" s="39"/>
      <c r="CU20" s="39" t="s">
        <v>299</v>
      </c>
      <c r="CV20" s="94">
        <f t="shared" si="0"/>
        <v>1</v>
      </c>
      <c r="CW20" s="38">
        <v>1</v>
      </c>
      <c r="CX20" s="39" t="s">
        <v>523</v>
      </c>
      <c r="CY20" s="39"/>
      <c r="CZ20" s="39" t="s">
        <v>303</v>
      </c>
      <c r="DA20" s="39" t="s">
        <v>302</v>
      </c>
      <c r="DB20" s="38">
        <v>0</v>
      </c>
      <c r="DC20" s="39"/>
      <c r="DD20" s="39"/>
      <c r="DE20" s="39" t="s">
        <v>298</v>
      </c>
      <c r="DF20" s="39" t="s">
        <v>302</v>
      </c>
      <c r="DG20" s="38">
        <v>0</v>
      </c>
      <c r="DH20" s="39"/>
      <c r="DI20" s="39"/>
      <c r="DJ20" s="38">
        <v>0</v>
      </c>
      <c r="DK20" s="39"/>
      <c r="DL20" s="39" t="s">
        <v>299</v>
      </c>
      <c r="DM20" s="38">
        <v>1</v>
      </c>
      <c r="DN20" s="39" t="s">
        <v>524</v>
      </c>
      <c r="DO20" s="39"/>
      <c r="DP20" s="39" t="s">
        <v>303</v>
      </c>
      <c r="DQ20" s="39" t="s">
        <v>331</v>
      </c>
      <c r="DR20" s="38">
        <v>0</v>
      </c>
      <c r="DS20" s="39"/>
      <c r="DT20" s="39"/>
      <c r="DU20" s="39" t="s">
        <v>298</v>
      </c>
      <c r="DV20" s="39" t="s">
        <v>331</v>
      </c>
      <c r="DW20" s="38">
        <v>0</v>
      </c>
      <c r="DX20" s="39"/>
      <c r="DY20" s="39"/>
      <c r="DZ20" s="39" t="s">
        <v>525</v>
      </c>
      <c r="EA20" s="39"/>
      <c r="EB20" s="39" t="s">
        <v>328</v>
      </c>
      <c r="EC20" s="38">
        <v>1</v>
      </c>
      <c r="ED20" s="39" t="s">
        <v>333</v>
      </c>
      <c r="EE20" s="39" t="s">
        <v>303</v>
      </c>
      <c r="EF20" s="39" t="s">
        <v>331</v>
      </c>
      <c r="EG20" s="38">
        <v>0</v>
      </c>
      <c r="EH20" s="39"/>
      <c r="EI20" s="39"/>
      <c r="EJ20" s="39" t="s">
        <v>288</v>
      </c>
      <c r="EK20" s="39" t="s">
        <v>331</v>
      </c>
      <c r="EL20" s="38">
        <v>0</v>
      </c>
      <c r="EM20" s="39"/>
      <c r="EN20" s="39"/>
      <c r="EO20" s="39" t="s">
        <v>526</v>
      </c>
      <c r="EP20" s="38">
        <v>0</v>
      </c>
      <c r="EQ20" s="39"/>
      <c r="ER20" s="39" t="s">
        <v>299</v>
      </c>
      <c r="ES20" s="38">
        <v>0</v>
      </c>
      <c r="ET20" s="39"/>
      <c r="EU20" s="39"/>
      <c r="EV20" s="39"/>
      <c r="EW20" s="39"/>
      <c r="EX20" s="39"/>
      <c r="EY20" s="39"/>
      <c r="EZ20" s="39"/>
      <c r="FA20" s="39"/>
      <c r="FB20" s="38">
        <v>2</v>
      </c>
      <c r="FC20" s="39" t="s">
        <v>527</v>
      </c>
      <c r="FD20" s="39" t="s">
        <v>528</v>
      </c>
      <c r="FE20" s="39"/>
      <c r="FG20" s="39" t="s">
        <v>351</v>
      </c>
      <c r="FH20" s="39"/>
      <c r="FI20" s="39"/>
      <c r="FJ20" s="38">
        <v>-1</v>
      </c>
      <c r="FK20" s="38">
        <v>-1</v>
      </c>
      <c r="FL20" s="38">
        <v>-1</v>
      </c>
      <c r="FM20" s="38">
        <v>-1</v>
      </c>
      <c r="FN20" s="38">
        <v>-1</v>
      </c>
      <c r="FO20" s="38">
        <v>-1</v>
      </c>
      <c r="FP20" s="38">
        <v>-1</v>
      </c>
      <c r="FQ20" s="38">
        <v>-1</v>
      </c>
      <c r="FR20" s="38">
        <v>-1</v>
      </c>
      <c r="FS20" s="38">
        <v>-1</v>
      </c>
      <c r="FT20" s="38">
        <v>-1</v>
      </c>
      <c r="FU20" s="38">
        <v>-1</v>
      </c>
      <c r="FV20" s="38">
        <v>-1</v>
      </c>
      <c r="FW20" s="38">
        <v>-1</v>
      </c>
      <c r="FX20" s="38">
        <v>-1</v>
      </c>
      <c r="FY20" s="38">
        <v>-15</v>
      </c>
      <c r="FZ20" s="41"/>
      <c r="GA20" s="41"/>
      <c r="GB20" s="39" t="s">
        <v>319</v>
      </c>
      <c r="GC20" s="39" t="s">
        <v>320</v>
      </c>
      <c r="GD20" s="39" t="s">
        <v>277</v>
      </c>
      <c r="GE20" s="38">
        <v>15</v>
      </c>
      <c r="GF20" s="38">
        <v>15</v>
      </c>
      <c r="GG20" s="38">
        <v>38</v>
      </c>
      <c r="GH20" s="38">
        <v>11</v>
      </c>
      <c r="GI20" s="42"/>
    </row>
    <row r="21" spans="1:191" s="56" customFormat="1" x14ac:dyDescent="0.25">
      <c r="A21" s="56">
        <v>206</v>
      </c>
      <c r="B21" s="56" t="s">
        <v>321</v>
      </c>
      <c r="C21" s="56" t="s">
        <v>279</v>
      </c>
      <c r="D21" s="56" t="s">
        <v>354</v>
      </c>
      <c r="E21" s="56" t="s">
        <v>281</v>
      </c>
      <c r="F21" s="56" t="s">
        <v>281</v>
      </c>
      <c r="G21" s="56" t="s">
        <v>282</v>
      </c>
      <c r="H21" s="56" t="s">
        <v>282</v>
      </c>
      <c r="I21" s="56" t="s">
        <v>281</v>
      </c>
      <c r="J21" s="56" t="s">
        <v>282</v>
      </c>
      <c r="K21" s="56" t="s">
        <v>281</v>
      </c>
      <c r="L21" s="56" t="s">
        <v>281</v>
      </c>
      <c r="M21" s="56" t="s">
        <v>281</v>
      </c>
      <c r="N21" s="56">
        <v>0</v>
      </c>
      <c r="Q21" s="56" t="s">
        <v>337</v>
      </c>
      <c r="S21" s="56" t="s">
        <v>395</v>
      </c>
      <c r="V21" s="56" t="s">
        <v>316</v>
      </c>
      <c r="W21" s="56">
        <v>1</v>
      </c>
      <c r="X21" s="56" t="s">
        <v>609</v>
      </c>
      <c r="Z21" s="56" t="s">
        <v>294</v>
      </c>
      <c r="AA21" s="56" t="s">
        <v>331</v>
      </c>
      <c r="AB21" s="56">
        <v>0</v>
      </c>
      <c r="AE21" s="56" t="s">
        <v>305</v>
      </c>
      <c r="AF21" s="56" t="s">
        <v>331</v>
      </c>
      <c r="AG21" s="56">
        <v>0</v>
      </c>
      <c r="AJ21" s="56">
        <v>0</v>
      </c>
      <c r="AM21" s="56" t="s">
        <v>328</v>
      </c>
      <c r="AN21" s="56">
        <v>1</v>
      </c>
      <c r="AO21" s="56" t="s">
        <v>357</v>
      </c>
      <c r="AQ21" s="56" t="s">
        <v>301</v>
      </c>
      <c r="AR21" s="56" t="s">
        <v>289</v>
      </c>
      <c r="AS21" s="56">
        <v>0</v>
      </c>
      <c r="AV21" s="56" t="s">
        <v>288</v>
      </c>
      <c r="AW21" s="56" t="s">
        <v>331</v>
      </c>
      <c r="AX21" s="56">
        <v>0</v>
      </c>
      <c r="BA21" s="56">
        <v>1</v>
      </c>
      <c r="BB21" s="56" t="s">
        <v>610</v>
      </c>
      <c r="BC21" s="56" t="s">
        <v>299</v>
      </c>
      <c r="BF21" s="56">
        <v>0</v>
      </c>
      <c r="BK21" s="56">
        <v>0</v>
      </c>
      <c r="BN21" s="56">
        <v>0</v>
      </c>
      <c r="BQ21" s="56">
        <v>1</v>
      </c>
      <c r="BR21" s="56" t="s">
        <v>611</v>
      </c>
      <c r="BS21" s="56" t="s">
        <v>301</v>
      </c>
      <c r="BT21" s="56" t="s">
        <v>521</v>
      </c>
      <c r="BU21" s="56">
        <v>0</v>
      </c>
      <c r="BX21" s="56" t="s">
        <v>288</v>
      </c>
      <c r="BY21" s="56" t="s">
        <v>331</v>
      </c>
      <c r="BZ21" s="56">
        <v>0</v>
      </c>
      <c r="CC21" s="56">
        <v>0</v>
      </c>
      <c r="CE21" s="56" t="s">
        <v>292</v>
      </c>
      <c r="CF21" s="56">
        <v>1</v>
      </c>
      <c r="CG21" s="56" t="s">
        <v>612</v>
      </c>
      <c r="CI21" s="56" t="s">
        <v>303</v>
      </c>
      <c r="CJ21" s="56" t="s">
        <v>302</v>
      </c>
      <c r="CK21" s="56">
        <v>0</v>
      </c>
      <c r="CN21" s="56" t="s">
        <v>298</v>
      </c>
      <c r="CO21" s="56" t="s">
        <v>331</v>
      </c>
      <c r="CP21" s="56">
        <v>0</v>
      </c>
      <c r="CS21" s="56">
        <v>1</v>
      </c>
      <c r="CT21" s="56" t="s">
        <v>613</v>
      </c>
      <c r="CU21" s="56" t="s">
        <v>328</v>
      </c>
      <c r="CV21" s="94">
        <f t="shared" si="0"/>
        <v>0</v>
      </c>
      <c r="CW21" s="56">
        <v>1</v>
      </c>
      <c r="CX21" s="56" t="s">
        <v>614</v>
      </c>
      <c r="CZ21" s="56" t="s">
        <v>303</v>
      </c>
      <c r="DA21" s="56" t="s">
        <v>331</v>
      </c>
      <c r="DB21" s="56">
        <v>0</v>
      </c>
      <c r="DE21" s="56" t="s">
        <v>298</v>
      </c>
      <c r="DF21" s="56" t="s">
        <v>331</v>
      </c>
      <c r="DG21" s="56">
        <v>0</v>
      </c>
      <c r="DJ21" s="56">
        <v>0</v>
      </c>
      <c r="DL21" s="56" t="s">
        <v>296</v>
      </c>
      <c r="DM21" s="56">
        <v>1</v>
      </c>
      <c r="DN21" s="56" t="s">
        <v>615</v>
      </c>
      <c r="DP21" s="56" t="s">
        <v>303</v>
      </c>
      <c r="DQ21" s="56" t="s">
        <v>331</v>
      </c>
      <c r="DR21" s="56">
        <v>0</v>
      </c>
      <c r="DU21" s="56" t="s">
        <v>298</v>
      </c>
      <c r="DV21" s="56" t="s">
        <v>331</v>
      </c>
      <c r="DW21" s="56">
        <v>0</v>
      </c>
      <c r="EB21" s="56" t="s">
        <v>296</v>
      </c>
      <c r="EC21" s="56">
        <v>1</v>
      </c>
      <c r="ED21" s="56" t="s">
        <v>616</v>
      </c>
      <c r="EE21" s="56" t="s">
        <v>294</v>
      </c>
      <c r="EF21" s="56" t="s">
        <v>331</v>
      </c>
      <c r="EG21" s="56">
        <v>0</v>
      </c>
      <c r="EJ21" s="56" t="s">
        <v>305</v>
      </c>
      <c r="EK21" s="56" t="s">
        <v>331</v>
      </c>
      <c r="EL21" s="56">
        <v>0</v>
      </c>
      <c r="EP21" s="56">
        <v>0</v>
      </c>
      <c r="ER21" s="56" t="s">
        <v>299</v>
      </c>
      <c r="ES21" s="56">
        <v>0</v>
      </c>
      <c r="FB21" s="56">
        <v>1</v>
      </c>
      <c r="FC21" s="56" t="s">
        <v>617</v>
      </c>
      <c r="FG21" s="56" t="s">
        <v>335</v>
      </c>
      <c r="FH21" s="56" t="s">
        <v>618</v>
      </c>
      <c r="FJ21" s="56">
        <v>-1</v>
      </c>
      <c r="FK21" s="56">
        <v>-1</v>
      </c>
      <c r="FL21" s="56">
        <v>-1</v>
      </c>
      <c r="FM21" s="56">
        <v>-1</v>
      </c>
      <c r="FN21" s="56">
        <v>-1</v>
      </c>
      <c r="FO21" s="56">
        <v>-1</v>
      </c>
      <c r="FP21" s="56">
        <v>-1</v>
      </c>
      <c r="FQ21" s="56">
        <v>-1</v>
      </c>
      <c r="FR21" s="56">
        <v>-1</v>
      </c>
      <c r="FS21" s="56">
        <v>-1</v>
      </c>
      <c r="FT21" s="56">
        <v>-1</v>
      </c>
      <c r="FU21" s="56">
        <v>-1</v>
      </c>
      <c r="FV21" s="56">
        <v>-1</v>
      </c>
      <c r="FW21" s="56">
        <v>-1</v>
      </c>
      <c r="FX21" s="56">
        <v>-1</v>
      </c>
      <c r="FY21" s="56">
        <v>-15</v>
      </c>
      <c r="GB21" s="56" t="s">
        <v>319</v>
      </c>
      <c r="GC21" s="56" t="s">
        <v>320</v>
      </c>
      <c r="GD21" s="56" t="s">
        <v>277</v>
      </c>
      <c r="GE21" s="56">
        <v>15</v>
      </c>
      <c r="GF21" s="56">
        <v>15</v>
      </c>
      <c r="GG21" s="56">
        <v>40</v>
      </c>
      <c r="GH21" s="56">
        <v>15</v>
      </c>
    </row>
    <row r="22" spans="1:191" s="40" customFormat="1" x14ac:dyDescent="0.25">
      <c r="A22" s="38">
        <v>213</v>
      </c>
      <c r="B22" s="39" t="s">
        <v>321</v>
      </c>
      <c r="C22" s="39" t="s">
        <v>353</v>
      </c>
      <c r="D22" s="39" t="s">
        <v>320</v>
      </c>
      <c r="E22" s="39" t="s">
        <v>282</v>
      </c>
      <c r="F22" s="39" t="s">
        <v>282</v>
      </c>
      <c r="G22" s="39" t="s">
        <v>282</v>
      </c>
      <c r="H22" s="39" t="s">
        <v>282</v>
      </c>
      <c r="I22" s="39" t="s">
        <v>282</v>
      </c>
      <c r="J22" s="39" t="s">
        <v>281</v>
      </c>
      <c r="K22" s="39" t="s">
        <v>282</v>
      </c>
      <c r="L22" s="39" t="s">
        <v>282</v>
      </c>
      <c r="M22" s="39" t="s">
        <v>282</v>
      </c>
      <c r="N22" s="38">
        <v>0</v>
      </c>
      <c r="O22" s="39"/>
      <c r="P22" s="39"/>
      <c r="Q22" s="39" t="s">
        <v>423</v>
      </c>
      <c r="R22" s="39"/>
      <c r="S22" s="39"/>
      <c r="T22" s="39"/>
      <c r="U22" s="40" t="s">
        <v>464</v>
      </c>
      <c r="V22" s="39" t="s">
        <v>316</v>
      </c>
      <c r="W22" s="38">
        <v>1</v>
      </c>
      <c r="X22" s="39" t="s">
        <v>640</v>
      </c>
      <c r="Y22" s="39"/>
      <c r="Z22" s="39" t="s">
        <v>301</v>
      </c>
      <c r="AA22" s="39" t="s">
        <v>297</v>
      </c>
      <c r="AB22" s="38">
        <v>0</v>
      </c>
      <c r="AC22" s="39"/>
      <c r="AD22" s="39"/>
      <c r="AE22" s="39" t="s">
        <v>305</v>
      </c>
      <c r="AF22" s="39" t="s">
        <v>287</v>
      </c>
      <c r="AG22" s="38">
        <v>0</v>
      </c>
      <c r="AH22" s="39"/>
      <c r="AI22" s="39"/>
      <c r="AJ22" s="38">
        <v>0</v>
      </c>
      <c r="AK22" s="39"/>
      <c r="AL22" s="39"/>
      <c r="AM22" s="39" t="s">
        <v>366</v>
      </c>
      <c r="AN22" s="38">
        <v>1</v>
      </c>
      <c r="AO22" s="39" t="s">
        <v>641</v>
      </c>
      <c r="AP22" s="39"/>
      <c r="AQ22" s="39" t="s">
        <v>301</v>
      </c>
      <c r="AR22" s="39" t="s">
        <v>287</v>
      </c>
      <c r="AS22" s="38">
        <v>0</v>
      </c>
      <c r="AT22" s="39"/>
      <c r="AU22" s="39"/>
      <c r="AV22" s="39" t="s">
        <v>288</v>
      </c>
      <c r="AW22" s="39" t="s">
        <v>287</v>
      </c>
      <c r="AX22" s="38">
        <v>0</v>
      </c>
      <c r="AY22" s="39"/>
      <c r="AZ22" s="39"/>
      <c r="BA22" s="38">
        <v>0</v>
      </c>
      <c r="BB22" s="39"/>
      <c r="BC22" s="39" t="s">
        <v>296</v>
      </c>
      <c r="BD22" s="39" t="s">
        <v>301</v>
      </c>
      <c r="BE22" s="39" t="s">
        <v>297</v>
      </c>
      <c r="BF22" s="38">
        <v>0</v>
      </c>
      <c r="BG22" s="39"/>
      <c r="BH22" s="39"/>
      <c r="BI22" s="39" t="s">
        <v>288</v>
      </c>
      <c r="BJ22" s="39"/>
      <c r="BK22" s="38">
        <v>0</v>
      </c>
      <c r="BL22" s="39"/>
      <c r="BM22" s="39"/>
      <c r="BN22" s="38">
        <v>0</v>
      </c>
      <c r="BO22" s="39"/>
      <c r="BP22" s="39" t="s">
        <v>296</v>
      </c>
      <c r="BQ22" s="38">
        <v>0</v>
      </c>
      <c r="BR22" s="39"/>
      <c r="BS22" s="39" t="s">
        <v>294</v>
      </c>
      <c r="BT22" s="39" t="s">
        <v>297</v>
      </c>
      <c r="BU22" s="38">
        <v>0</v>
      </c>
      <c r="BV22" s="39"/>
      <c r="BW22" s="39"/>
      <c r="BX22" s="39" t="s">
        <v>324</v>
      </c>
      <c r="BY22" s="39" t="s">
        <v>302</v>
      </c>
      <c r="BZ22" s="38">
        <v>0</v>
      </c>
      <c r="CA22" s="39"/>
      <c r="CB22" s="39"/>
      <c r="CC22" s="38">
        <v>0</v>
      </c>
      <c r="CD22" s="39"/>
      <c r="CE22" s="39" t="s">
        <v>296</v>
      </c>
      <c r="CF22" s="38">
        <v>0</v>
      </c>
      <c r="CG22" s="39"/>
      <c r="CH22" s="39"/>
      <c r="CI22" s="39" t="s">
        <v>303</v>
      </c>
      <c r="CJ22" s="39" t="s">
        <v>297</v>
      </c>
      <c r="CK22" s="38">
        <v>0</v>
      </c>
      <c r="CL22" s="39"/>
      <c r="CM22" s="39"/>
      <c r="CN22" s="39" t="s">
        <v>305</v>
      </c>
      <c r="CO22" s="39" t="s">
        <v>302</v>
      </c>
      <c r="CP22" s="38">
        <v>0</v>
      </c>
      <c r="CQ22" s="39"/>
      <c r="CR22" s="39"/>
      <c r="CS22" s="38">
        <v>0</v>
      </c>
      <c r="CT22" s="39"/>
      <c r="CU22" s="39" t="s">
        <v>296</v>
      </c>
      <c r="CV22" s="94">
        <f t="shared" si="0"/>
        <v>1</v>
      </c>
      <c r="CW22" s="38">
        <v>0</v>
      </c>
      <c r="CX22" s="39"/>
      <c r="CY22" s="39"/>
      <c r="CZ22" s="39" t="s">
        <v>303</v>
      </c>
      <c r="DA22" s="39" t="s">
        <v>302</v>
      </c>
      <c r="DB22" s="38">
        <v>0</v>
      </c>
      <c r="DC22" s="39"/>
      <c r="DD22" s="39"/>
      <c r="DE22" s="39" t="s">
        <v>305</v>
      </c>
      <c r="DF22" s="39" t="s">
        <v>331</v>
      </c>
      <c r="DG22" s="38">
        <v>0</v>
      </c>
      <c r="DH22" s="39"/>
      <c r="DI22" s="39"/>
      <c r="DJ22" s="38">
        <v>0</v>
      </c>
      <c r="DK22" s="39"/>
      <c r="DL22" s="39" t="s">
        <v>296</v>
      </c>
      <c r="DM22" s="38">
        <v>0</v>
      </c>
      <c r="DN22" s="39"/>
      <c r="DO22" s="39"/>
      <c r="DP22" s="39" t="s">
        <v>303</v>
      </c>
      <c r="DQ22" s="39" t="s">
        <v>331</v>
      </c>
      <c r="DR22" s="38">
        <v>0</v>
      </c>
      <c r="DS22" s="39"/>
      <c r="DT22" s="39"/>
      <c r="DU22" s="39" t="s">
        <v>298</v>
      </c>
      <c r="DV22" s="39" t="s">
        <v>331</v>
      </c>
      <c r="DW22" s="38">
        <v>0</v>
      </c>
      <c r="DX22" s="39"/>
      <c r="DY22" s="39"/>
      <c r="DZ22" s="39"/>
      <c r="EA22" s="39"/>
      <c r="EB22" s="39" t="s">
        <v>328</v>
      </c>
      <c r="EC22" s="38">
        <v>0</v>
      </c>
      <c r="ED22" s="39"/>
      <c r="EE22" s="39" t="s">
        <v>294</v>
      </c>
      <c r="EF22" s="39" t="s">
        <v>331</v>
      </c>
      <c r="EG22" s="38">
        <v>0</v>
      </c>
      <c r="EH22" s="39"/>
      <c r="EI22" s="39"/>
      <c r="EJ22" s="39" t="s">
        <v>288</v>
      </c>
      <c r="EK22" s="39" t="s">
        <v>331</v>
      </c>
      <c r="EL22" s="38">
        <v>0</v>
      </c>
      <c r="EM22" s="39"/>
      <c r="EN22" s="39"/>
      <c r="EO22" s="39"/>
      <c r="EP22" s="38">
        <v>0</v>
      </c>
      <c r="EQ22" s="39"/>
      <c r="ER22" s="39" t="s">
        <v>299</v>
      </c>
      <c r="ES22" s="38">
        <v>0</v>
      </c>
      <c r="ET22" s="39"/>
      <c r="EU22" s="39"/>
      <c r="EV22" s="39"/>
      <c r="EW22" s="39"/>
      <c r="EX22" s="39"/>
      <c r="EY22" s="39"/>
      <c r="EZ22" s="39"/>
      <c r="FA22" s="39"/>
      <c r="FB22" s="38">
        <v>0</v>
      </c>
      <c r="FC22" s="39"/>
      <c r="FD22" s="39"/>
      <c r="FE22" s="39"/>
      <c r="FG22" s="39" t="s">
        <v>335</v>
      </c>
      <c r="FH22" s="39" t="s">
        <v>642</v>
      </c>
      <c r="FI22" s="39"/>
      <c r="FJ22" s="38">
        <v>-1</v>
      </c>
      <c r="FK22" s="38">
        <v>-1</v>
      </c>
      <c r="FL22" s="38">
        <v>-1</v>
      </c>
      <c r="FM22" s="38">
        <v>-1</v>
      </c>
      <c r="FN22" s="38">
        <v>-1</v>
      </c>
      <c r="FO22" s="38">
        <v>-1</v>
      </c>
      <c r="FP22" s="38">
        <v>-1</v>
      </c>
      <c r="FQ22" s="38">
        <v>-1</v>
      </c>
      <c r="FR22" s="38">
        <v>-1</v>
      </c>
      <c r="FS22" s="38">
        <v>-1</v>
      </c>
      <c r="FT22" s="38">
        <v>-1</v>
      </c>
      <c r="FU22" s="38">
        <v>-1</v>
      </c>
      <c r="FV22" s="38">
        <v>-1</v>
      </c>
      <c r="FW22" s="38">
        <v>-1</v>
      </c>
      <c r="FX22" s="38">
        <v>-1</v>
      </c>
      <c r="FY22" s="38">
        <v>-15</v>
      </c>
      <c r="FZ22" s="41"/>
      <c r="GA22" s="41"/>
      <c r="GB22" s="39" t="s">
        <v>319</v>
      </c>
      <c r="GC22" s="39" t="s">
        <v>320</v>
      </c>
      <c r="GD22" s="39" t="s">
        <v>277</v>
      </c>
      <c r="GE22" s="38">
        <v>15</v>
      </c>
      <c r="GF22" s="38">
        <v>15</v>
      </c>
      <c r="GG22" s="38">
        <v>48</v>
      </c>
      <c r="GH22" s="38">
        <v>19</v>
      </c>
      <c r="GI22" s="42"/>
    </row>
    <row r="23" spans="1:191" s="40" customFormat="1" x14ac:dyDescent="0.25">
      <c r="A23" s="38">
        <v>240</v>
      </c>
      <c r="B23" s="39" t="s">
        <v>321</v>
      </c>
      <c r="C23" s="39" t="s">
        <v>279</v>
      </c>
      <c r="D23" s="39" t="s">
        <v>422</v>
      </c>
      <c r="E23" s="39" t="s">
        <v>282</v>
      </c>
      <c r="F23" s="39" t="s">
        <v>281</v>
      </c>
      <c r="G23" s="39" t="s">
        <v>282</v>
      </c>
      <c r="H23" s="39" t="s">
        <v>282</v>
      </c>
      <c r="I23" s="39" t="s">
        <v>282</v>
      </c>
      <c r="J23" s="39" t="s">
        <v>281</v>
      </c>
      <c r="K23" s="39" t="s">
        <v>282</v>
      </c>
      <c r="L23" s="39" t="s">
        <v>282</v>
      </c>
      <c r="M23" s="39" t="s">
        <v>282</v>
      </c>
      <c r="N23" s="38">
        <v>0</v>
      </c>
      <c r="O23" s="39"/>
      <c r="P23" s="39"/>
      <c r="Q23" s="39" t="s">
        <v>423</v>
      </c>
      <c r="R23" s="39"/>
      <c r="S23" s="39"/>
      <c r="T23" s="39"/>
      <c r="U23" s="40" t="s">
        <v>424</v>
      </c>
      <c r="V23" s="39" t="s">
        <v>437</v>
      </c>
      <c r="W23" s="38">
        <v>1</v>
      </c>
      <c r="X23" s="39" t="s">
        <v>702</v>
      </c>
      <c r="Y23" s="39"/>
      <c r="Z23" s="39" t="s">
        <v>294</v>
      </c>
      <c r="AA23" s="39" t="s">
        <v>297</v>
      </c>
      <c r="AB23" s="38">
        <v>0</v>
      </c>
      <c r="AC23" s="39"/>
      <c r="AD23" s="39"/>
      <c r="AE23" s="39" t="s">
        <v>305</v>
      </c>
      <c r="AF23" s="39" t="s">
        <v>302</v>
      </c>
      <c r="AG23" s="38">
        <v>0</v>
      </c>
      <c r="AH23" s="39"/>
      <c r="AI23" s="39"/>
      <c r="AJ23" s="38">
        <v>1</v>
      </c>
      <c r="AK23" s="39" t="s">
        <v>703</v>
      </c>
      <c r="AL23" s="39"/>
      <c r="AM23" s="39" t="s">
        <v>299</v>
      </c>
      <c r="AN23" s="38">
        <v>1</v>
      </c>
      <c r="AO23" s="39" t="s">
        <v>405</v>
      </c>
      <c r="AP23" s="39"/>
      <c r="AQ23" s="39" t="s">
        <v>294</v>
      </c>
      <c r="AR23" s="39" t="s">
        <v>287</v>
      </c>
      <c r="AS23" s="38">
        <v>0</v>
      </c>
      <c r="AT23" s="39"/>
      <c r="AU23" s="39"/>
      <c r="AV23" s="39" t="s">
        <v>288</v>
      </c>
      <c r="AW23" s="39" t="s">
        <v>302</v>
      </c>
      <c r="AX23" s="38">
        <v>0</v>
      </c>
      <c r="AY23" s="39"/>
      <c r="AZ23" s="39"/>
      <c r="BA23" s="38">
        <v>0</v>
      </c>
      <c r="BB23" s="39"/>
      <c r="BC23" s="39" t="s">
        <v>328</v>
      </c>
      <c r="BD23" s="39" t="s">
        <v>294</v>
      </c>
      <c r="BE23" s="39" t="s">
        <v>297</v>
      </c>
      <c r="BF23" s="38">
        <v>0</v>
      </c>
      <c r="BG23" s="39"/>
      <c r="BH23" s="39"/>
      <c r="BI23" s="39" t="s">
        <v>288</v>
      </c>
      <c r="BJ23" s="39" t="s">
        <v>302</v>
      </c>
      <c r="BK23" s="38">
        <v>0</v>
      </c>
      <c r="BL23" s="39"/>
      <c r="BM23" s="39"/>
      <c r="BN23" s="38">
        <v>0</v>
      </c>
      <c r="BO23" s="39"/>
      <c r="BP23" s="39" t="s">
        <v>299</v>
      </c>
      <c r="BQ23" s="38">
        <v>1</v>
      </c>
      <c r="BR23" s="39" t="s">
        <v>588</v>
      </c>
      <c r="BS23" s="39" t="s">
        <v>294</v>
      </c>
      <c r="BT23" s="39" t="s">
        <v>297</v>
      </c>
      <c r="BU23" s="38">
        <v>0</v>
      </c>
      <c r="BV23" s="39"/>
      <c r="BW23" s="39"/>
      <c r="BX23" s="39" t="s">
        <v>288</v>
      </c>
      <c r="BY23" s="39" t="s">
        <v>302</v>
      </c>
      <c r="BZ23" s="38">
        <v>0</v>
      </c>
      <c r="CA23" s="39"/>
      <c r="CB23" s="39"/>
      <c r="CC23" s="38">
        <v>0</v>
      </c>
      <c r="CD23" s="39"/>
      <c r="CE23" s="39" t="s">
        <v>299</v>
      </c>
      <c r="CF23" s="38">
        <v>1</v>
      </c>
      <c r="CG23" s="39" t="s">
        <v>359</v>
      </c>
      <c r="CH23" s="39"/>
      <c r="CI23" s="39" t="s">
        <v>303</v>
      </c>
      <c r="CJ23" s="39" t="s">
        <v>297</v>
      </c>
      <c r="CK23" s="38">
        <v>0</v>
      </c>
      <c r="CL23" s="39"/>
      <c r="CM23" s="39"/>
      <c r="CN23" s="39" t="s">
        <v>305</v>
      </c>
      <c r="CO23" s="39" t="s">
        <v>302</v>
      </c>
      <c r="CP23" s="38">
        <v>0</v>
      </c>
      <c r="CQ23" s="39"/>
      <c r="CR23" s="39"/>
      <c r="CS23" s="38">
        <v>0</v>
      </c>
      <c r="CT23" s="39"/>
      <c r="CU23" s="39" t="s">
        <v>328</v>
      </c>
      <c r="CV23" s="94">
        <f t="shared" si="0"/>
        <v>0</v>
      </c>
      <c r="CW23" s="38">
        <v>1</v>
      </c>
      <c r="CX23" s="39" t="s">
        <v>372</v>
      </c>
      <c r="CY23" s="39"/>
      <c r="CZ23" s="39" t="s">
        <v>294</v>
      </c>
      <c r="DA23" s="39" t="s">
        <v>302</v>
      </c>
      <c r="DB23" s="38">
        <v>0</v>
      </c>
      <c r="DC23" s="39"/>
      <c r="DD23" s="39"/>
      <c r="DE23" s="39" t="s">
        <v>288</v>
      </c>
      <c r="DF23" s="39" t="s">
        <v>302</v>
      </c>
      <c r="DG23" s="38">
        <v>0</v>
      </c>
      <c r="DH23" s="39"/>
      <c r="DI23" s="39"/>
      <c r="DJ23" s="38">
        <v>0</v>
      </c>
      <c r="DK23" s="39"/>
      <c r="DL23" s="39" t="s">
        <v>328</v>
      </c>
      <c r="DM23" s="38">
        <v>1</v>
      </c>
      <c r="DN23" s="39" t="s">
        <v>696</v>
      </c>
      <c r="DO23" s="39"/>
      <c r="DP23" s="39" t="s">
        <v>303</v>
      </c>
      <c r="DQ23" s="39" t="s">
        <v>331</v>
      </c>
      <c r="DR23" s="38">
        <v>0</v>
      </c>
      <c r="DS23" s="39"/>
      <c r="DT23" s="39"/>
      <c r="DU23" s="39" t="s">
        <v>298</v>
      </c>
      <c r="DV23" s="39" t="s">
        <v>331</v>
      </c>
      <c r="DW23" s="38">
        <v>0</v>
      </c>
      <c r="DX23" s="39"/>
      <c r="DY23" s="39"/>
      <c r="DZ23" s="39" t="s">
        <v>704</v>
      </c>
      <c r="EA23" s="39"/>
      <c r="EB23" s="39" t="s">
        <v>299</v>
      </c>
      <c r="EC23" s="38">
        <v>1</v>
      </c>
      <c r="ED23" s="39" t="s">
        <v>705</v>
      </c>
      <c r="EE23" s="39" t="s">
        <v>294</v>
      </c>
      <c r="EF23" s="39" t="s">
        <v>331</v>
      </c>
      <c r="EG23" s="38">
        <v>0</v>
      </c>
      <c r="EH23" s="39"/>
      <c r="EI23" s="39"/>
      <c r="EJ23" s="39" t="s">
        <v>305</v>
      </c>
      <c r="EK23" s="39" t="s">
        <v>331</v>
      </c>
      <c r="EL23" s="38">
        <v>0</v>
      </c>
      <c r="EM23" s="39"/>
      <c r="EN23" s="39"/>
      <c r="EO23" s="39"/>
      <c r="EP23" s="38">
        <v>1</v>
      </c>
      <c r="EQ23" s="39" t="s">
        <v>703</v>
      </c>
      <c r="ER23" s="39" t="s">
        <v>328</v>
      </c>
      <c r="ES23" s="38">
        <v>0</v>
      </c>
      <c r="ET23" s="39"/>
      <c r="EU23" s="39"/>
      <c r="EV23" s="39"/>
      <c r="EW23" s="39"/>
      <c r="EX23" s="39" t="s">
        <v>358</v>
      </c>
      <c r="EY23" s="39" t="s">
        <v>706</v>
      </c>
      <c r="EZ23" s="39" t="s">
        <v>707</v>
      </c>
      <c r="FA23" s="39" t="s">
        <v>708</v>
      </c>
      <c r="FB23" s="38">
        <v>0</v>
      </c>
      <c r="FC23" s="39"/>
      <c r="FD23" s="39"/>
      <c r="FE23" s="39"/>
      <c r="FG23" s="39" t="s">
        <v>317</v>
      </c>
      <c r="FH23" s="39" t="s">
        <v>709</v>
      </c>
      <c r="FI23" s="39"/>
      <c r="FJ23" s="38">
        <v>-1</v>
      </c>
      <c r="FK23" s="38">
        <v>-1</v>
      </c>
      <c r="FL23" s="38">
        <v>-1</v>
      </c>
      <c r="FM23" s="38">
        <v>-1</v>
      </c>
      <c r="FN23" s="38">
        <v>-1</v>
      </c>
      <c r="FO23" s="38">
        <v>-1</v>
      </c>
      <c r="FP23" s="38">
        <v>-1</v>
      </c>
      <c r="FQ23" s="38">
        <v>-1</v>
      </c>
      <c r="FR23" s="38">
        <v>-1</v>
      </c>
      <c r="FS23" s="38">
        <v>-1</v>
      </c>
      <c r="FT23" s="38">
        <v>-1</v>
      </c>
      <c r="FU23" s="38">
        <v>-1</v>
      </c>
      <c r="FV23" s="38">
        <v>-1</v>
      </c>
      <c r="FW23" s="38">
        <v>-1</v>
      </c>
      <c r="FX23" s="38">
        <v>-1</v>
      </c>
      <c r="FY23" s="38">
        <v>-15</v>
      </c>
      <c r="FZ23" s="41"/>
      <c r="GA23" s="41"/>
      <c r="GB23" s="39" t="s">
        <v>319</v>
      </c>
      <c r="GC23" s="39" t="s">
        <v>320</v>
      </c>
      <c r="GD23" s="39" t="s">
        <v>277</v>
      </c>
      <c r="GE23" s="38">
        <v>15</v>
      </c>
      <c r="GF23" s="38">
        <v>15</v>
      </c>
      <c r="GG23" s="38">
        <v>30</v>
      </c>
      <c r="GH23" s="38">
        <v>7</v>
      </c>
      <c r="GI23" s="42"/>
    </row>
    <row r="24" spans="1:191" s="49" customFormat="1" x14ac:dyDescent="0.25">
      <c r="A24" s="65">
        <v>242</v>
      </c>
      <c r="B24" s="61" t="s">
        <v>321</v>
      </c>
      <c r="C24" s="61" t="s">
        <v>353</v>
      </c>
      <c r="D24" s="61" t="s">
        <v>377</v>
      </c>
      <c r="E24" s="61" t="s">
        <v>281</v>
      </c>
      <c r="F24" s="61" t="s">
        <v>281</v>
      </c>
      <c r="G24" s="61" t="s">
        <v>282</v>
      </c>
      <c r="H24" s="61" t="s">
        <v>282</v>
      </c>
      <c r="I24" s="61" t="s">
        <v>282</v>
      </c>
      <c r="J24" s="61" t="s">
        <v>281</v>
      </c>
      <c r="K24" s="61" t="s">
        <v>282</v>
      </c>
      <c r="L24" s="61" t="s">
        <v>282</v>
      </c>
      <c r="M24" s="61" t="s">
        <v>282</v>
      </c>
      <c r="N24" s="65">
        <v>0</v>
      </c>
      <c r="O24" s="61"/>
      <c r="P24" s="61"/>
      <c r="Q24" s="61" t="s">
        <v>355</v>
      </c>
      <c r="R24" s="61"/>
      <c r="S24" s="61"/>
      <c r="T24" s="61" t="s">
        <v>322</v>
      </c>
      <c r="U24" s="61"/>
      <c r="V24" s="61" t="s">
        <v>346</v>
      </c>
      <c r="W24" s="65">
        <v>1</v>
      </c>
      <c r="X24" s="61" t="s">
        <v>453</v>
      </c>
      <c r="Y24" s="61"/>
      <c r="Z24" s="61" t="s">
        <v>303</v>
      </c>
      <c r="AA24" s="61" t="s">
        <v>331</v>
      </c>
      <c r="AB24" s="65">
        <v>0</v>
      </c>
      <c r="AC24" s="61"/>
      <c r="AD24" s="61"/>
      <c r="AE24" s="61" t="s">
        <v>305</v>
      </c>
      <c r="AF24" s="61" t="s">
        <v>331</v>
      </c>
      <c r="AG24" s="65">
        <v>0</v>
      </c>
      <c r="AI24" s="61"/>
      <c r="AJ24" s="65">
        <v>0</v>
      </c>
      <c r="AK24" s="61"/>
      <c r="AL24" s="61"/>
      <c r="AM24" s="61" t="s">
        <v>292</v>
      </c>
      <c r="AN24" s="65">
        <v>1</v>
      </c>
      <c r="AO24" s="61" t="s">
        <v>722</v>
      </c>
      <c r="AP24" s="61"/>
      <c r="AQ24" s="61" t="s">
        <v>301</v>
      </c>
      <c r="AR24" s="61" t="s">
        <v>287</v>
      </c>
      <c r="AS24" s="65">
        <v>0</v>
      </c>
      <c r="AT24" s="61"/>
      <c r="AU24" s="61"/>
      <c r="AV24" s="61" t="s">
        <v>324</v>
      </c>
      <c r="AW24" s="61" t="s">
        <v>302</v>
      </c>
      <c r="AX24" s="65">
        <v>0</v>
      </c>
      <c r="AY24" s="61"/>
      <c r="AZ24" s="61"/>
      <c r="BA24" s="65">
        <v>1</v>
      </c>
      <c r="BB24" s="61" t="s">
        <v>723</v>
      </c>
      <c r="BC24" s="61" t="s">
        <v>292</v>
      </c>
      <c r="BD24" s="61" t="s">
        <v>294</v>
      </c>
      <c r="BE24" s="61" t="s">
        <v>297</v>
      </c>
      <c r="BF24" s="65">
        <v>0</v>
      </c>
      <c r="BG24" s="61"/>
      <c r="BH24" s="61"/>
      <c r="BI24" s="61" t="s">
        <v>324</v>
      </c>
      <c r="BJ24" s="61" t="s">
        <v>302</v>
      </c>
      <c r="BK24" s="65">
        <v>0</v>
      </c>
      <c r="BL24" s="61"/>
      <c r="BM24" s="61"/>
      <c r="BN24" s="65">
        <v>0</v>
      </c>
      <c r="BO24" s="61"/>
      <c r="BP24" s="61" t="s">
        <v>296</v>
      </c>
      <c r="BQ24" s="65">
        <v>1</v>
      </c>
      <c r="BR24" s="61" t="s">
        <v>588</v>
      </c>
      <c r="BS24" s="61" t="s">
        <v>294</v>
      </c>
      <c r="BT24" s="61" t="s">
        <v>297</v>
      </c>
      <c r="BU24" s="65">
        <v>0</v>
      </c>
      <c r="BV24" s="61"/>
      <c r="BW24" s="61"/>
      <c r="BX24" s="61" t="s">
        <v>288</v>
      </c>
      <c r="BY24" s="61" t="s">
        <v>297</v>
      </c>
      <c r="BZ24" s="65">
        <v>0</v>
      </c>
      <c r="CA24" s="61"/>
      <c r="CB24" s="61"/>
      <c r="CC24" s="65">
        <v>0</v>
      </c>
      <c r="CD24" s="61"/>
      <c r="CE24" s="61" t="s">
        <v>299</v>
      </c>
      <c r="CF24" s="65">
        <v>1</v>
      </c>
      <c r="CG24" s="61" t="s">
        <v>359</v>
      </c>
      <c r="CH24" s="61"/>
      <c r="CI24" s="61" t="s">
        <v>303</v>
      </c>
      <c r="CJ24" s="61" t="s">
        <v>297</v>
      </c>
      <c r="CK24" s="65">
        <v>0</v>
      </c>
      <c r="CL24" s="61"/>
      <c r="CM24" s="61"/>
      <c r="CN24" s="61" t="s">
        <v>305</v>
      </c>
      <c r="CO24" s="61" t="s">
        <v>297</v>
      </c>
      <c r="CP24" s="65">
        <v>0</v>
      </c>
      <c r="CQ24" s="61"/>
      <c r="CR24" s="61"/>
      <c r="CS24" s="65">
        <v>0</v>
      </c>
      <c r="CT24" s="61"/>
      <c r="CU24" s="61" t="s">
        <v>299</v>
      </c>
      <c r="CV24" s="94">
        <f t="shared" si="0"/>
        <v>1</v>
      </c>
      <c r="CW24" s="65">
        <v>1</v>
      </c>
      <c r="CX24" s="61" t="s">
        <v>372</v>
      </c>
      <c r="CY24" s="61"/>
      <c r="CZ24" s="61" t="s">
        <v>303</v>
      </c>
      <c r="DA24" s="61" t="s">
        <v>302</v>
      </c>
      <c r="DB24" s="65">
        <v>0</v>
      </c>
      <c r="DC24" s="61"/>
      <c r="DD24" s="61"/>
      <c r="DE24" s="61" t="s">
        <v>288</v>
      </c>
      <c r="DF24" s="61" t="s">
        <v>302</v>
      </c>
      <c r="DG24" s="65">
        <v>0</v>
      </c>
      <c r="DH24" s="61"/>
      <c r="DI24" s="61"/>
      <c r="DJ24" s="65">
        <v>0</v>
      </c>
      <c r="DK24" s="61"/>
      <c r="DL24" s="61" t="s">
        <v>299</v>
      </c>
      <c r="DM24" s="65">
        <v>1</v>
      </c>
      <c r="DN24" s="61" t="s">
        <v>724</v>
      </c>
      <c r="DO24" s="61"/>
      <c r="DP24" s="61" t="s">
        <v>303</v>
      </c>
      <c r="DQ24" s="61" t="s">
        <v>331</v>
      </c>
      <c r="DR24" s="65">
        <v>0</v>
      </c>
      <c r="DS24" s="61"/>
      <c r="DT24" s="61"/>
      <c r="DU24" s="61" t="s">
        <v>298</v>
      </c>
      <c r="DV24" s="61" t="s">
        <v>331</v>
      </c>
      <c r="DW24" s="65">
        <v>0</v>
      </c>
      <c r="DX24" s="61"/>
      <c r="DY24" s="61"/>
      <c r="DZ24" s="61" t="s">
        <v>725</v>
      </c>
      <c r="EA24" s="61"/>
      <c r="EB24" s="61" t="s">
        <v>328</v>
      </c>
      <c r="EC24" s="65">
        <v>1</v>
      </c>
      <c r="ED24" s="61" t="s">
        <v>726</v>
      </c>
      <c r="EE24" s="61" t="s">
        <v>303</v>
      </c>
      <c r="EF24" s="61" t="s">
        <v>331</v>
      </c>
      <c r="EG24" s="65">
        <v>0</v>
      </c>
      <c r="EH24" s="61"/>
      <c r="EI24" s="61"/>
      <c r="EJ24" s="61" t="s">
        <v>305</v>
      </c>
      <c r="EK24" s="61" t="s">
        <v>331</v>
      </c>
      <c r="EL24" s="65">
        <v>0</v>
      </c>
      <c r="EM24" s="61"/>
      <c r="EN24" s="61"/>
      <c r="EO24" s="61" t="s">
        <v>727</v>
      </c>
      <c r="EP24" s="65">
        <v>0</v>
      </c>
      <c r="EQ24" s="61"/>
      <c r="ER24" s="61" t="s">
        <v>328</v>
      </c>
      <c r="ES24" s="65">
        <v>0</v>
      </c>
      <c r="ET24" s="61"/>
      <c r="EU24" s="61"/>
      <c r="EV24" s="61"/>
      <c r="EW24" s="61"/>
      <c r="EX24" s="61" t="s">
        <v>358</v>
      </c>
      <c r="EY24" s="61" t="s">
        <v>728</v>
      </c>
      <c r="EZ24" s="61" t="s">
        <v>729</v>
      </c>
      <c r="FA24" s="61" t="s">
        <v>730</v>
      </c>
      <c r="FB24" s="65">
        <v>2</v>
      </c>
      <c r="FC24" s="61" t="s">
        <v>731</v>
      </c>
      <c r="FD24" s="61" t="s">
        <v>732</v>
      </c>
      <c r="FE24" s="61"/>
      <c r="FG24" s="61" t="s">
        <v>317</v>
      </c>
      <c r="FH24" s="61" t="s">
        <v>733</v>
      </c>
      <c r="FI24" s="61"/>
      <c r="FJ24" s="65">
        <v>-1</v>
      </c>
      <c r="FK24" s="65">
        <v>-1</v>
      </c>
      <c r="FL24" s="65">
        <v>-1</v>
      </c>
      <c r="FM24" s="65">
        <v>-1</v>
      </c>
      <c r="FN24" s="65">
        <v>-1</v>
      </c>
      <c r="FO24" s="65">
        <v>-1</v>
      </c>
      <c r="FP24" s="65">
        <v>-1</v>
      </c>
      <c r="FQ24" s="65">
        <v>-1</v>
      </c>
      <c r="FR24" s="65">
        <v>-1</v>
      </c>
      <c r="FS24" s="65">
        <v>-1</v>
      </c>
      <c r="FT24" s="65">
        <v>-1</v>
      </c>
      <c r="FU24" s="65">
        <v>-1</v>
      </c>
      <c r="FV24" s="65">
        <v>-1</v>
      </c>
      <c r="FW24" s="65">
        <v>-1</v>
      </c>
      <c r="FX24" s="65">
        <v>-1</v>
      </c>
      <c r="FY24" s="65">
        <v>-15</v>
      </c>
      <c r="FZ24" s="66"/>
      <c r="GA24" s="66"/>
      <c r="GB24" s="61" t="s">
        <v>319</v>
      </c>
      <c r="GC24" s="61" t="s">
        <v>320</v>
      </c>
      <c r="GD24" s="61" t="s">
        <v>277</v>
      </c>
      <c r="GE24" s="65">
        <v>15</v>
      </c>
      <c r="GF24" s="65">
        <v>15</v>
      </c>
      <c r="GG24" s="65">
        <v>29</v>
      </c>
      <c r="GH24" s="65">
        <v>6</v>
      </c>
      <c r="GI24" s="67"/>
    </row>
    <row r="25" spans="1:191" s="62" customFormat="1" ht="13.8" thickBot="1" x14ac:dyDescent="0.3">
      <c r="A25" s="59">
        <v>246</v>
      </c>
      <c r="B25" s="60" t="s">
        <v>321</v>
      </c>
      <c r="C25" s="60" t="s">
        <v>279</v>
      </c>
      <c r="D25" s="60" t="s">
        <v>377</v>
      </c>
      <c r="E25" s="60" t="s">
        <v>281</v>
      </c>
      <c r="F25" s="60" t="s">
        <v>281</v>
      </c>
      <c r="G25" s="60" t="s">
        <v>282</v>
      </c>
      <c r="H25" s="60" t="s">
        <v>282</v>
      </c>
      <c r="I25" s="60" t="s">
        <v>282</v>
      </c>
      <c r="J25" s="60" t="s">
        <v>281</v>
      </c>
      <c r="K25" s="60" t="s">
        <v>282</v>
      </c>
      <c r="L25" s="60" t="s">
        <v>282</v>
      </c>
      <c r="M25" s="60" t="s">
        <v>282</v>
      </c>
      <c r="N25" s="59">
        <v>0</v>
      </c>
      <c r="O25" s="60"/>
      <c r="P25" s="60"/>
      <c r="Q25" s="60" t="s">
        <v>355</v>
      </c>
      <c r="R25" s="60"/>
      <c r="S25" s="60"/>
      <c r="T25" s="60" t="s">
        <v>322</v>
      </c>
      <c r="U25" s="60"/>
      <c r="V25" s="60" t="s">
        <v>346</v>
      </c>
      <c r="W25" s="59">
        <v>1</v>
      </c>
      <c r="X25" s="60" t="s">
        <v>734</v>
      </c>
      <c r="Y25" s="60"/>
      <c r="Z25" s="60" t="s">
        <v>303</v>
      </c>
      <c r="AA25" s="60" t="s">
        <v>331</v>
      </c>
      <c r="AB25" s="59">
        <v>0</v>
      </c>
      <c r="AC25" s="60"/>
      <c r="AD25" s="60"/>
      <c r="AE25" s="60" t="s">
        <v>298</v>
      </c>
      <c r="AF25" s="60" t="s">
        <v>331</v>
      </c>
      <c r="AG25" s="59">
        <v>0</v>
      </c>
      <c r="AH25" s="60"/>
      <c r="AI25" s="60"/>
      <c r="AJ25" s="59">
        <v>0</v>
      </c>
      <c r="AK25" s="60"/>
      <c r="AL25" s="60"/>
      <c r="AM25" s="60" t="s">
        <v>299</v>
      </c>
      <c r="AN25" s="59">
        <v>1</v>
      </c>
      <c r="AO25" s="60" t="s">
        <v>385</v>
      </c>
      <c r="AP25" s="60"/>
      <c r="AQ25" s="60" t="s">
        <v>294</v>
      </c>
      <c r="AR25" s="60" t="s">
        <v>287</v>
      </c>
      <c r="AS25" s="59">
        <v>0</v>
      </c>
      <c r="AT25" s="60"/>
      <c r="AU25" s="60"/>
      <c r="AV25" s="60" t="s">
        <v>288</v>
      </c>
      <c r="AW25" s="60" t="s">
        <v>302</v>
      </c>
      <c r="AX25" s="59">
        <v>0</v>
      </c>
      <c r="AY25" s="60"/>
      <c r="AZ25" s="60"/>
      <c r="BA25" s="59">
        <v>0</v>
      </c>
      <c r="BB25" s="60"/>
      <c r="BC25" s="60" t="s">
        <v>299</v>
      </c>
      <c r="BD25" s="60" t="s">
        <v>294</v>
      </c>
      <c r="BE25" s="60" t="s">
        <v>297</v>
      </c>
      <c r="BF25" s="59">
        <v>0</v>
      </c>
      <c r="BG25" s="60"/>
      <c r="BH25" s="60"/>
      <c r="BI25" s="60" t="s">
        <v>288</v>
      </c>
      <c r="BJ25" s="60" t="s">
        <v>302</v>
      </c>
      <c r="BK25" s="59">
        <v>0</v>
      </c>
      <c r="BL25" s="60"/>
      <c r="BM25" s="60"/>
      <c r="BN25" s="59">
        <v>0</v>
      </c>
      <c r="BO25" s="60"/>
      <c r="BP25" s="60" t="s">
        <v>299</v>
      </c>
      <c r="BQ25" s="59">
        <v>1</v>
      </c>
      <c r="BR25" s="60" t="s">
        <v>369</v>
      </c>
      <c r="BS25" s="60" t="s">
        <v>294</v>
      </c>
      <c r="BT25" s="60" t="s">
        <v>297</v>
      </c>
      <c r="BU25" s="59">
        <v>0</v>
      </c>
      <c r="BV25" s="60"/>
      <c r="BW25" s="60"/>
      <c r="BX25" s="60" t="s">
        <v>288</v>
      </c>
      <c r="BY25" s="60" t="s">
        <v>302</v>
      </c>
      <c r="BZ25" s="59">
        <v>0</v>
      </c>
      <c r="CA25" s="60"/>
      <c r="CB25" s="60"/>
      <c r="CC25" s="59">
        <v>0</v>
      </c>
      <c r="CD25" s="60"/>
      <c r="CE25" s="60" t="s">
        <v>299</v>
      </c>
      <c r="CF25" s="59">
        <v>1</v>
      </c>
      <c r="CG25" s="60" t="s">
        <v>359</v>
      </c>
      <c r="CH25" s="60"/>
      <c r="CI25" s="60" t="s">
        <v>294</v>
      </c>
      <c r="CJ25" s="60" t="s">
        <v>297</v>
      </c>
      <c r="CK25" s="59">
        <v>0</v>
      </c>
      <c r="CL25" s="60"/>
      <c r="CM25" s="60"/>
      <c r="CN25" s="60" t="s">
        <v>305</v>
      </c>
      <c r="CO25" s="60" t="s">
        <v>302</v>
      </c>
      <c r="CP25" s="59">
        <v>0</v>
      </c>
      <c r="CQ25" s="60"/>
      <c r="CR25" s="60"/>
      <c r="CS25" s="59">
        <v>0</v>
      </c>
      <c r="CT25" s="60"/>
      <c r="CU25" s="60" t="s">
        <v>299</v>
      </c>
      <c r="CV25" s="95">
        <f t="shared" si="0"/>
        <v>1</v>
      </c>
      <c r="CW25" s="59">
        <v>1</v>
      </c>
      <c r="CX25" s="60" t="s">
        <v>372</v>
      </c>
      <c r="CY25" s="60"/>
      <c r="CZ25" s="60" t="s">
        <v>294</v>
      </c>
      <c r="DA25" s="60" t="s">
        <v>302</v>
      </c>
      <c r="DB25" s="59">
        <v>0</v>
      </c>
      <c r="DC25" s="60"/>
      <c r="DD25" s="60"/>
      <c r="DE25" s="60" t="s">
        <v>288</v>
      </c>
      <c r="DF25" s="60" t="s">
        <v>302</v>
      </c>
      <c r="DG25" s="59">
        <v>0</v>
      </c>
      <c r="DH25" s="60"/>
      <c r="DI25" s="60"/>
      <c r="DJ25" s="59">
        <v>0</v>
      </c>
      <c r="DK25" s="60"/>
      <c r="DL25" s="60" t="s">
        <v>299</v>
      </c>
      <c r="DM25" s="59">
        <v>1</v>
      </c>
      <c r="DN25" s="60" t="s">
        <v>308</v>
      </c>
      <c r="DO25" s="60"/>
      <c r="DP25" s="60" t="s">
        <v>303</v>
      </c>
      <c r="DQ25" s="60" t="s">
        <v>331</v>
      </c>
      <c r="DR25" s="59">
        <v>0</v>
      </c>
      <c r="DS25" s="60"/>
      <c r="DT25" s="60"/>
      <c r="DU25" s="60" t="s">
        <v>298</v>
      </c>
      <c r="DV25" s="60" t="s">
        <v>331</v>
      </c>
      <c r="DW25" s="59">
        <v>0</v>
      </c>
      <c r="DX25" s="60"/>
      <c r="DY25" s="60"/>
      <c r="DZ25" s="60" t="s">
        <v>735</v>
      </c>
      <c r="EA25" s="60"/>
      <c r="EB25" s="60" t="s">
        <v>299</v>
      </c>
      <c r="EC25" s="59">
        <v>1</v>
      </c>
      <c r="ED25" s="60" t="s">
        <v>705</v>
      </c>
      <c r="EE25" s="60" t="s">
        <v>303</v>
      </c>
      <c r="EF25" s="60" t="s">
        <v>331</v>
      </c>
      <c r="EG25" s="59">
        <v>0</v>
      </c>
      <c r="EH25" s="60"/>
      <c r="EI25" s="60"/>
      <c r="EJ25" s="60" t="s">
        <v>298</v>
      </c>
      <c r="EK25" s="60" t="s">
        <v>331</v>
      </c>
      <c r="EL25" s="59">
        <v>0</v>
      </c>
      <c r="EM25" s="60"/>
      <c r="EN25" s="60"/>
      <c r="EO25" s="60" t="s">
        <v>736</v>
      </c>
      <c r="EP25" s="59">
        <v>0</v>
      </c>
      <c r="EQ25" s="60"/>
      <c r="ER25" s="60" t="s">
        <v>299</v>
      </c>
      <c r="ES25" s="59">
        <v>0</v>
      </c>
      <c r="ET25" s="60"/>
      <c r="EU25" s="60"/>
      <c r="EV25" s="60"/>
      <c r="EW25" s="60"/>
      <c r="EX25" s="60" t="s">
        <v>370</v>
      </c>
      <c r="EY25" s="60" t="s">
        <v>737</v>
      </c>
      <c r="EZ25" s="60"/>
      <c r="FA25" s="60"/>
      <c r="FB25" s="59">
        <v>0</v>
      </c>
      <c r="FC25" s="60"/>
      <c r="FD25" s="60"/>
      <c r="FE25" s="60"/>
      <c r="FG25" s="60" t="s">
        <v>317</v>
      </c>
      <c r="FH25" s="60"/>
      <c r="FI25" s="60"/>
      <c r="FJ25" s="59">
        <v>-1</v>
      </c>
      <c r="FK25" s="59">
        <v>-1</v>
      </c>
      <c r="FL25" s="59">
        <v>-1</v>
      </c>
      <c r="FM25" s="59">
        <v>-1</v>
      </c>
      <c r="FN25" s="59">
        <v>-1</v>
      </c>
      <c r="FO25" s="59">
        <v>-1</v>
      </c>
      <c r="FP25" s="59">
        <v>-1</v>
      </c>
      <c r="FQ25" s="59">
        <v>-1</v>
      </c>
      <c r="FR25" s="59">
        <v>-1</v>
      </c>
      <c r="FS25" s="59">
        <v>-1</v>
      </c>
      <c r="FT25" s="59">
        <v>-1</v>
      </c>
      <c r="FU25" s="59">
        <v>-1</v>
      </c>
      <c r="FV25" s="59">
        <v>-1</v>
      </c>
      <c r="FW25" s="59">
        <v>-1</v>
      </c>
      <c r="FX25" s="59">
        <v>-1</v>
      </c>
      <c r="FY25" s="59">
        <v>-15</v>
      </c>
      <c r="FZ25" s="63"/>
      <c r="GA25" s="63"/>
      <c r="GB25" s="60" t="s">
        <v>319</v>
      </c>
      <c r="GC25" s="60" t="s">
        <v>320</v>
      </c>
      <c r="GD25" s="60" t="s">
        <v>277</v>
      </c>
      <c r="GE25" s="59">
        <v>15</v>
      </c>
      <c r="GF25" s="59">
        <v>15</v>
      </c>
      <c r="GG25" s="59">
        <v>35</v>
      </c>
      <c r="GH25" s="59">
        <v>9</v>
      </c>
      <c r="GI25" s="64"/>
    </row>
    <row r="26" spans="1:191" s="40" customFormat="1" x14ac:dyDescent="0.25">
      <c r="A26" s="38">
        <v>149</v>
      </c>
      <c r="B26" s="39" t="s">
        <v>421</v>
      </c>
      <c r="C26" s="39" t="s">
        <v>353</v>
      </c>
      <c r="D26" s="39" t="s">
        <v>422</v>
      </c>
      <c r="E26" s="39" t="s">
        <v>282</v>
      </c>
      <c r="F26" s="39" t="s">
        <v>281</v>
      </c>
      <c r="G26" s="39" t="s">
        <v>282</v>
      </c>
      <c r="H26" s="39" t="s">
        <v>282</v>
      </c>
      <c r="I26" s="39" t="s">
        <v>282</v>
      </c>
      <c r="J26" s="39" t="s">
        <v>281</v>
      </c>
      <c r="K26" s="39" t="s">
        <v>282</v>
      </c>
      <c r="L26" s="39" t="s">
        <v>282</v>
      </c>
      <c r="M26" s="39" t="s">
        <v>282</v>
      </c>
      <c r="N26" s="38">
        <v>0</v>
      </c>
      <c r="O26" s="39"/>
      <c r="P26" s="39"/>
      <c r="Q26" s="39" t="s">
        <v>423</v>
      </c>
      <c r="R26" s="39"/>
      <c r="S26" s="39"/>
      <c r="T26" s="39"/>
      <c r="U26" s="40" t="s">
        <v>424</v>
      </c>
      <c r="V26" s="39" t="s">
        <v>425</v>
      </c>
      <c r="W26" s="38"/>
      <c r="X26" s="39"/>
      <c r="Y26" s="39"/>
      <c r="Z26" s="39"/>
      <c r="AA26" s="39"/>
      <c r="AB26" s="38"/>
      <c r="AC26" s="39"/>
      <c r="AD26" s="39"/>
      <c r="AE26" s="39"/>
      <c r="AF26" s="39"/>
      <c r="AG26" s="38"/>
      <c r="AH26" s="39"/>
      <c r="AI26" s="39"/>
      <c r="AJ26" s="38"/>
      <c r="AK26" s="39"/>
      <c r="AL26" s="39"/>
      <c r="AM26" s="39"/>
      <c r="AN26" s="38"/>
      <c r="AO26" s="39"/>
      <c r="AP26" s="39"/>
      <c r="AQ26" s="39"/>
      <c r="AR26" s="39"/>
      <c r="AS26" s="38"/>
      <c r="AT26" s="39"/>
      <c r="AU26" s="39"/>
      <c r="AV26" s="39"/>
      <c r="AW26" s="39"/>
      <c r="AX26" s="38"/>
      <c r="AY26" s="39"/>
      <c r="AZ26" s="39"/>
      <c r="BA26" s="38"/>
      <c r="BB26" s="39"/>
      <c r="BC26" s="39"/>
      <c r="BD26" s="39"/>
      <c r="BE26" s="39"/>
      <c r="BF26" s="38"/>
      <c r="BG26" s="39"/>
      <c r="BH26" s="39"/>
      <c r="BI26" s="39"/>
      <c r="BJ26" s="39"/>
      <c r="BK26" s="38"/>
      <c r="BL26" s="39"/>
      <c r="BM26" s="39"/>
      <c r="BN26" s="38"/>
      <c r="BO26" s="39"/>
      <c r="BP26" s="39"/>
      <c r="BQ26" s="38"/>
      <c r="BR26" s="39"/>
      <c r="BS26" s="39"/>
      <c r="BT26" s="39"/>
      <c r="BU26" s="38"/>
      <c r="BV26" s="39"/>
      <c r="BW26" s="39"/>
      <c r="BX26" s="39"/>
      <c r="BY26" s="39"/>
      <c r="BZ26" s="38"/>
      <c r="CA26" s="39"/>
      <c r="CB26" s="39"/>
      <c r="CC26" s="38"/>
      <c r="CD26" s="39"/>
      <c r="CE26" s="39"/>
      <c r="CF26" s="38"/>
      <c r="CG26" s="39"/>
      <c r="CH26" s="39"/>
      <c r="CI26" s="39"/>
      <c r="CJ26" s="39"/>
      <c r="CK26" s="38"/>
      <c r="CL26" s="39"/>
      <c r="CM26" s="39"/>
      <c r="CN26" s="39"/>
      <c r="CO26" s="39"/>
      <c r="CP26" s="38"/>
      <c r="CQ26" s="39"/>
      <c r="CR26" s="39"/>
      <c r="CS26" s="38"/>
      <c r="CT26" s="39"/>
      <c r="CU26" s="39"/>
      <c r="CV26" s="36"/>
      <c r="CW26" s="38"/>
      <c r="CX26" s="39"/>
      <c r="CY26" s="39"/>
      <c r="CZ26" s="39"/>
      <c r="DA26" s="39"/>
      <c r="DB26" s="38"/>
      <c r="DC26" s="39"/>
      <c r="DD26" s="39"/>
      <c r="DE26" s="39"/>
      <c r="DF26" s="39"/>
      <c r="DG26" s="38"/>
      <c r="DH26" s="39"/>
      <c r="DI26" s="39"/>
      <c r="DJ26" s="38"/>
      <c r="DK26" s="39"/>
      <c r="DL26" s="39"/>
      <c r="DM26" s="38"/>
      <c r="DN26" s="39"/>
      <c r="DO26" s="39"/>
      <c r="DP26" s="39"/>
      <c r="DQ26" s="39"/>
      <c r="DR26" s="38"/>
      <c r="DS26" s="39"/>
      <c r="DT26" s="39"/>
      <c r="DU26" s="39"/>
      <c r="DV26" s="39"/>
      <c r="DW26" s="38"/>
      <c r="DX26" s="39"/>
      <c r="DY26" s="39"/>
      <c r="DZ26" s="39"/>
      <c r="EA26" s="39"/>
      <c r="EB26" s="39"/>
      <c r="EC26" s="38"/>
      <c r="ED26" s="39"/>
      <c r="EE26" s="39"/>
      <c r="EF26" s="39"/>
      <c r="EG26" s="38"/>
      <c r="EH26" s="39"/>
      <c r="EI26" s="39"/>
      <c r="EJ26" s="39"/>
      <c r="EK26" s="39"/>
      <c r="EL26" s="38"/>
      <c r="EM26" s="39"/>
      <c r="EN26" s="39"/>
      <c r="EO26" s="39"/>
      <c r="EP26" s="38"/>
      <c r="EQ26" s="39"/>
      <c r="ER26" s="39"/>
      <c r="ES26" s="38"/>
      <c r="ET26" s="39"/>
      <c r="EU26" s="39"/>
      <c r="EV26" s="39"/>
      <c r="EW26" s="39"/>
      <c r="EX26" s="39"/>
      <c r="EY26" s="39"/>
      <c r="EZ26" s="39"/>
      <c r="FA26" s="39"/>
      <c r="FB26" s="38"/>
      <c r="FC26" s="39"/>
      <c r="FD26" s="39"/>
      <c r="FE26" s="39"/>
      <c r="FG26" s="39"/>
      <c r="FH26" s="39"/>
      <c r="FI26" s="39"/>
      <c r="FJ26" s="38">
        <v>-1</v>
      </c>
      <c r="FK26" s="38">
        <v>-1</v>
      </c>
      <c r="FL26" s="38">
        <v>-1</v>
      </c>
      <c r="FM26" s="38">
        <v>-1</v>
      </c>
      <c r="FN26" s="38">
        <v>-1</v>
      </c>
      <c r="FO26" s="38"/>
      <c r="FP26" s="38"/>
      <c r="FQ26" s="38"/>
      <c r="FR26" s="38"/>
      <c r="FS26" s="38"/>
      <c r="FT26" s="38"/>
      <c r="FU26" s="38"/>
      <c r="FV26" s="38"/>
      <c r="FW26" s="38"/>
      <c r="FX26" s="38"/>
      <c r="FY26" s="38">
        <v>-5</v>
      </c>
      <c r="FZ26" s="41"/>
      <c r="GA26" s="41"/>
      <c r="GB26" s="39"/>
      <c r="GC26" s="39" t="s">
        <v>277</v>
      </c>
      <c r="GD26" s="39" t="s">
        <v>277</v>
      </c>
      <c r="GE26" s="38">
        <v>5</v>
      </c>
      <c r="GF26" s="38">
        <v>5</v>
      </c>
      <c r="GG26" s="38">
        <v>14</v>
      </c>
      <c r="GH26" s="38">
        <v>1</v>
      </c>
      <c r="GI26" s="42"/>
    </row>
    <row r="27" spans="1:191" s="40" customFormat="1" x14ac:dyDescent="0.25">
      <c r="A27" s="38">
        <v>150</v>
      </c>
      <c r="B27" s="39" t="s">
        <v>421</v>
      </c>
      <c r="C27" s="39" t="s">
        <v>353</v>
      </c>
      <c r="D27" s="39" t="s">
        <v>320</v>
      </c>
      <c r="E27" s="39" t="s">
        <v>282</v>
      </c>
      <c r="F27" s="39" t="s">
        <v>282</v>
      </c>
      <c r="G27" s="39" t="s">
        <v>282</v>
      </c>
      <c r="H27" s="39" t="s">
        <v>282</v>
      </c>
      <c r="I27" s="39" t="s">
        <v>282</v>
      </c>
      <c r="J27" s="39" t="s">
        <v>281</v>
      </c>
      <c r="K27" s="39" t="s">
        <v>282</v>
      </c>
      <c r="L27" s="39" t="s">
        <v>282</v>
      </c>
      <c r="M27" s="39" t="s">
        <v>282</v>
      </c>
      <c r="N27" s="38">
        <v>1</v>
      </c>
      <c r="O27" s="39" t="s">
        <v>302</v>
      </c>
      <c r="P27" s="39"/>
      <c r="Q27" s="39" t="s">
        <v>423</v>
      </c>
      <c r="R27" s="39"/>
      <c r="S27" s="39"/>
      <c r="T27" s="39"/>
      <c r="U27" s="40" t="s">
        <v>424</v>
      </c>
      <c r="V27" s="39" t="s">
        <v>346</v>
      </c>
      <c r="W27" s="38"/>
      <c r="X27" s="39"/>
      <c r="Y27" s="39"/>
      <c r="Z27" s="39"/>
      <c r="AA27" s="39"/>
      <c r="AB27" s="38"/>
      <c r="AC27" s="39"/>
      <c r="AD27" s="39"/>
      <c r="AE27" s="39"/>
      <c r="AF27" s="39"/>
      <c r="AG27" s="38"/>
      <c r="AH27" s="39"/>
      <c r="AI27" s="39"/>
      <c r="AJ27" s="38"/>
      <c r="AK27" s="39"/>
      <c r="AL27" s="39"/>
      <c r="AM27" s="39"/>
      <c r="AN27" s="38"/>
      <c r="AO27" s="39"/>
      <c r="AP27" s="39"/>
      <c r="AQ27" s="39"/>
      <c r="AR27" s="39"/>
      <c r="AS27" s="38"/>
      <c r="AT27" s="39"/>
      <c r="AU27" s="39"/>
      <c r="AV27" s="39"/>
      <c r="AW27" s="39"/>
      <c r="AX27" s="38"/>
      <c r="AY27" s="39"/>
      <c r="AZ27" s="39"/>
      <c r="BA27" s="38"/>
      <c r="BB27" s="39"/>
      <c r="BC27" s="39"/>
      <c r="BD27" s="39"/>
      <c r="BE27" s="39"/>
      <c r="BF27" s="38"/>
      <c r="BG27" s="39"/>
      <c r="BH27" s="39"/>
      <c r="BI27" s="39"/>
      <c r="BJ27" s="39"/>
      <c r="BK27" s="38"/>
      <c r="BL27" s="39"/>
      <c r="BM27" s="39"/>
      <c r="BN27" s="38"/>
      <c r="BO27" s="39"/>
      <c r="BP27" s="39"/>
      <c r="BQ27" s="38"/>
      <c r="BR27" s="39"/>
      <c r="BS27" s="39"/>
      <c r="BT27" s="39"/>
      <c r="BU27" s="38"/>
      <c r="BV27" s="39"/>
      <c r="BW27" s="39"/>
      <c r="BX27" s="39"/>
      <c r="BY27" s="39"/>
      <c r="BZ27" s="38"/>
      <c r="CA27" s="39"/>
      <c r="CB27" s="39"/>
      <c r="CC27" s="38"/>
      <c r="CD27" s="39"/>
      <c r="CE27" s="39"/>
      <c r="CF27" s="38"/>
      <c r="CG27" s="39"/>
      <c r="CH27" s="39"/>
      <c r="CI27" s="39"/>
      <c r="CJ27" s="39"/>
      <c r="CK27" s="38"/>
      <c r="CL27" s="39"/>
      <c r="CM27" s="39"/>
      <c r="CN27" s="39"/>
      <c r="CO27" s="39"/>
      <c r="CP27" s="38"/>
      <c r="CQ27" s="39"/>
      <c r="CR27" s="39"/>
      <c r="CS27" s="38"/>
      <c r="CT27" s="39"/>
      <c r="CU27" s="39"/>
      <c r="CV27" s="36"/>
      <c r="CW27" s="38"/>
      <c r="CX27" s="39"/>
      <c r="CY27" s="39"/>
      <c r="CZ27" s="39"/>
      <c r="DA27" s="39"/>
      <c r="DB27" s="38"/>
      <c r="DC27" s="39"/>
      <c r="DD27" s="39"/>
      <c r="DE27" s="39"/>
      <c r="DF27" s="39"/>
      <c r="DG27" s="38"/>
      <c r="DH27" s="39"/>
      <c r="DI27" s="39"/>
      <c r="DJ27" s="38"/>
      <c r="DK27" s="39"/>
      <c r="DL27" s="39"/>
      <c r="DM27" s="38"/>
      <c r="DN27" s="39"/>
      <c r="DO27" s="39"/>
      <c r="DP27" s="39"/>
      <c r="DQ27" s="39"/>
      <c r="DR27" s="38"/>
      <c r="DS27" s="39"/>
      <c r="DT27" s="39"/>
      <c r="DU27" s="39"/>
      <c r="DV27" s="39"/>
      <c r="DW27" s="38"/>
      <c r="DX27" s="39"/>
      <c r="DY27" s="39"/>
      <c r="DZ27" s="39"/>
      <c r="EA27" s="39"/>
      <c r="EB27" s="39"/>
      <c r="EC27" s="38"/>
      <c r="ED27" s="39"/>
      <c r="EE27" s="39"/>
      <c r="EF27" s="39"/>
      <c r="EG27" s="38"/>
      <c r="EH27" s="39"/>
      <c r="EI27" s="39"/>
      <c r="EJ27" s="39"/>
      <c r="EK27" s="39"/>
      <c r="EL27" s="38"/>
      <c r="EM27" s="39"/>
      <c r="EN27" s="39"/>
      <c r="EO27" s="39"/>
      <c r="EP27" s="38"/>
      <c r="EQ27" s="39"/>
      <c r="ER27" s="39"/>
      <c r="ES27" s="38"/>
      <c r="ET27" s="39"/>
      <c r="EU27" s="39"/>
      <c r="EV27" s="39"/>
      <c r="EW27" s="39"/>
      <c r="EX27" s="39"/>
      <c r="EY27" s="39"/>
      <c r="EZ27" s="39"/>
      <c r="FA27" s="39"/>
      <c r="FB27" s="38"/>
      <c r="FC27" s="39"/>
      <c r="FD27" s="39"/>
      <c r="FE27" s="39"/>
      <c r="FG27" s="39"/>
      <c r="FH27" s="39"/>
      <c r="FI27" s="39"/>
      <c r="FJ27" s="38">
        <v>-1</v>
      </c>
      <c r="FK27" s="38">
        <v>-1</v>
      </c>
      <c r="FL27" s="38">
        <v>-1</v>
      </c>
      <c r="FM27" s="38">
        <v>-1</v>
      </c>
      <c r="FN27" s="38">
        <v>-1</v>
      </c>
      <c r="FO27" s="38"/>
      <c r="FP27" s="38"/>
      <c r="FQ27" s="38"/>
      <c r="FR27" s="38"/>
      <c r="FS27" s="38"/>
      <c r="FT27" s="38"/>
      <c r="FU27" s="38"/>
      <c r="FV27" s="38"/>
      <c r="FW27" s="38"/>
      <c r="FX27" s="38"/>
      <c r="FY27" s="38">
        <v>-5</v>
      </c>
      <c r="FZ27" s="41"/>
      <c r="GA27" s="41"/>
      <c r="GB27" s="39"/>
      <c r="GC27" s="39" t="s">
        <v>277</v>
      </c>
      <c r="GD27" s="39" t="s">
        <v>277</v>
      </c>
      <c r="GE27" s="38">
        <v>5</v>
      </c>
      <c r="GF27" s="38">
        <v>5</v>
      </c>
      <c r="GG27" s="38">
        <v>0</v>
      </c>
      <c r="GH27" s="38">
        <v>0</v>
      </c>
      <c r="GI27" s="42"/>
    </row>
    <row r="28" spans="1:191" s="40" customFormat="1" x14ac:dyDescent="0.25">
      <c r="A28" s="38">
        <v>151</v>
      </c>
      <c r="B28" s="39" t="s">
        <v>421</v>
      </c>
      <c r="C28" s="39" t="s">
        <v>353</v>
      </c>
      <c r="D28" s="39" t="s">
        <v>320</v>
      </c>
      <c r="E28" s="39" t="s">
        <v>282</v>
      </c>
      <c r="F28" s="39" t="s">
        <v>282</v>
      </c>
      <c r="G28" s="39" t="s">
        <v>282</v>
      </c>
      <c r="H28" s="39" t="s">
        <v>282</v>
      </c>
      <c r="I28" s="39" t="s">
        <v>282</v>
      </c>
      <c r="J28" s="39" t="s">
        <v>281</v>
      </c>
      <c r="K28" s="39" t="s">
        <v>282</v>
      </c>
      <c r="L28" s="39" t="s">
        <v>282</v>
      </c>
      <c r="M28" s="39" t="s">
        <v>282</v>
      </c>
      <c r="N28" s="38">
        <v>0</v>
      </c>
      <c r="O28" s="39"/>
      <c r="P28" s="39"/>
      <c r="Q28" s="39" t="s">
        <v>423</v>
      </c>
      <c r="R28" s="39"/>
      <c r="S28" s="39"/>
      <c r="T28" s="39"/>
      <c r="U28" s="40" t="s">
        <v>424</v>
      </c>
      <c r="V28" s="39" t="s">
        <v>346</v>
      </c>
      <c r="W28" s="38">
        <v>1</v>
      </c>
      <c r="X28" s="39" t="s">
        <v>365</v>
      </c>
      <c r="Y28" s="39"/>
      <c r="Z28" s="39" t="s">
        <v>310</v>
      </c>
      <c r="AA28" s="39" t="s">
        <v>297</v>
      </c>
      <c r="AB28" s="38">
        <v>1</v>
      </c>
      <c r="AC28" s="39" t="s">
        <v>302</v>
      </c>
      <c r="AD28" s="39"/>
      <c r="AE28" s="39" t="s">
        <v>305</v>
      </c>
      <c r="AF28" s="39" t="s">
        <v>302</v>
      </c>
      <c r="AG28" s="38">
        <v>1</v>
      </c>
      <c r="AH28" s="39" t="s">
        <v>287</v>
      </c>
      <c r="AI28" s="39"/>
      <c r="AJ28" s="38">
        <v>1</v>
      </c>
      <c r="AK28" s="39" t="s">
        <v>426</v>
      </c>
      <c r="AL28" s="39"/>
      <c r="AM28" s="39" t="s">
        <v>296</v>
      </c>
      <c r="AN28" s="38">
        <v>0</v>
      </c>
      <c r="AO28" s="39"/>
      <c r="AP28" s="39"/>
      <c r="AQ28" s="39"/>
      <c r="AR28" s="39"/>
      <c r="AS28" s="38">
        <v>0</v>
      </c>
      <c r="AT28" s="39"/>
      <c r="AU28" s="39"/>
      <c r="AV28" s="39"/>
      <c r="AW28" s="39"/>
      <c r="AX28" s="38">
        <v>0</v>
      </c>
      <c r="AY28" s="39"/>
      <c r="AZ28" s="39"/>
      <c r="BA28" s="38">
        <v>0</v>
      </c>
      <c r="BB28" s="39"/>
      <c r="BC28" s="39"/>
      <c r="BD28" s="39" t="s">
        <v>303</v>
      </c>
      <c r="BE28" s="39" t="s">
        <v>331</v>
      </c>
      <c r="BF28" s="38">
        <v>0</v>
      </c>
      <c r="BG28" s="39"/>
      <c r="BH28" s="39"/>
      <c r="BI28" s="39" t="s">
        <v>288</v>
      </c>
      <c r="BJ28" s="39" t="s">
        <v>302</v>
      </c>
      <c r="BK28" s="38">
        <v>1</v>
      </c>
      <c r="BL28" s="39" t="s">
        <v>302</v>
      </c>
      <c r="BM28" s="39"/>
      <c r="BN28" s="38">
        <v>0</v>
      </c>
      <c r="BO28" s="39"/>
      <c r="BP28" s="39" t="s">
        <v>296</v>
      </c>
      <c r="BQ28" s="38">
        <v>1</v>
      </c>
      <c r="BR28" s="39" t="s">
        <v>427</v>
      </c>
      <c r="BS28" s="39" t="s">
        <v>303</v>
      </c>
      <c r="BT28" s="39" t="s">
        <v>297</v>
      </c>
      <c r="BU28" s="38">
        <v>1</v>
      </c>
      <c r="BV28" s="39" t="s">
        <v>302</v>
      </c>
      <c r="BW28" s="39"/>
      <c r="BX28" s="39" t="s">
        <v>288</v>
      </c>
      <c r="BY28" s="39" t="s">
        <v>302</v>
      </c>
      <c r="BZ28" s="38">
        <v>0</v>
      </c>
      <c r="CA28" s="39"/>
      <c r="CB28" s="39"/>
      <c r="CC28" s="38">
        <v>0</v>
      </c>
      <c r="CD28" s="39"/>
      <c r="CE28" s="39" t="s">
        <v>296</v>
      </c>
      <c r="CF28" s="38">
        <v>1</v>
      </c>
      <c r="CG28" s="39" t="s">
        <v>428</v>
      </c>
      <c r="CH28" s="39"/>
      <c r="CI28" s="39" t="s">
        <v>294</v>
      </c>
      <c r="CJ28" s="39" t="s">
        <v>297</v>
      </c>
      <c r="CK28" s="38">
        <v>1</v>
      </c>
      <c r="CL28" s="39"/>
      <c r="CM28" s="39" t="s">
        <v>429</v>
      </c>
      <c r="CN28" s="39" t="s">
        <v>288</v>
      </c>
      <c r="CO28" s="39" t="s">
        <v>302</v>
      </c>
      <c r="CP28" s="38">
        <v>1</v>
      </c>
      <c r="CQ28" s="39" t="s">
        <v>387</v>
      </c>
      <c r="CR28" s="39"/>
      <c r="CS28" s="38">
        <v>0</v>
      </c>
      <c r="CT28" s="39"/>
      <c r="CU28" s="39" t="s">
        <v>299</v>
      </c>
      <c r="CV28" s="36">
        <f t="shared" si="0"/>
        <v>0</v>
      </c>
      <c r="CW28" s="38">
        <v>0</v>
      </c>
      <c r="CX28" s="39"/>
      <c r="CY28" s="39"/>
      <c r="CZ28" s="39" t="s">
        <v>301</v>
      </c>
      <c r="DA28" s="39" t="s">
        <v>297</v>
      </c>
      <c r="DB28" s="38">
        <v>2</v>
      </c>
      <c r="DC28" s="39" t="s">
        <v>387</v>
      </c>
      <c r="DD28" s="39" t="s">
        <v>302</v>
      </c>
      <c r="DE28" s="39" t="s">
        <v>324</v>
      </c>
      <c r="DF28" s="39" t="s">
        <v>297</v>
      </c>
      <c r="DG28" s="38">
        <v>0</v>
      </c>
      <c r="DH28" s="39"/>
      <c r="DI28" s="39"/>
      <c r="DJ28" s="38">
        <v>0</v>
      </c>
      <c r="DK28" s="39"/>
      <c r="DL28" s="39" t="s">
        <v>328</v>
      </c>
      <c r="DM28" s="38">
        <v>1</v>
      </c>
      <c r="DN28" s="39" t="s">
        <v>430</v>
      </c>
      <c r="DO28" s="39"/>
      <c r="DP28" s="39" t="s">
        <v>303</v>
      </c>
      <c r="DQ28" s="39" t="s">
        <v>331</v>
      </c>
      <c r="DR28" s="38">
        <v>0</v>
      </c>
      <c r="DS28" s="39"/>
      <c r="DT28" s="39"/>
      <c r="DU28" s="39" t="s">
        <v>298</v>
      </c>
      <c r="DV28" s="39" t="s">
        <v>331</v>
      </c>
      <c r="DW28" s="38">
        <v>0</v>
      </c>
      <c r="DX28" s="39"/>
      <c r="DY28" s="39"/>
      <c r="DZ28" s="39"/>
      <c r="EA28" s="39"/>
      <c r="EB28" s="39" t="s">
        <v>296</v>
      </c>
      <c r="EC28" s="38">
        <v>1</v>
      </c>
      <c r="ED28" s="39" t="s">
        <v>345</v>
      </c>
      <c r="EE28" s="39" t="s">
        <v>301</v>
      </c>
      <c r="EF28" s="39" t="s">
        <v>302</v>
      </c>
      <c r="EG28" s="38">
        <v>2</v>
      </c>
      <c r="EH28" s="39" t="s">
        <v>297</v>
      </c>
      <c r="EI28" s="39" t="s">
        <v>387</v>
      </c>
      <c r="EJ28" s="39" t="s">
        <v>288</v>
      </c>
      <c r="EK28" s="39" t="s">
        <v>331</v>
      </c>
      <c r="EL28" s="38">
        <v>0</v>
      </c>
      <c r="EM28" s="39"/>
      <c r="EN28" s="39"/>
      <c r="EO28" s="39"/>
      <c r="EP28" s="38">
        <v>0</v>
      </c>
      <c r="EQ28" s="39"/>
      <c r="ER28" s="39" t="s">
        <v>292</v>
      </c>
      <c r="ES28" s="38">
        <v>1</v>
      </c>
      <c r="ET28" s="39" t="s">
        <v>404</v>
      </c>
      <c r="EU28" s="39"/>
      <c r="EV28" s="39"/>
      <c r="EW28" s="39"/>
      <c r="EX28" s="39" t="s">
        <v>431</v>
      </c>
      <c r="EY28" s="39" t="s">
        <v>432</v>
      </c>
      <c r="EZ28" s="39" t="s">
        <v>433</v>
      </c>
      <c r="FA28" s="39" t="s">
        <v>432</v>
      </c>
      <c r="FB28" s="38">
        <v>0</v>
      </c>
      <c r="FC28" s="39"/>
      <c r="FD28" s="39"/>
      <c r="FE28" s="39"/>
      <c r="FG28" s="39" t="s">
        <v>335</v>
      </c>
      <c r="FH28" s="39"/>
      <c r="FI28" s="39"/>
      <c r="FJ28" s="38">
        <v>-1</v>
      </c>
      <c r="FK28" s="38">
        <v>-1</v>
      </c>
      <c r="FL28" s="38">
        <v>-1</v>
      </c>
      <c r="FM28" s="38">
        <v>-1</v>
      </c>
      <c r="FN28" s="38">
        <v>-1</v>
      </c>
      <c r="FO28" s="38">
        <v>-1</v>
      </c>
      <c r="FP28" s="38">
        <v>-1</v>
      </c>
      <c r="FQ28" s="38">
        <v>-1</v>
      </c>
      <c r="FR28" s="38">
        <v>-1</v>
      </c>
      <c r="FS28" s="38">
        <v>-1</v>
      </c>
      <c r="FT28" s="38">
        <v>-1</v>
      </c>
      <c r="FU28" s="38">
        <v>-1</v>
      </c>
      <c r="FV28" s="38">
        <v>-1</v>
      </c>
      <c r="FW28" s="38">
        <v>-1</v>
      </c>
      <c r="FX28" s="38">
        <v>-1</v>
      </c>
      <c r="FY28" s="38">
        <v>-15</v>
      </c>
      <c r="FZ28" s="41"/>
      <c r="GA28" s="41"/>
      <c r="GB28" s="39" t="s">
        <v>319</v>
      </c>
      <c r="GC28" s="39" t="s">
        <v>320</v>
      </c>
      <c r="GD28" s="39" t="s">
        <v>277</v>
      </c>
      <c r="GE28" s="38">
        <v>15</v>
      </c>
      <c r="GF28" s="38">
        <v>15</v>
      </c>
      <c r="GG28" s="38">
        <v>32</v>
      </c>
      <c r="GH28" s="38">
        <v>17</v>
      </c>
      <c r="GI28" s="42"/>
    </row>
    <row r="29" spans="1:191" s="40" customFormat="1" x14ac:dyDescent="0.25">
      <c r="A29" s="38">
        <v>153</v>
      </c>
      <c r="B29" s="39" t="s">
        <v>421</v>
      </c>
      <c r="C29" s="39" t="s">
        <v>279</v>
      </c>
      <c r="D29" s="39" t="s">
        <v>320</v>
      </c>
      <c r="E29" s="39" t="s">
        <v>282</v>
      </c>
      <c r="F29" s="39" t="s">
        <v>282</v>
      </c>
      <c r="G29" s="39" t="s">
        <v>282</v>
      </c>
      <c r="H29" s="39" t="s">
        <v>282</v>
      </c>
      <c r="I29" s="39" t="s">
        <v>282</v>
      </c>
      <c r="J29" s="39" t="s">
        <v>281</v>
      </c>
      <c r="K29" s="39" t="s">
        <v>282</v>
      </c>
      <c r="L29" s="39" t="s">
        <v>282</v>
      </c>
      <c r="M29" s="39" t="s">
        <v>282</v>
      </c>
      <c r="N29" s="38">
        <v>0</v>
      </c>
      <c r="O29" s="39"/>
      <c r="P29" s="39"/>
      <c r="Q29" s="39" t="s">
        <v>423</v>
      </c>
      <c r="R29" s="39"/>
      <c r="S29" s="39"/>
      <c r="T29" s="39"/>
      <c r="U29" s="40" t="s">
        <v>424</v>
      </c>
      <c r="V29" s="39" t="s">
        <v>346</v>
      </c>
      <c r="W29" s="38">
        <v>1</v>
      </c>
      <c r="X29" s="39" t="s">
        <v>439</v>
      </c>
      <c r="Y29" s="39"/>
      <c r="Z29" s="39" t="s">
        <v>294</v>
      </c>
      <c r="AA29" s="39" t="s">
        <v>297</v>
      </c>
      <c r="AB29" s="38">
        <v>0</v>
      </c>
      <c r="AC29" s="39"/>
      <c r="AD29" s="39"/>
      <c r="AE29" s="39" t="s">
        <v>298</v>
      </c>
      <c r="AF29" s="39" t="s">
        <v>302</v>
      </c>
      <c r="AG29" s="38">
        <v>0</v>
      </c>
      <c r="AH29" s="39"/>
      <c r="AI29" s="39"/>
      <c r="AJ29" s="38">
        <v>1</v>
      </c>
      <c r="AK29" s="39" t="s">
        <v>440</v>
      </c>
      <c r="AL29" s="39"/>
      <c r="AM29" s="39" t="s">
        <v>299</v>
      </c>
      <c r="AN29" s="38">
        <v>1</v>
      </c>
      <c r="AO29" s="39" t="s">
        <v>441</v>
      </c>
      <c r="AP29" s="39"/>
      <c r="AQ29" s="39" t="s">
        <v>294</v>
      </c>
      <c r="AR29" s="39" t="s">
        <v>287</v>
      </c>
      <c r="AS29" s="38">
        <v>0</v>
      </c>
      <c r="AT29" s="39"/>
      <c r="AU29" s="39"/>
      <c r="AV29" s="39" t="s">
        <v>324</v>
      </c>
      <c r="AW29" s="39" t="s">
        <v>287</v>
      </c>
      <c r="AX29" s="38">
        <v>0</v>
      </c>
      <c r="AY29" s="39"/>
      <c r="AZ29" s="39"/>
      <c r="BA29" s="38">
        <v>1</v>
      </c>
      <c r="BB29" s="39" t="s">
        <v>406</v>
      </c>
      <c r="BC29" s="39" t="s">
        <v>299</v>
      </c>
      <c r="BD29" s="39" t="s">
        <v>294</v>
      </c>
      <c r="BE29" s="39" t="s">
        <v>297</v>
      </c>
      <c r="BF29" s="38">
        <v>0</v>
      </c>
      <c r="BG29" s="39"/>
      <c r="BH29" s="39"/>
      <c r="BI29" s="39" t="s">
        <v>324</v>
      </c>
      <c r="BJ29" s="39" t="s">
        <v>297</v>
      </c>
      <c r="BK29" s="38">
        <v>0</v>
      </c>
      <c r="BL29" s="39"/>
      <c r="BM29" s="39"/>
      <c r="BN29" s="38">
        <v>0</v>
      </c>
      <c r="BO29" s="39"/>
      <c r="BP29" s="39" t="s">
        <v>296</v>
      </c>
      <c r="BQ29" s="38">
        <v>1</v>
      </c>
      <c r="BR29" s="39" t="s">
        <v>442</v>
      </c>
      <c r="BS29" s="39" t="s">
        <v>301</v>
      </c>
      <c r="BT29" s="39" t="s">
        <v>297</v>
      </c>
      <c r="BU29" s="38">
        <v>0</v>
      </c>
      <c r="BV29" s="39"/>
      <c r="BW29" s="39"/>
      <c r="BX29" s="39" t="s">
        <v>288</v>
      </c>
      <c r="BY29" s="39" t="s">
        <v>297</v>
      </c>
      <c r="BZ29" s="38">
        <v>0</v>
      </c>
      <c r="CA29" s="39"/>
      <c r="CB29" s="39"/>
      <c r="CC29" s="38">
        <v>0</v>
      </c>
      <c r="CD29" s="39"/>
      <c r="CE29" s="39" t="s">
        <v>299</v>
      </c>
      <c r="CF29" s="38">
        <v>1</v>
      </c>
      <c r="CG29" s="39" t="s">
        <v>443</v>
      </c>
      <c r="CH29" s="39"/>
      <c r="CI29" s="39" t="s">
        <v>294</v>
      </c>
      <c r="CJ29" s="39" t="s">
        <v>297</v>
      </c>
      <c r="CK29" s="38">
        <v>0</v>
      </c>
      <c r="CL29" s="39"/>
      <c r="CM29" s="39"/>
      <c r="CN29" s="39" t="s">
        <v>305</v>
      </c>
      <c r="CO29" s="39" t="s">
        <v>297</v>
      </c>
      <c r="CP29" s="38">
        <v>0</v>
      </c>
      <c r="CQ29" s="39"/>
      <c r="CR29" s="39"/>
      <c r="CS29" s="38">
        <v>0</v>
      </c>
      <c r="CT29" s="39"/>
      <c r="CU29" s="39" t="s">
        <v>299</v>
      </c>
      <c r="CV29" s="36">
        <f t="shared" si="0"/>
        <v>1</v>
      </c>
      <c r="CW29" s="38">
        <v>1</v>
      </c>
      <c r="CX29" s="39" t="s">
        <v>444</v>
      </c>
      <c r="CY29" s="39"/>
      <c r="CZ29" s="39" t="s">
        <v>303</v>
      </c>
      <c r="DA29" s="39" t="s">
        <v>302</v>
      </c>
      <c r="DB29" s="38">
        <v>0</v>
      </c>
      <c r="DC29" s="39"/>
      <c r="DD29" s="39"/>
      <c r="DE29" s="39" t="s">
        <v>298</v>
      </c>
      <c r="DF29" s="39" t="s">
        <v>302</v>
      </c>
      <c r="DG29" s="38">
        <v>0</v>
      </c>
      <c r="DH29" s="39"/>
      <c r="DI29" s="39"/>
      <c r="DJ29" s="38">
        <v>0</v>
      </c>
      <c r="DK29" s="39"/>
      <c r="DL29" s="39" t="s">
        <v>296</v>
      </c>
      <c r="DM29" s="38">
        <v>1</v>
      </c>
      <c r="DN29" s="39" t="s">
        <v>445</v>
      </c>
      <c r="DO29" s="39"/>
      <c r="DP29" s="39" t="s">
        <v>303</v>
      </c>
      <c r="DQ29" s="39" t="s">
        <v>331</v>
      </c>
      <c r="DR29" s="38">
        <v>0</v>
      </c>
      <c r="DS29" s="39"/>
      <c r="DT29" s="39"/>
      <c r="DU29" s="39" t="s">
        <v>298</v>
      </c>
      <c r="DV29" s="39" t="s">
        <v>331</v>
      </c>
      <c r="DW29" s="38">
        <v>0</v>
      </c>
      <c r="DX29" s="39"/>
      <c r="DY29" s="39"/>
      <c r="DZ29" s="39" t="s">
        <v>446</v>
      </c>
      <c r="EA29" s="39"/>
      <c r="EB29" s="39" t="s">
        <v>296</v>
      </c>
      <c r="EC29" s="38">
        <v>1</v>
      </c>
      <c r="ED29" s="39" t="s">
        <v>374</v>
      </c>
      <c r="EE29" s="39" t="s">
        <v>294</v>
      </c>
      <c r="EF29" s="39" t="s">
        <v>297</v>
      </c>
      <c r="EG29" s="38">
        <v>0</v>
      </c>
      <c r="EH29" s="39"/>
      <c r="EI29" s="39"/>
      <c r="EJ29" s="39" t="s">
        <v>298</v>
      </c>
      <c r="EK29" s="39" t="s">
        <v>331</v>
      </c>
      <c r="EL29" s="38">
        <v>0</v>
      </c>
      <c r="EM29" s="39"/>
      <c r="EN29" s="39"/>
      <c r="EO29" s="39"/>
      <c r="EP29" s="38">
        <v>0</v>
      </c>
      <c r="EQ29" s="39"/>
      <c r="ER29" s="39" t="s">
        <v>296</v>
      </c>
      <c r="ES29" s="38">
        <v>0</v>
      </c>
      <c r="ET29" s="39"/>
      <c r="EU29" s="39"/>
      <c r="EV29" s="39"/>
      <c r="EW29" s="39"/>
      <c r="EX29" s="39"/>
      <c r="EY29" s="39"/>
      <c r="EZ29" s="39"/>
      <c r="FA29" s="39"/>
      <c r="FB29" s="38">
        <v>2</v>
      </c>
      <c r="FC29" s="39" t="s">
        <v>447</v>
      </c>
      <c r="FD29" s="39" t="s">
        <v>448</v>
      </c>
      <c r="FE29" s="39"/>
      <c r="FG29" s="39" t="s">
        <v>317</v>
      </c>
      <c r="FH29" s="39"/>
      <c r="FI29" s="39"/>
      <c r="FJ29" s="38">
        <v>-1</v>
      </c>
      <c r="FK29" s="38">
        <v>-1</v>
      </c>
      <c r="FL29" s="38">
        <v>-1</v>
      </c>
      <c r="FM29" s="38">
        <v>-1</v>
      </c>
      <c r="FN29" s="38">
        <v>-1</v>
      </c>
      <c r="FO29" s="38">
        <v>-1</v>
      </c>
      <c r="FP29" s="38">
        <v>-1</v>
      </c>
      <c r="FQ29" s="38">
        <v>-1</v>
      </c>
      <c r="FR29" s="38">
        <v>-1</v>
      </c>
      <c r="FS29" s="38">
        <v>-1</v>
      </c>
      <c r="FT29" s="38">
        <v>-1</v>
      </c>
      <c r="FU29" s="38">
        <v>-1</v>
      </c>
      <c r="FV29" s="38">
        <v>-1</v>
      </c>
      <c r="FW29" s="38">
        <v>-1</v>
      </c>
      <c r="FX29" s="38">
        <v>-1</v>
      </c>
      <c r="FY29" s="38">
        <v>-15</v>
      </c>
      <c r="FZ29" s="41"/>
      <c r="GA29" s="41"/>
      <c r="GB29" s="39" t="s">
        <v>319</v>
      </c>
      <c r="GC29" s="39" t="s">
        <v>320</v>
      </c>
      <c r="GD29" s="39" t="s">
        <v>277</v>
      </c>
      <c r="GE29" s="38">
        <v>15</v>
      </c>
      <c r="GF29" s="38">
        <v>15</v>
      </c>
      <c r="GG29" s="38">
        <v>34</v>
      </c>
      <c r="GH29" s="38">
        <v>8</v>
      </c>
      <c r="GI29" s="42"/>
    </row>
    <row r="30" spans="1:191" s="40" customFormat="1" x14ac:dyDescent="0.25">
      <c r="A30" s="38">
        <v>170</v>
      </c>
      <c r="B30" s="39" t="s">
        <v>421</v>
      </c>
      <c r="C30" s="39" t="s">
        <v>279</v>
      </c>
      <c r="D30" s="39" t="s">
        <v>377</v>
      </c>
      <c r="E30" s="39" t="s">
        <v>282</v>
      </c>
      <c r="F30" s="39" t="s">
        <v>281</v>
      </c>
      <c r="G30" s="39" t="s">
        <v>282</v>
      </c>
      <c r="H30" s="39" t="s">
        <v>282</v>
      </c>
      <c r="I30" s="39" t="s">
        <v>282</v>
      </c>
      <c r="J30" s="39" t="s">
        <v>281</v>
      </c>
      <c r="K30" s="39" t="s">
        <v>282</v>
      </c>
      <c r="L30" s="39" t="s">
        <v>281</v>
      </c>
      <c r="M30" s="39" t="s">
        <v>282</v>
      </c>
      <c r="N30" s="38">
        <v>0</v>
      </c>
      <c r="O30" s="39"/>
      <c r="P30" s="39"/>
      <c r="Q30" s="39" t="s">
        <v>423</v>
      </c>
      <c r="R30" s="39"/>
      <c r="S30" s="39"/>
      <c r="T30" s="39"/>
      <c r="U30" s="40" t="s">
        <v>464</v>
      </c>
      <c r="V30" s="39" t="s">
        <v>346</v>
      </c>
      <c r="W30" s="38">
        <v>0</v>
      </c>
      <c r="X30" s="39"/>
      <c r="Y30" s="39"/>
      <c r="Z30" s="39" t="s">
        <v>294</v>
      </c>
      <c r="AA30" s="39" t="s">
        <v>297</v>
      </c>
      <c r="AB30" s="38">
        <v>0</v>
      </c>
      <c r="AC30" s="39"/>
      <c r="AD30" s="39"/>
      <c r="AE30" s="39" t="s">
        <v>298</v>
      </c>
      <c r="AF30" s="39" t="s">
        <v>302</v>
      </c>
      <c r="AG30" s="38">
        <v>0</v>
      </c>
      <c r="AH30" s="39"/>
      <c r="AI30" s="39"/>
      <c r="AJ30" s="38">
        <v>1</v>
      </c>
      <c r="AK30" s="39" t="s">
        <v>465</v>
      </c>
      <c r="AL30" s="39"/>
      <c r="AM30" s="39" t="s">
        <v>296</v>
      </c>
      <c r="AN30" s="38"/>
      <c r="AO30" s="39"/>
      <c r="AP30" s="39"/>
      <c r="AQ30" s="39"/>
      <c r="AR30" s="39"/>
      <c r="AS30" s="38"/>
      <c r="AT30" s="39"/>
      <c r="AU30" s="39"/>
      <c r="AV30" s="39"/>
      <c r="AW30" s="39"/>
      <c r="AX30" s="38"/>
      <c r="AY30" s="39"/>
      <c r="AZ30" s="39"/>
      <c r="BA30" s="38"/>
      <c r="BB30" s="39"/>
      <c r="BC30" s="39"/>
      <c r="BD30" s="39"/>
      <c r="BE30" s="39"/>
      <c r="BF30" s="38"/>
      <c r="BG30" s="39"/>
      <c r="BH30" s="39"/>
      <c r="BI30" s="39"/>
      <c r="BJ30" s="39"/>
      <c r="BK30" s="38"/>
      <c r="BL30" s="39"/>
      <c r="BM30" s="39"/>
      <c r="BN30" s="38"/>
      <c r="BO30" s="39"/>
      <c r="BP30" s="39"/>
      <c r="BQ30" s="38"/>
      <c r="BR30" s="39"/>
      <c r="BS30" s="39"/>
      <c r="BT30" s="39"/>
      <c r="BU30" s="38"/>
      <c r="BV30" s="39"/>
      <c r="BW30" s="39"/>
      <c r="BX30" s="39"/>
      <c r="BY30" s="39"/>
      <c r="BZ30" s="38"/>
      <c r="CA30" s="39"/>
      <c r="CB30" s="39"/>
      <c r="CC30" s="38"/>
      <c r="CD30" s="39"/>
      <c r="CE30" s="39"/>
      <c r="CF30" s="38"/>
      <c r="CG30" s="39"/>
      <c r="CH30" s="39"/>
      <c r="CI30" s="39"/>
      <c r="CJ30" s="39"/>
      <c r="CK30" s="38"/>
      <c r="CL30" s="39"/>
      <c r="CM30" s="39"/>
      <c r="CN30" s="39"/>
      <c r="CO30" s="39"/>
      <c r="CP30" s="38"/>
      <c r="CQ30" s="39"/>
      <c r="CR30" s="39"/>
      <c r="CS30" s="38"/>
      <c r="CT30" s="39"/>
      <c r="CU30" s="39"/>
      <c r="CV30" s="36"/>
      <c r="CW30" s="38"/>
      <c r="CX30" s="39"/>
      <c r="CY30" s="39"/>
      <c r="CZ30" s="39"/>
      <c r="DA30" s="39"/>
      <c r="DB30" s="38"/>
      <c r="DC30" s="39"/>
      <c r="DD30" s="39"/>
      <c r="DE30" s="39"/>
      <c r="DF30" s="39"/>
      <c r="DG30" s="38"/>
      <c r="DH30" s="39"/>
      <c r="DI30" s="39"/>
      <c r="DJ30" s="38"/>
      <c r="DK30" s="39"/>
      <c r="DL30" s="39"/>
      <c r="DM30" s="38"/>
      <c r="DN30" s="39"/>
      <c r="DO30" s="39"/>
      <c r="DP30" s="39"/>
      <c r="DQ30" s="39"/>
      <c r="DR30" s="38"/>
      <c r="DS30" s="39"/>
      <c r="DT30" s="39"/>
      <c r="DU30" s="39"/>
      <c r="DV30" s="39"/>
      <c r="DW30" s="38"/>
      <c r="DX30" s="39"/>
      <c r="DY30" s="39"/>
      <c r="DZ30" s="39"/>
      <c r="EA30" s="39"/>
      <c r="EB30" s="39"/>
      <c r="EC30" s="38"/>
      <c r="ED30" s="39"/>
      <c r="EE30" s="39"/>
      <c r="EF30" s="39"/>
      <c r="EG30" s="38"/>
      <c r="EH30" s="39"/>
      <c r="EI30" s="39"/>
      <c r="EJ30" s="39"/>
      <c r="EK30" s="39"/>
      <c r="EL30" s="38"/>
      <c r="EM30" s="39"/>
      <c r="EN30" s="39"/>
      <c r="EO30" s="39"/>
      <c r="EP30" s="38"/>
      <c r="EQ30" s="39"/>
      <c r="ER30" s="39"/>
      <c r="ES30" s="38"/>
      <c r="ET30" s="39"/>
      <c r="EU30" s="39"/>
      <c r="EV30" s="39"/>
      <c r="EW30" s="39"/>
      <c r="EX30" s="39"/>
      <c r="EY30" s="39"/>
      <c r="EZ30" s="39"/>
      <c r="FA30" s="39"/>
      <c r="FB30" s="38"/>
      <c r="FC30" s="39"/>
      <c r="FD30" s="39"/>
      <c r="FE30" s="39"/>
      <c r="FG30" s="39"/>
      <c r="FH30" s="39"/>
      <c r="FI30" s="39"/>
      <c r="FJ30" s="38">
        <v>-1</v>
      </c>
      <c r="FK30" s="38">
        <v>-1</v>
      </c>
      <c r="FL30" s="38">
        <v>-1</v>
      </c>
      <c r="FM30" s="38">
        <v>-1</v>
      </c>
      <c r="FN30" s="38">
        <v>-1</v>
      </c>
      <c r="FO30" s="38">
        <v>-1</v>
      </c>
      <c r="FP30" s="38"/>
      <c r="FQ30" s="38"/>
      <c r="FR30" s="38"/>
      <c r="FS30" s="38"/>
      <c r="FT30" s="38"/>
      <c r="FU30" s="38"/>
      <c r="FV30" s="38"/>
      <c r="FW30" s="38"/>
      <c r="FX30" s="38"/>
      <c r="FY30" s="38">
        <v>-6</v>
      </c>
      <c r="FZ30" s="41"/>
      <c r="GA30" s="41"/>
      <c r="GB30" s="39"/>
      <c r="GC30" s="39" t="s">
        <v>277</v>
      </c>
      <c r="GD30" s="39" t="s">
        <v>277</v>
      </c>
      <c r="GE30" s="38">
        <v>6</v>
      </c>
      <c r="GF30" s="38">
        <v>6</v>
      </c>
      <c r="GG30" s="38">
        <v>29</v>
      </c>
      <c r="GH30" s="38">
        <v>8</v>
      </c>
      <c r="GI30" s="42"/>
    </row>
    <row r="31" spans="1:191" s="49" customFormat="1" x14ac:dyDescent="0.25">
      <c r="A31" s="65">
        <v>171</v>
      </c>
      <c r="B31" s="61" t="s">
        <v>421</v>
      </c>
      <c r="C31" s="61" t="s">
        <v>279</v>
      </c>
      <c r="D31" s="61" t="s">
        <v>280</v>
      </c>
      <c r="E31" s="61" t="s">
        <v>281</v>
      </c>
      <c r="F31" s="61" t="s">
        <v>281</v>
      </c>
      <c r="G31" s="61" t="s">
        <v>282</v>
      </c>
      <c r="H31" s="61" t="s">
        <v>282</v>
      </c>
      <c r="I31" s="61" t="s">
        <v>282</v>
      </c>
      <c r="J31" s="61" t="s">
        <v>281</v>
      </c>
      <c r="K31" s="61" t="s">
        <v>282</v>
      </c>
      <c r="L31" s="61" t="s">
        <v>281</v>
      </c>
      <c r="M31" s="61" t="s">
        <v>282</v>
      </c>
      <c r="N31" s="65">
        <v>0</v>
      </c>
      <c r="O31" s="61"/>
      <c r="P31" s="61"/>
      <c r="Q31" s="61" t="s">
        <v>355</v>
      </c>
      <c r="R31" s="61"/>
      <c r="S31" s="61"/>
      <c r="T31" s="61" t="s">
        <v>322</v>
      </c>
      <c r="U31" s="61"/>
      <c r="V31" s="61" t="s">
        <v>482</v>
      </c>
      <c r="W31" s="65">
        <v>1</v>
      </c>
      <c r="X31" s="61" t="s">
        <v>466</v>
      </c>
      <c r="Y31" s="61"/>
      <c r="Z31" s="61" t="s">
        <v>294</v>
      </c>
      <c r="AA31" s="61" t="s">
        <v>331</v>
      </c>
      <c r="AB31" s="65">
        <v>1</v>
      </c>
      <c r="AC31" s="61" t="s">
        <v>297</v>
      </c>
      <c r="AD31" s="61"/>
      <c r="AE31" s="61" t="s">
        <v>305</v>
      </c>
      <c r="AF31" s="61" t="s">
        <v>339</v>
      </c>
      <c r="AG31" s="65">
        <v>0</v>
      </c>
      <c r="AH31" s="61"/>
      <c r="AI31" s="61"/>
      <c r="AJ31" s="65">
        <v>1</v>
      </c>
      <c r="AK31" s="61" t="s">
        <v>467</v>
      </c>
      <c r="AL31" s="61"/>
      <c r="AM31" s="61" t="s">
        <v>299</v>
      </c>
      <c r="AN31" s="65">
        <v>1</v>
      </c>
      <c r="AO31" s="61" t="s">
        <v>468</v>
      </c>
      <c r="AP31" s="61"/>
      <c r="AQ31" s="61" t="s">
        <v>301</v>
      </c>
      <c r="AR31" s="61" t="s">
        <v>331</v>
      </c>
      <c r="AS31" s="65">
        <v>1</v>
      </c>
      <c r="AT31" s="61"/>
      <c r="AU31" s="61" t="s">
        <v>302</v>
      </c>
      <c r="AV31" s="61" t="s">
        <v>324</v>
      </c>
      <c r="AW31" s="61" t="s">
        <v>287</v>
      </c>
      <c r="AX31" s="65">
        <v>1</v>
      </c>
      <c r="AY31" s="61"/>
      <c r="AZ31" s="61" t="s">
        <v>339</v>
      </c>
      <c r="BA31" s="65">
        <v>1</v>
      </c>
      <c r="BB31" s="61" t="s">
        <v>469</v>
      </c>
      <c r="BC31" s="61" t="s">
        <v>296</v>
      </c>
      <c r="BD31" s="61" t="s">
        <v>286</v>
      </c>
      <c r="BE31" s="61" t="s">
        <v>331</v>
      </c>
      <c r="BF31" s="65">
        <v>0</v>
      </c>
      <c r="BG31" s="61"/>
      <c r="BH31" s="61"/>
      <c r="BI31" s="61" t="s">
        <v>305</v>
      </c>
      <c r="BJ31" s="61" t="s">
        <v>339</v>
      </c>
      <c r="BK31" s="65">
        <v>1</v>
      </c>
      <c r="BL31" s="61"/>
      <c r="BM31" s="61" t="s">
        <v>287</v>
      </c>
      <c r="BN31" s="65">
        <v>1</v>
      </c>
      <c r="BO31" s="61" t="s">
        <v>470</v>
      </c>
      <c r="BP31" s="61" t="s">
        <v>296</v>
      </c>
      <c r="BQ31" s="65">
        <v>1</v>
      </c>
      <c r="BR31" s="61" t="s">
        <v>471</v>
      </c>
      <c r="BS31" s="61" t="s">
        <v>286</v>
      </c>
      <c r="BT31" s="61" t="s">
        <v>339</v>
      </c>
      <c r="BU31" s="65">
        <v>1</v>
      </c>
      <c r="BV31" s="61"/>
      <c r="BW31" s="61" t="s">
        <v>297</v>
      </c>
      <c r="BX31" s="61" t="s">
        <v>324</v>
      </c>
      <c r="BY31" s="61" t="s">
        <v>339</v>
      </c>
      <c r="BZ31" s="65">
        <v>1</v>
      </c>
      <c r="CA31" s="61"/>
      <c r="CB31" s="61" t="s">
        <v>472</v>
      </c>
      <c r="CC31" s="65">
        <v>1</v>
      </c>
      <c r="CD31" s="61" t="s">
        <v>470</v>
      </c>
      <c r="CE31" s="61" t="s">
        <v>296</v>
      </c>
      <c r="CF31" s="65">
        <v>1</v>
      </c>
      <c r="CG31" s="61" t="s">
        <v>473</v>
      </c>
      <c r="CH31" s="61"/>
      <c r="CI31" s="61" t="s">
        <v>301</v>
      </c>
      <c r="CJ31" s="61" t="s">
        <v>297</v>
      </c>
      <c r="CK31" s="65">
        <v>0</v>
      </c>
      <c r="CL31" s="61"/>
      <c r="CM31" s="61"/>
      <c r="CN31" s="61" t="s">
        <v>288</v>
      </c>
      <c r="CO31" s="61" t="s">
        <v>339</v>
      </c>
      <c r="CP31" s="65">
        <v>0</v>
      </c>
      <c r="CQ31" s="61"/>
      <c r="CR31" s="61"/>
      <c r="CS31" s="65">
        <v>1</v>
      </c>
      <c r="CT31" s="61" t="s">
        <v>474</v>
      </c>
      <c r="CU31" s="61" t="s">
        <v>296</v>
      </c>
      <c r="CV31" s="36">
        <f t="shared" si="0"/>
        <v>1</v>
      </c>
      <c r="CW31" s="65">
        <v>1</v>
      </c>
      <c r="CX31" s="61" t="s">
        <v>475</v>
      </c>
      <c r="CY31" s="61"/>
      <c r="CZ31" s="61" t="s">
        <v>286</v>
      </c>
      <c r="DA31" s="61" t="s">
        <v>297</v>
      </c>
      <c r="DB31" s="65">
        <v>0</v>
      </c>
      <c r="DC31" s="61"/>
      <c r="DD31" s="61"/>
      <c r="DE31" s="61" t="s">
        <v>288</v>
      </c>
      <c r="DF31" s="61" t="s">
        <v>287</v>
      </c>
      <c r="DG31" s="65">
        <v>1</v>
      </c>
      <c r="DH31" s="61" t="s">
        <v>339</v>
      </c>
      <c r="DI31" s="61"/>
      <c r="DJ31" s="65">
        <v>1</v>
      </c>
      <c r="DK31" s="61" t="s">
        <v>476</v>
      </c>
      <c r="DL31" s="61" t="s">
        <v>299</v>
      </c>
      <c r="DM31" s="65">
        <v>1</v>
      </c>
      <c r="DN31" s="61" t="s">
        <v>477</v>
      </c>
      <c r="DO31" s="61"/>
      <c r="DP31" s="61" t="s">
        <v>294</v>
      </c>
      <c r="DQ31" s="61" t="s">
        <v>331</v>
      </c>
      <c r="DR31" s="65">
        <v>0</v>
      </c>
      <c r="DS31" s="61"/>
      <c r="DT31" s="61"/>
      <c r="DU31" s="61" t="s">
        <v>305</v>
      </c>
      <c r="DV31" s="61" t="s">
        <v>331</v>
      </c>
      <c r="DW31" s="65">
        <v>0</v>
      </c>
      <c r="DX31" s="61"/>
      <c r="DY31" s="61"/>
      <c r="DZ31" s="61" t="s">
        <v>478</v>
      </c>
      <c r="EA31" s="61" t="s">
        <v>467</v>
      </c>
      <c r="EB31" s="61" t="s">
        <v>299</v>
      </c>
      <c r="EC31" s="65">
        <v>1</v>
      </c>
      <c r="ED31" s="61" t="s">
        <v>479</v>
      </c>
      <c r="EE31" s="61" t="s">
        <v>294</v>
      </c>
      <c r="EF31" s="61" t="s">
        <v>331</v>
      </c>
      <c r="EG31" s="65">
        <v>0</v>
      </c>
      <c r="EH31" s="61"/>
      <c r="EI31" s="61"/>
      <c r="EJ31" s="61" t="s">
        <v>305</v>
      </c>
      <c r="EK31" s="61" t="s">
        <v>331</v>
      </c>
      <c r="EL31" s="65">
        <v>0</v>
      </c>
      <c r="EM31" s="61"/>
      <c r="EN31" s="61"/>
      <c r="EO31" s="61" t="s">
        <v>480</v>
      </c>
      <c r="EP31" s="65">
        <v>1</v>
      </c>
      <c r="EQ31" s="61" t="s">
        <v>467</v>
      </c>
      <c r="ER31" s="61" t="s">
        <v>296</v>
      </c>
      <c r="ES31" s="65">
        <v>1</v>
      </c>
      <c r="ET31" s="61" t="s">
        <v>404</v>
      </c>
      <c r="EU31" s="61"/>
      <c r="EV31" s="61"/>
      <c r="EW31" s="61"/>
      <c r="EX31" s="61"/>
      <c r="EY31" s="61"/>
      <c r="EZ31" s="61"/>
      <c r="FA31" s="61"/>
      <c r="FB31" s="65">
        <v>1</v>
      </c>
      <c r="FC31" s="61" t="s">
        <v>481</v>
      </c>
      <c r="FD31" s="61"/>
      <c r="FE31" s="61"/>
      <c r="FG31" s="61" t="s">
        <v>351</v>
      </c>
      <c r="FH31" s="61" t="s">
        <v>483</v>
      </c>
      <c r="FI31" s="61"/>
      <c r="FJ31" s="65">
        <v>-1</v>
      </c>
      <c r="FK31" s="65">
        <v>-1</v>
      </c>
      <c r="FL31" s="65">
        <v>-1</v>
      </c>
      <c r="FM31" s="65">
        <v>-1</v>
      </c>
      <c r="FN31" s="65">
        <v>-1</v>
      </c>
      <c r="FO31" s="65">
        <v>-1</v>
      </c>
      <c r="FP31" s="65">
        <v>-1</v>
      </c>
      <c r="FQ31" s="65">
        <v>-1</v>
      </c>
      <c r="FR31" s="65">
        <v>-1</v>
      </c>
      <c r="FS31" s="65">
        <v>-1</v>
      </c>
      <c r="FT31" s="65">
        <v>-1</v>
      </c>
      <c r="FU31" s="65">
        <v>-1</v>
      </c>
      <c r="FV31" s="65">
        <v>-1</v>
      </c>
      <c r="FW31" s="65">
        <v>-1</v>
      </c>
      <c r="FX31" s="65">
        <v>-1</v>
      </c>
      <c r="FY31" s="65">
        <v>-15</v>
      </c>
      <c r="FZ31" s="66"/>
      <c r="GA31" s="66"/>
      <c r="GB31" s="61" t="s">
        <v>319</v>
      </c>
      <c r="GC31" s="61" t="s">
        <v>320</v>
      </c>
      <c r="GD31" s="61" t="s">
        <v>277</v>
      </c>
      <c r="GE31" s="65">
        <v>15</v>
      </c>
      <c r="GF31" s="65">
        <v>15</v>
      </c>
      <c r="GG31" s="65">
        <v>17</v>
      </c>
      <c r="GH31" s="65">
        <v>3</v>
      </c>
      <c r="GI31" s="67"/>
    </row>
    <row r="32" spans="1:191" s="50" customFormat="1" x14ac:dyDescent="0.25">
      <c r="A32" s="55">
        <v>179</v>
      </c>
      <c r="B32" s="56" t="s">
        <v>421</v>
      </c>
      <c r="C32" s="56" t="s">
        <v>353</v>
      </c>
      <c r="D32" s="56" t="s">
        <v>377</v>
      </c>
      <c r="E32" s="56" t="s">
        <v>281</v>
      </c>
      <c r="F32" s="56" t="s">
        <v>281</v>
      </c>
      <c r="G32" s="56" t="s">
        <v>282</v>
      </c>
      <c r="H32" s="56" t="s">
        <v>282</v>
      </c>
      <c r="I32" s="56" t="s">
        <v>282</v>
      </c>
      <c r="J32" s="56" t="s">
        <v>281</v>
      </c>
      <c r="K32" s="56" t="s">
        <v>282</v>
      </c>
      <c r="L32" s="56" t="s">
        <v>282</v>
      </c>
      <c r="M32" s="56" t="s">
        <v>282</v>
      </c>
      <c r="N32" s="55">
        <v>0</v>
      </c>
      <c r="O32" s="56"/>
      <c r="P32" s="56"/>
      <c r="Q32" s="56" t="s">
        <v>337</v>
      </c>
      <c r="R32" s="56"/>
      <c r="S32" s="50" t="s">
        <v>424</v>
      </c>
      <c r="T32" s="56"/>
      <c r="U32" s="56"/>
      <c r="V32" s="56" t="s">
        <v>437</v>
      </c>
      <c r="W32" s="55">
        <v>1</v>
      </c>
      <c r="X32" s="56" t="s">
        <v>484</v>
      </c>
      <c r="Y32" s="56"/>
      <c r="Z32" s="56" t="s">
        <v>303</v>
      </c>
      <c r="AA32" s="56" t="s">
        <v>331</v>
      </c>
      <c r="AB32" s="55">
        <v>0</v>
      </c>
      <c r="AC32" s="56"/>
      <c r="AD32" s="56"/>
      <c r="AE32" s="56" t="s">
        <v>288</v>
      </c>
      <c r="AF32" s="56" t="s">
        <v>302</v>
      </c>
      <c r="AG32" s="55">
        <v>0</v>
      </c>
      <c r="AH32" s="56"/>
      <c r="AI32" s="56"/>
      <c r="AJ32" s="55">
        <v>0</v>
      </c>
      <c r="AK32" s="56"/>
      <c r="AL32" s="56"/>
      <c r="AM32" s="56" t="s">
        <v>328</v>
      </c>
      <c r="AN32" s="55">
        <v>1</v>
      </c>
      <c r="AO32" s="56" t="s">
        <v>485</v>
      </c>
      <c r="AP32" s="56"/>
      <c r="AQ32" s="56" t="s">
        <v>301</v>
      </c>
      <c r="AR32" s="56" t="s">
        <v>287</v>
      </c>
      <c r="AS32" s="55">
        <v>2</v>
      </c>
      <c r="AT32" s="56" t="s">
        <v>339</v>
      </c>
      <c r="AU32" s="56" t="s">
        <v>302</v>
      </c>
      <c r="AV32" s="56" t="s">
        <v>288</v>
      </c>
      <c r="AW32" s="56" t="s">
        <v>287</v>
      </c>
      <c r="AX32" s="55">
        <v>1</v>
      </c>
      <c r="AY32" s="56"/>
      <c r="AZ32" s="56" t="s">
        <v>339</v>
      </c>
      <c r="BA32" s="55">
        <v>0</v>
      </c>
      <c r="BB32" s="56"/>
      <c r="BC32" s="56" t="s">
        <v>296</v>
      </c>
      <c r="BD32" s="56" t="s">
        <v>301</v>
      </c>
      <c r="BE32" s="56" t="s">
        <v>297</v>
      </c>
      <c r="BF32" s="55">
        <v>0</v>
      </c>
      <c r="BG32" s="56"/>
      <c r="BH32" s="56"/>
      <c r="BI32" s="56" t="s">
        <v>324</v>
      </c>
      <c r="BJ32" s="56" t="s">
        <v>339</v>
      </c>
      <c r="BK32" s="55">
        <v>0</v>
      </c>
      <c r="BL32" s="56"/>
      <c r="BM32" s="56"/>
      <c r="BN32" s="55">
        <v>0</v>
      </c>
      <c r="BO32" s="56"/>
      <c r="BP32" s="56" t="s">
        <v>296</v>
      </c>
      <c r="BQ32" s="55">
        <v>0</v>
      </c>
      <c r="BR32" s="56"/>
      <c r="BS32" s="56" t="s">
        <v>301</v>
      </c>
      <c r="BT32" s="56" t="s">
        <v>297</v>
      </c>
      <c r="BU32" s="55">
        <v>0</v>
      </c>
      <c r="BV32" s="56"/>
      <c r="BW32" s="56"/>
      <c r="BX32" s="56" t="s">
        <v>324</v>
      </c>
      <c r="BY32" s="56" t="s">
        <v>339</v>
      </c>
      <c r="BZ32" s="55">
        <v>0</v>
      </c>
      <c r="CA32" s="56"/>
      <c r="CB32" s="56"/>
      <c r="CC32" s="55">
        <v>1</v>
      </c>
      <c r="CD32" s="56" t="s">
        <v>486</v>
      </c>
      <c r="CE32" s="56" t="s">
        <v>296</v>
      </c>
      <c r="CF32" s="55">
        <v>1</v>
      </c>
      <c r="CG32" s="56" t="s">
        <v>487</v>
      </c>
      <c r="CH32" s="56"/>
      <c r="CI32" s="56" t="s">
        <v>301</v>
      </c>
      <c r="CJ32" s="56" t="s">
        <v>297</v>
      </c>
      <c r="CK32" s="55">
        <v>0</v>
      </c>
      <c r="CL32" s="56"/>
      <c r="CM32" s="56"/>
      <c r="CN32" s="56" t="s">
        <v>288</v>
      </c>
      <c r="CO32" s="56" t="s">
        <v>339</v>
      </c>
      <c r="CP32" s="55">
        <v>0</v>
      </c>
      <c r="CQ32" s="56"/>
      <c r="CR32" s="56"/>
      <c r="CS32" s="55">
        <v>0</v>
      </c>
      <c r="CT32" s="56"/>
      <c r="CU32" s="56" t="s">
        <v>296</v>
      </c>
      <c r="CV32" s="36">
        <f t="shared" si="0"/>
        <v>1</v>
      </c>
      <c r="CW32" s="55">
        <v>2</v>
      </c>
      <c r="CX32" s="56" t="s">
        <v>488</v>
      </c>
      <c r="CY32" s="56" t="s">
        <v>475</v>
      </c>
      <c r="CZ32" s="56" t="s">
        <v>301</v>
      </c>
      <c r="DA32" s="56" t="s">
        <v>297</v>
      </c>
      <c r="DB32" s="55">
        <v>0</v>
      </c>
      <c r="DC32" s="56"/>
      <c r="DD32" s="56"/>
      <c r="DE32" s="56" t="s">
        <v>288</v>
      </c>
      <c r="DF32" s="56" t="s">
        <v>339</v>
      </c>
      <c r="DG32" s="55">
        <v>0</v>
      </c>
      <c r="DH32" s="56"/>
      <c r="DI32" s="56"/>
      <c r="DJ32" s="55">
        <v>0</v>
      </c>
      <c r="DK32" s="56"/>
      <c r="DL32" s="56" t="s">
        <v>296</v>
      </c>
      <c r="DM32" s="55">
        <v>1</v>
      </c>
      <c r="DN32" s="56" t="s">
        <v>489</v>
      </c>
      <c r="DO32" s="56"/>
      <c r="DP32" s="56" t="s">
        <v>303</v>
      </c>
      <c r="DQ32" s="56" t="s">
        <v>331</v>
      </c>
      <c r="DR32" s="55">
        <v>0</v>
      </c>
      <c r="DS32" s="56"/>
      <c r="DT32" s="56"/>
      <c r="DU32" s="56" t="s">
        <v>298</v>
      </c>
      <c r="DV32" s="56"/>
      <c r="DW32" s="55">
        <v>0</v>
      </c>
      <c r="DX32" s="56"/>
      <c r="DY32" s="56"/>
      <c r="DZ32" s="56"/>
      <c r="EA32" s="56"/>
      <c r="EB32" s="56" t="s">
        <v>296</v>
      </c>
      <c r="EC32" s="55">
        <v>1</v>
      </c>
      <c r="ED32" s="56" t="s">
        <v>490</v>
      </c>
      <c r="EE32" s="56" t="s">
        <v>303</v>
      </c>
      <c r="EF32" s="56" t="s">
        <v>331</v>
      </c>
      <c r="EG32" s="55">
        <v>1</v>
      </c>
      <c r="EH32" s="56" t="s">
        <v>491</v>
      </c>
      <c r="EI32" s="56"/>
      <c r="EJ32" s="56" t="s">
        <v>288</v>
      </c>
      <c r="EK32" s="56"/>
      <c r="EL32" s="55">
        <v>0</v>
      </c>
      <c r="EM32" s="56"/>
      <c r="EN32" s="56"/>
      <c r="EO32" s="56"/>
      <c r="EP32" s="55">
        <v>0</v>
      </c>
      <c r="EQ32" s="56"/>
      <c r="ER32" s="56" t="s">
        <v>296</v>
      </c>
      <c r="ES32" s="55">
        <v>0</v>
      </c>
      <c r="ET32" s="56"/>
      <c r="EU32" s="56"/>
      <c r="EV32" s="56"/>
      <c r="EW32" s="56"/>
      <c r="EX32" s="56" t="s">
        <v>397</v>
      </c>
      <c r="EY32" s="56" t="s">
        <v>492</v>
      </c>
      <c r="EZ32" s="56"/>
      <c r="FA32" s="56"/>
      <c r="FB32" s="55">
        <v>3</v>
      </c>
      <c r="FC32" s="56" t="s">
        <v>493</v>
      </c>
      <c r="FD32" s="56" t="s">
        <v>494</v>
      </c>
      <c r="FE32" s="56" t="s">
        <v>495</v>
      </c>
      <c r="FG32" s="56" t="s">
        <v>335</v>
      </c>
      <c r="FH32" s="56"/>
      <c r="FI32" s="56"/>
      <c r="FJ32" s="55">
        <v>-1</v>
      </c>
      <c r="FK32" s="55">
        <v>-1</v>
      </c>
      <c r="FL32" s="55">
        <v>-1</v>
      </c>
      <c r="FM32" s="55">
        <v>-1</v>
      </c>
      <c r="FN32" s="55">
        <v>-1</v>
      </c>
      <c r="FO32" s="55">
        <v>-1</v>
      </c>
      <c r="FP32" s="55">
        <v>-1</v>
      </c>
      <c r="FQ32" s="55">
        <v>-1</v>
      </c>
      <c r="FR32" s="55">
        <v>-1</v>
      </c>
      <c r="FS32" s="55">
        <v>-1</v>
      </c>
      <c r="FT32" s="55">
        <v>-1</v>
      </c>
      <c r="FU32" s="55">
        <v>-1</v>
      </c>
      <c r="FV32" s="55">
        <v>-1</v>
      </c>
      <c r="FW32" s="55">
        <v>-1</v>
      </c>
      <c r="FX32" s="55">
        <v>-1</v>
      </c>
      <c r="FY32" s="55">
        <v>-15</v>
      </c>
      <c r="FZ32" s="57"/>
      <c r="GA32" s="57"/>
      <c r="GB32" s="56" t="s">
        <v>319</v>
      </c>
      <c r="GC32" s="56" t="s">
        <v>320</v>
      </c>
      <c r="GD32" s="56" t="s">
        <v>277</v>
      </c>
      <c r="GE32" s="55">
        <v>15</v>
      </c>
      <c r="GF32" s="55">
        <v>15</v>
      </c>
      <c r="GG32" s="55">
        <v>35</v>
      </c>
      <c r="GH32" s="55">
        <v>14</v>
      </c>
      <c r="GI32" s="58"/>
    </row>
    <row r="33" spans="1:191" x14ac:dyDescent="0.25">
      <c r="A33" s="1">
        <v>187</v>
      </c>
      <c r="B33" s="18" t="s">
        <v>421</v>
      </c>
      <c r="C33" s="2" t="s">
        <v>353</v>
      </c>
      <c r="D33" s="2" t="s">
        <v>377</v>
      </c>
      <c r="E33" s="2" t="s">
        <v>281</v>
      </c>
      <c r="F33" s="2" t="s">
        <v>282</v>
      </c>
      <c r="G33" s="2" t="s">
        <v>281</v>
      </c>
      <c r="H33" s="2" t="s">
        <v>282</v>
      </c>
      <c r="I33" s="2" t="s">
        <v>282</v>
      </c>
      <c r="J33" s="2" t="s">
        <v>281</v>
      </c>
      <c r="K33" s="2" t="s">
        <v>282</v>
      </c>
      <c r="L33" s="2" t="s">
        <v>282</v>
      </c>
      <c r="M33" s="2" t="s">
        <v>282</v>
      </c>
      <c r="N33" s="1">
        <v>0</v>
      </c>
      <c r="O33" s="2"/>
      <c r="P33" s="2"/>
      <c r="Q33" s="2" t="s">
        <v>283</v>
      </c>
      <c r="R33" s="2" t="s">
        <v>284</v>
      </c>
      <c r="S33" s="2"/>
      <c r="T33" s="2"/>
      <c r="U33" s="2"/>
      <c r="V33" s="2" t="s">
        <v>346</v>
      </c>
      <c r="W33" s="1"/>
      <c r="X33" s="2"/>
      <c r="Y33" s="2"/>
      <c r="Z33" s="2"/>
      <c r="AA33" s="2"/>
      <c r="AB33" s="1"/>
      <c r="AC33" s="2"/>
      <c r="AD33" s="2"/>
      <c r="AE33" s="2"/>
      <c r="AF33" s="2"/>
      <c r="AG33" s="1"/>
      <c r="AH33" s="2"/>
      <c r="AI33" s="2"/>
      <c r="AJ33" s="1"/>
      <c r="AK33" s="2"/>
      <c r="AL33" s="2"/>
      <c r="AM33" s="2"/>
      <c r="AN33" s="1"/>
      <c r="AO33" s="2"/>
      <c r="AP33" s="2"/>
      <c r="AQ33" s="2"/>
      <c r="AR33" s="2"/>
      <c r="AS33" s="1"/>
      <c r="AT33" s="2"/>
      <c r="AU33" s="2"/>
      <c r="AV33" s="2"/>
      <c r="AW33" s="2"/>
      <c r="AX33" s="1"/>
      <c r="AY33" s="2"/>
      <c r="AZ33" s="2"/>
      <c r="BA33" s="1"/>
      <c r="BB33" s="2"/>
      <c r="BC33" s="2"/>
      <c r="BD33" s="2"/>
      <c r="BE33" s="2"/>
      <c r="BF33" s="1"/>
      <c r="BG33" s="2"/>
      <c r="BH33" s="2"/>
      <c r="BI33" s="2"/>
      <c r="BJ33" s="2"/>
      <c r="BK33" s="1"/>
      <c r="BL33" s="2"/>
      <c r="BM33" s="2"/>
      <c r="BN33" s="1"/>
      <c r="BO33" s="2"/>
      <c r="BP33" s="2"/>
      <c r="BQ33" s="1"/>
      <c r="BR33" s="2"/>
      <c r="BS33" s="2"/>
      <c r="BT33" s="2"/>
      <c r="BU33" s="1"/>
      <c r="BV33" s="2"/>
      <c r="BW33" s="2"/>
      <c r="BX33" s="2"/>
      <c r="BY33" s="2"/>
      <c r="BZ33" s="1"/>
      <c r="CA33" s="2"/>
      <c r="CB33" s="2"/>
      <c r="CC33" s="1"/>
      <c r="CD33" s="2"/>
      <c r="CE33" s="2"/>
      <c r="CF33" s="1"/>
      <c r="CG33" s="2"/>
      <c r="CH33" s="2"/>
      <c r="CI33" s="2"/>
      <c r="CJ33" s="2"/>
      <c r="CK33" s="1"/>
      <c r="CL33" s="2"/>
      <c r="CM33" s="2"/>
      <c r="CN33" s="2"/>
      <c r="CO33" s="2"/>
      <c r="CP33" s="1"/>
      <c r="CQ33" s="2"/>
      <c r="CR33" s="2"/>
      <c r="CS33" s="1"/>
      <c r="CT33" s="2"/>
      <c r="CU33" s="2"/>
      <c r="CV33" s="36"/>
      <c r="CW33" s="1"/>
      <c r="CX33" s="2"/>
      <c r="CY33" s="2"/>
      <c r="CZ33" s="2"/>
      <c r="DA33" s="2"/>
      <c r="DB33" s="1"/>
      <c r="DC33" s="2"/>
      <c r="DD33" s="2"/>
      <c r="DE33" s="2"/>
      <c r="DF33" s="2"/>
      <c r="DG33" s="1"/>
      <c r="DH33" s="2"/>
      <c r="DI33" s="2"/>
      <c r="DJ33" s="1"/>
      <c r="DK33" s="2"/>
      <c r="DL33" s="2"/>
      <c r="DM33" s="1"/>
      <c r="DN33" s="2"/>
      <c r="DO33" s="2"/>
      <c r="DP33" s="2"/>
      <c r="DQ33" s="2"/>
      <c r="DR33" s="1"/>
      <c r="DS33" s="2"/>
      <c r="DT33" s="2"/>
      <c r="DU33" s="2"/>
      <c r="DV33" s="2"/>
      <c r="DW33" s="1"/>
      <c r="DX33" s="2"/>
      <c r="DY33" s="2"/>
      <c r="DZ33" s="2"/>
      <c r="EA33" s="2"/>
      <c r="EB33" s="2"/>
      <c r="EC33" s="1"/>
      <c r="ED33" s="2"/>
      <c r="EE33" s="2"/>
      <c r="EF33" s="2"/>
      <c r="EG33" s="1"/>
      <c r="EH33" s="2"/>
      <c r="EI33" s="2"/>
      <c r="EJ33" s="2"/>
      <c r="EK33" s="2"/>
      <c r="EL33" s="1"/>
      <c r="EM33" s="2"/>
      <c r="EN33" s="2"/>
      <c r="EO33" s="2"/>
      <c r="EP33" s="1"/>
      <c r="EQ33" s="2"/>
      <c r="ER33" s="2"/>
      <c r="ES33" s="1"/>
      <c r="ET33" s="2"/>
      <c r="EU33" s="2"/>
      <c r="EV33" s="2"/>
      <c r="EW33" s="2"/>
      <c r="EX33" s="2"/>
      <c r="EY33" s="2"/>
      <c r="EZ33" s="2"/>
      <c r="FA33" s="2"/>
      <c r="FB33" s="1"/>
      <c r="FC33" s="2"/>
      <c r="FD33" s="2"/>
      <c r="FE33" s="2"/>
      <c r="FG33" s="2"/>
      <c r="FH33" s="2"/>
      <c r="FI33" s="2"/>
      <c r="FJ33" s="1">
        <v>-1</v>
      </c>
      <c r="FK33" s="1">
        <v>-1</v>
      </c>
      <c r="FL33" s="1">
        <v>-1</v>
      </c>
      <c r="FM33" s="1">
        <v>-1</v>
      </c>
      <c r="FN33" s="1">
        <v>-1</v>
      </c>
      <c r="FO33" s="1"/>
      <c r="FP33" s="1"/>
      <c r="FQ33" s="1"/>
      <c r="FR33" s="1"/>
      <c r="FS33" s="1"/>
      <c r="FT33" s="1"/>
      <c r="FU33" s="1"/>
      <c r="FV33" s="1"/>
      <c r="FW33" s="1"/>
      <c r="FX33" s="1"/>
      <c r="FY33" s="1">
        <v>-5</v>
      </c>
      <c r="FZ33" s="3"/>
      <c r="GA33" s="3"/>
      <c r="GB33" s="2"/>
      <c r="GC33" s="2" t="s">
        <v>277</v>
      </c>
      <c r="GD33" s="2" t="s">
        <v>277</v>
      </c>
      <c r="GE33" s="1">
        <v>5</v>
      </c>
      <c r="GF33" s="1">
        <v>5</v>
      </c>
      <c r="GG33" s="1">
        <v>14</v>
      </c>
      <c r="GH33" s="1">
        <v>1</v>
      </c>
      <c r="GI33" s="4"/>
    </row>
    <row r="34" spans="1:191" x14ac:dyDescent="0.25">
      <c r="A34" s="1">
        <v>188</v>
      </c>
      <c r="B34" s="18" t="s">
        <v>421</v>
      </c>
      <c r="C34" s="2" t="s">
        <v>353</v>
      </c>
      <c r="D34" s="2" t="s">
        <v>377</v>
      </c>
      <c r="E34" s="2" t="s">
        <v>281</v>
      </c>
      <c r="F34" s="2" t="s">
        <v>282</v>
      </c>
      <c r="G34" s="2" t="s">
        <v>281</v>
      </c>
      <c r="H34" s="2" t="s">
        <v>282</v>
      </c>
      <c r="I34" s="2" t="s">
        <v>282</v>
      </c>
      <c r="J34" s="2" t="s">
        <v>281</v>
      </c>
      <c r="K34" s="2" t="s">
        <v>282</v>
      </c>
      <c r="L34" s="2" t="s">
        <v>282</v>
      </c>
      <c r="M34" s="2" t="s">
        <v>282</v>
      </c>
      <c r="N34" s="1">
        <v>0</v>
      </c>
      <c r="O34" s="2"/>
      <c r="P34" s="2"/>
      <c r="Q34" s="2" t="s">
        <v>283</v>
      </c>
      <c r="R34" s="2" t="s">
        <v>284</v>
      </c>
      <c r="S34" s="2"/>
      <c r="T34" s="2"/>
      <c r="U34" s="2"/>
      <c r="V34" s="2" t="s">
        <v>346</v>
      </c>
      <c r="W34" s="1">
        <v>1</v>
      </c>
      <c r="X34" s="2" t="s">
        <v>507</v>
      </c>
      <c r="Y34" s="2"/>
      <c r="Z34" s="2" t="s">
        <v>301</v>
      </c>
      <c r="AA34" s="2" t="s">
        <v>331</v>
      </c>
      <c r="AB34" s="1">
        <v>0</v>
      </c>
      <c r="AC34" s="2"/>
      <c r="AD34" s="2"/>
      <c r="AE34" s="2" t="s">
        <v>305</v>
      </c>
      <c r="AF34" s="2" t="s">
        <v>331</v>
      </c>
      <c r="AG34" s="1">
        <v>0</v>
      </c>
      <c r="AH34" s="2"/>
      <c r="AI34" s="2"/>
      <c r="AJ34" s="1">
        <v>1</v>
      </c>
      <c r="AK34" s="2" t="s">
        <v>508</v>
      </c>
      <c r="AL34" s="2"/>
      <c r="AM34" s="2" t="s">
        <v>299</v>
      </c>
      <c r="AN34" s="1">
        <v>1</v>
      </c>
      <c r="AO34" s="2" t="s">
        <v>293</v>
      </c>
      <c r="AP34" s="2"/>
      <c r="AQ34" s="2" t="s">
        <v>301</v>
      </c>
      <c r="AR34" s="2" t="s">
        <v>287</v>
      </c>
      <c r="AS34" s="1">
        <v>0</v>
      </c>
      <c r="AT34" s="2"/>
      <c r="AU34" s="2"/>
      <c r="AV34" s="2" t="s">
        <v>324</v>
      </c>
      <c r="AW34" s="2" t="s">
        <v>500</v>
      </c>
      <c r="AX34" s="1">
        <v>0</v>
      </c>
      <c r="AY34" s="2"/>
      <c r="AZ34" s="2"/>
      <c r="BA34" s="1">
        <v>1</v>
      </c>
      <c r="BB34" s="2" t="s">
        <v>509</v>
      </c>
      <c r="BC34" s="2" t="s">
        <v>299</v>
      </c>
      <c r="BD34" s="2" t="s">
        <v>310</v>
      </c>
      <c r="BE34" s="2" t="s">
        <v>297</v>
      </c>
      <c r="BF34" s="1">
        <v>0</v>
      </c>
      <c r="BG34" s="2"/>
      <c r="BH34" s="2"/>
      <c r="BI34" s="2" t="s">
        <v>324</v>
      </c>
      <c r="BJ34" s="2" t="s">
        <v>500</v>
      </c>
      <c r="BK34" s="1">
        <v>0</v>
      </c>
      <c r="BL34" s="2"/>
      <c r="BM34" s="2"/>
      <c r="BN34" s="1">
        <v>1</v>
      </c>
      <c r="BO34" s="2" t="s">
        <v>510</v>
      </c>
      <c r="BP34" s="2" t="s">
        <v>299</v>
      </c>
      <c r="BQ34" s="1">
        <v>1</v>
      </c>
      <c r="BR34" s="2" t="s">
        <v>511</v>
      </c>
      <c r="BS34" s="2" t="s">
        <v>310</v>
      </c>
      <c r="BT34" s="2" t="s">
        <v>297</v>
      </c>
      <c r="BU34" s="1">
        <v>0</v>
      </c>
      <c r="BV34" s="2"/>
      <c r="BW34" s="2"/>
      <c r="BX34" s="2" t="s">
        <v>324</v>
      </c>
      <c r="BY34" s="2" t="s">
        <v>500</v>
      </c>
      <c r="BZ34" s="1">
        <v>0</v>
      </c>
      <c r="CA34" s="2"/>
      <c r="CB34" s="2"/>
      <c r="CC34" s="1">
        <v>0</v>
      </c>
      <c r="CD34" s="2"/>
      <c r="CE34" s="2" t="s">
        <v>299</v>
      </c>
      <c r="CF34" s="1">
        <v>1</v>
      </c>
      <c r="CG34" s="2" t="s">
        <v>359</v>
      </c>
      <c r="CH34" s="2"/>
      <c r="CI34" s="2" t="s">
        <v>301</v>
      </c>
      <c r="CJ34" s="2" t="s">
        <v>297</v>
      </c>
      <c r="CK34" s="1">
        <v>0</v>
      </c>
      <c r="CL34" s="2"/>
      <c r="CM34" s="2"/>
      <c r="CN34" s="2" t="s">
        <v>305</v>
      </c>
      <c r="CO34" s="2" t="s">
        <v>500</v>
      </c>
      <c r="CP34" s="1">
        <v>0</v>
      </c>
      <c r="CQ34" s="2"/>
      <c r="CR34" s="2"/>
      <c r="CS34" s="1">
        <v>0</v>
      </c>
      <c r="CT34" s="2"/>
      <c r="CU34" s="2" t="s">
        <v>299</v>
      </c>
      <c r="CV34" s="36">
        <f t="shared" si="0"/>
        <v>1</v>
      </c>
      <c r="CW34" s="1">
        <v>0</v>
      </c>
      <c r="CX34" s="2"/>
      <c r="CY34" s="2"/>
      <c r="CZ34" s="2" t="s">
        <v>301</v>
      </c>
      <c r="DA34" s="2" t="s">
        <v>297</v>
      </c>
      <c r="DB34" s="1">
        <v>0</v>
      </c>
      <c r="DC34" s="2"/>
      <c r="DD34" s="2"/>
      <c r="DE34" s="2" t="s">
        <v>288</v>
      </c>
      <c r="DF34" s="2" t="s">
        <v>500</v>
      </c>
      <c r="DG34" s="1">
        <v>0</v>
      </c>
      <c r="DH34" s="2"/>
      <c r="DI34" s="2"/>
      <c r="DJ34" s="1">
        <v>0</v>
      </c>
      <c r="DK34" s="2"/>
      <c r="DL34" s="2" t="s">
        <v>299</v>
      </c>
      <c r="DM34" s="1">
        <v>1</v>
      </c>
      <c r="DN34" s="2" t="s">
        <v>512</v>
      </c>
      <c r="DO34" s="2"/>
      <c r="DP34" s="2" t="s">
        <v>303</v>
      </c>
      <c r="DQ34" s="2" t="s">
        <v>331</v>
      </c>
      <c r="DR34" s="1">
        <v>0</v>
      </c>
      <c r="DS34" s="2"/>
      <c r="DT34" s="2"/>
      <c r="DU34" s="2" t="s">
        <v>298</v>
      </c>
      <c r="DV34" s="2" t="s">
        <v>331</v>
      </c>
      <c r="DW34" s="1">
        <v>0</v>
      </c>
      <c r="DX34" s="2"/>
      <c r="DY34" s="2"/>
      <c r="DZ34" s="2" t="s">
        <v>412</v>
      </c>
      <c r="EA34" s="2"/>
      <c r="EB34" s="2" t="s">
        <v>299</v>
      </c>
      <c r="EC34" s="1">
        <v>1</v>
      </c>
      <c r="ED34" s="2" t="s">
        <v>513</v>
      </c>
      <c r="EE34" s="2" t="s">
        <v>294</v>
      </c>
      <c r="EF34" s="2" t="s">
        <v>331</v>
      </c>
      <c r="EG34" s="1">
        <v>0</v>
      </c>
      <c r="EH34" s="2"/>
      <c r="EI34" s="2"/>
      <c r="EJ34" s="2" t="s">
        <v>305</v>
      </c>
      <c r="EK34" s="2"/>
      <c r="EL34" s="1">
        <v>0</v>
      </c>
      <c r="EM34" s="2"/>
      <c r="EN34" s="2"/>
      <c r="EO34" s="2" t="s">
        <v>412</v>
      </c>
      <c r="EP34" s="1">
        <v>1</v>
      </c>
      <c r="EQ34" s="2" t="s">
        <v>508</v>
      </c>
      <c r="ER34" s="2" t="s">
        <v>299</v>
      </c>
      <c r="ES34" s="1">
        <v>0</v>
      </c>
      <c r="ET34" s="2"/>
      <c r="EU34" s="2"/>
      <c r="EV34" s="2"/>
      <c r="EW34" s="2"/>
      <c r="EX34" s="2" t="s">
        <v>397</v>
      </c>
      <c r="EY34" s="2" t="s">
        <v>514</v>
      </c>
      <c r="EZ34" s="2" t="s">
        <v>515</v>
      </c>
      <c r="FA34" s="2" t="s">
        <v>516</v>
      </c>
      <c r="FB34" s="1">
        <v>2</v>
      </c>
      <c r="FC34" s="2" t="s">
        <v>517</v>
      </c>
      <c r="FD34" s="2" t="s">
        <v>518</v>
      </c>
      <c r="FE34" s="2"/>
      <c r="FG34" s="2" t="s">
        <v>351</v>
      </c>
      <c r="FH34" s="2" t="s">
        <v>519</v>
      </c>
      <c r="FI34" s="2"/>
      <c r="FJ34" s="1">
        <v>-1</v>
      </c>
      <c r="FK34" s="1">
        <v>-1</v>
      </c>
      <c r="FL34" s="1">
        <v>-1</v>
      </c>
      <c r="FM34" s="1">
        <v>-1</v>
      </c>
      <c r="FN34" s="1">
        <v>-1</v>
      </c>
      <c r="FO34" s="1">
        <v>-1</v>
      </c>
      <c r="FP34" s="1">
        <v>-1</v>
      </c>
      <c r="FQ34" s="1">
        <v>-1</v>
      </c>
      <c r="FR34" s="1">
        <v>-1</v>
      </c>
      <c r="FS34" s="1">
        <v>-1</v>
      </c>
      <c r="FT34" s="1">
        <v>-1</v>
      </c>
      <c r="FU34" s="1">
        <v>-1</v>
      </c>
      <c r="FV34" s="1">
        <v>-1</v>
      </c>
      <c r="FW34" s="1">
        <v>-1</v>
      </c>
      <c r="FX34" s="1">
        <v>-1</v>
      </c>
      <c r="FY34" s="1">
        <v>-15</v>
      </c>
      <c r="FZ34" s="3"/>
      <c r="GA34" s="3"/>
      <c r="GB34" s="2" t="s">
        <v>319</v>
      </c>
      <c r="GC34" s="2" t="s">
        <v>320</v>
      </c>
      <c r="GD34" s="2" t="s">
        <v>277</v>
      </c>
      <c r="GE34" s="1">
        <v>15</v>
      </c>
      <c r="GF34" s="1">
        <v>15</v>
      </c>
      <c r="GG34" s="1">
        <v>29</v>
      </c>
      <c r="GH34" s="1">
        <v>7</v>
      </c>
      <c r="GI34" s="4"/>
    </row>
    <row r="35" spans="1:191" s="50" customFormat="1" x14ac:dyDescent="0.25">
      <c r="A35" s="55">
        <v>190</v>
      </c>
      <c r="B35" s="56" t="s">
        <v>421</v>
      </c>
      <c r="C35" s="56" t="s">
        <v>353</v>
      </c>
      <c r="D35" s="56" t="s">
        <v>280</v>
      </c>
      <c r="E35" s="56" t="s">
        <v>281</v>
      </c>
      <c r="F35" s="56" t="s">
        <v>281</v>
      </c>
      <c r="G35" s="56" t="s">
        <v>282</v>
      </c>
      <c r="H35" s="56" t="s">
        <v>282</v>
      </c>
      <c r="I35" s="56" t="s">
        <v>282</v>
      </c>
      <c r="J35" s="56" t="s">
        <v>281</v>
      </c>
      <c r="K35" s="56" t="s">
        <v>282</v>
      </c>
      <c r="L35" s="56" t="s">
        <v>282</v>
      </c>
      <c r="M35" s="56" t="s">
        <v>281</v>
      </c>
      <c r="N35" s="55">
        <v>1</v>
      </c>
      <c r="O35" s="56" t="s">
        <v>404</v>
      </c>
      <c r="P35" s="56"/>
      <c r="Q35" s="56" t="s">
        <v>337</v>
      </c>
      <c r="R35" s="56"/>
      <c r="S35" s="50" t="s">
        <v>395</v>
      </c>
      <c r="T35" s="56"/>
      <c r="U35" s="56"/>
      <c r="V35" s="56" t="s">
        <v>346</v>
      </c>
      <c r="W35" s="55">
        <v>1</v>
      </c>
      <c r="X35" s="56" t="s">
        <v>453</v>
      </c>
      <c r="Y35" s="56"/>
      <c r="Z35" s="56" t="s">
        <v>303</v>
      </c>
      <c r="AA35" s="56" t="s">
        <v>331</v>
      </c>
      <c r="AB35" s="55">
        <v>0</v>
      </c>
      <c r="AC35" s="56"/>
      <c r="AD35" s="56"/>
      <c r="AE35" s="56" t="s">
        <v>305</v>
      </c>
      <c r="AF35" s="56" t="s">
        <v>331</v>
      </c>
      <c r="AG35" s="55">
        <v>0</v>
      </c>
      <c r="AH35" s="56"/>
      <c r="AI35" s="56"/>
      <c r="AJ35" s="55">
        <v>1</v>
      </c>
      <c r="AK35" s="56" t="s">
        <v>529</v>
      </c>
      <c r="AL35" s="56"/>
      <c r="AM35" s="56" t="s">
        <v>299</v>
      </c>
      <c r="AN35" s="55">
        <v>1</v>
      </c>
      <c r="AO35" s="56" t="s">
        <v>530</v>
      </c>
      <c r="AP35" s="56"/>
      <c r="AQ35" s="56" t="s">
        <v>294</v>
      </c>
      <c r="AR35" s="56" t="s">
        <v>287</v>
      </c>
      <c r="AS35" s="55">
        <v>1</v>
      </c>
      <c r="AT35" s="56" t="s">
        <v>531</v>
      </c>
      <c r="AU35" s="56"/>
      <c r="AV35" s="56" t="s">
        <v>288</v>
      </c>
      <c r="AW35" s="56" t="s">
        <v>302</v>
      </c>
      <c r="AX35" s="55">
        <v>0</v>
      </c>
      <c r="AY35" s="56"/>
      <c r="AZ35" s="56"/>
      <c r="BA35" s="55">
        <v>1</v>
      </c>
      <c r="BB35" s="56" t="s">
        <v>532</v>
      </c>
      <c r="BC35" s="56" t="s">
        <v>299</v>
      </c>
      <c r="BD35" s="56" t="s">
        <v>294</v>
      </c>
      <c r="BE35" s="56" t="s">
        <v>521</v>
      </c>
      <c r="BF35" s="55">
        <v>1</v>
      </c>
      <c r="BG35" s="56" t="s">
        <v>297</v>
      </c>
      <c r="BH35" s="56"/>
      <c r="BI35" s="56" t="s">
        <v>324</v>
      </c>
      <c r="BJ35" s="56" t="s">
        <v>339</v>
      </c>
      <c r="BK35" s="55">
        <v>0</v>
      </c>
      <c r="BL35" s="56"/>
      <c r="BM35" s="56"/>
      <c r="BN35" s="55">
        <v>1</v>
      </c>
      <c r="BO35" s="56" t="s">
        <v>532</v>
      </c>
      <c r="BP35" s="56" t="s">
        <v>299</v>
      </c>
      <c r="BQ35" s="55">
        <v>1</v>
      </c>
      <c r="BR35" s="56" t="s">
        <v>533</v>
      </c>
      <c r="BS35" s="56" t="s">
        <v>294</v>
      </c>
      <c r="BT35" s="56" t="s">
        <v>297</v>
      </c>
      <c r="BU35" s="55">
        <v>0</v>
      </c>
      <c r="BV35" s="56"/>
      <c r="BW35" s="56"/>
      <c r="BX35" s="56" t="s">
        <v>288</v>
      </c>
      <c r="BY35" s="56" t="s">
        <v>302</v>
      </c>
      <c r="BZ35" s="55">
        <v>0</v>
      </c>
      <c r="CA35" s="56"/>
      <c r="CB35" s="56"/>
      <c r="CC35" s="55">
        <v>1</v>
      </c>
      <c r="CD35" s="56" t="s">
        <v>532</v>
      </c>
      <c r="CE35" s="56" t="s">
        <v>328</v>
      </c>
      <c r="CF35" s="55">
        <v>1</v>
      </c>
      <c r="CG35" s="56" t="s">
        <v>534</v>
      </c>
      <c r="CH35" s="56"/>
      <c r="CI35" s="56" t="s">
        <v>301</v>
      </c>
      <c r="CJ35" s="56" t="s">
        <v>297</v>
      </c>
      <c r="CK35" s="55">
        <v>0</v>
      </c>
      <c r="CL35" s="56"/>
      <c r="CM35" s="56"/>
      <c r="CN35" s="56" t="s">
        <v>288</v>
      </c>
      <c r="CO35" s="56" t="s">
        <v>302</v>
      </c>
      <c r="CP35" s="55">
        <v>0</v>
      </c>
      <c r="CQ35" s="56"/>
      <c r="CR35" s="56"/>
      <c r="CS35" s="55">
        <v>1</v>
      </c>
      <c r="CT35" s="56" t="s">
        <v>535</v>
      </c>
      <c r="CU35" s="56" t="s">
        <v>299</v>
      </c>
      <c r="CV35" s="36">
        <f t="shared" si="0"/>
        <v>0</v>
      </c>
      <c r="CW35" s="55">
        <v>1</v>
      </c>
      <c r="CX35" s="56" t="s">
        <v>536</v>
      </c>
      <c r="CY35" s="56"/>
      <c r="CZ35" s="56" t="s">
        <v>303</v>
      </c>
      <c r="DA35" s="56" t="s">
        <v>331</v>
      </c>
      <c r="DB35" s="55">
        <v>1</v>
      </c>
      <c r="DC35" s="56" t="s">
        <v>302</v>
      </c>
      <c r="DD35" s="56"/>
      <c r="DE35" s="56" t="s">
        <v>305</v>
      </c>
      <c r="DF35" s="56" t="s">
        <v>331</v>
      </c>
      <c r="DG35" s="55">
        <v>0</v>
      </c>
      <c r="DH35" s="56"/>
      <c r="DI35" s="56"/>
      <c r="DJ35" s="55">
        <v>1</v>
      </c>
      <c r="DK35" s="56" t="s">
        <v>406</v>
      </c>
      <c r="DL35" s="56" t="s">
        <v>328</v>
      </c>
      <c r="DM35" s="55">
        <v>1</v>
      </c>
      <c r="DN35" s="56" t="s">
        <v>537</v>
      </c>
      <c r="DO35" s="56"/>
      <c r="DP35" s="56" t="s">
        <v>303</v>
      </c>
      <c r="DQ35" s="56" t="s">
        <v>331</v>
      </c>
      <c r="DR35" s="55">
        <v>0</v>
      </c>
      <c r="DS35" s="56"/>
      <c r="DT35" s="56"/>
      <c r="DU35" s="56" t="s">
        <v>298</v>
      </c>
      <c r="DV35" s="56" t="s">
        <v>331</v>
      </c>
      <c r="DW35" s="55">
        <v>0</v>
      </c>
      <c r="DX35" s="56"/>
      <c r="DY35" s="56"/>
      <c r="DZ35" s="56" t="s">
        <v>538</v>
      </c>
      <c r="EA35" s="56" t="s">
        <v>406</v>
      </c>
      <c r="EB35" s="56" t="s">
        <v>299</v>
      </c>
      <c r="EC35" s="55">
        <v>1</v>
      </c>
      <c r="ED35" s="56" t="s">
        <v>411</v>
      </c>
      <c r="EE35" s="56" t="s">
        <v>294</v>
      </c>
      <c r="EF35" s="56" t="s">
        <v>331</v>
      </c>
      <c r="EG35" s="55">
        <v>0</v>
      </c>
      <c r="EH35" s="56"/>
      <c r="EI35" s="56"/>
      <c r="EJ35" s="56" t="s">
        <v>305</v>
      </c>
      <c r="EK35" s="56" t="s">
        <v>331</v>
      </c>
      <c r="EL35" s="55">
        <v>0</v>
      </c>
      <c r="EM35" s="56"/>
      <c r="EN35" s="56"/>
      <c r="EO35" s="56" t="s">
        <v>539</v>
      </c>
      <c r="EP35" s="55">
        <v>1</v>
      </c>
      <c r="EQ35" s="56" t="s">
        <v>406</v>
      </c>
      <c r="ER35" s="56" t="s">
        <v>299</v>
      </c>
      <c r="ES35" s="55">
        <v>1</v>
      </c>
      <c r="ET35" s="56" t="s">
        <v>540</v>
      </c>
      <c r="EU35" s="56"/>
      <c r="EV35" s="56"/>
      <c r="EW35" s="56"/>
      <c r="EX35" s="56" t="s">
        <v>397</v>
      </c>
      <c r="EY35" s="56" t="s">
        <v>541</v>
      </c>
      <c r="EZ35" s="56" t="s">
        <v>542</v>
      </c>
      <c r="FA35" s="56" t="s">
        <v>543</v>
      </c>
      <c r="FB35" s="55">
        <v>3</v>
      </c>
      <c r="FC35" s="56" t="s">
        <v>544</v>
      </c>
      <c r="FD35" s="56" t="s">
        <v>545</v>
      </c>
      <c r="FE35" s="56" t="s">
        <v>546</v>
      </c>
      <c r="FG35" s="56" t="s">
        <v>317</v>
      </c>
      <c r="FH35" s="56" t="s">
        <v>547</v>
      </c>
      <c r="FI35" s="56"/>
      <c r="FJ35" s="55">
        <v>-1</v>
      </c>
      <c r="FK35" s="55">
        <v>-1</v>
      </c>
      <c r="FL35" s="55">
        <v>-1</v>
      </c>
      <c r="FM35" s="55">
        <v>-1</v>
      </c>
      <c r="FN35" s="55">
        <v>-1</v>
      </c>
      <c r="FO35" s="55">
        <v>-1</v>
      </c>
      <c r="FP35" s="55">
        <v>-1</v>
      </c>
      <c r="FQ35" s="55">
        <v>-1</v>
      </c>
      <c r="FR35" s="55">
        <v>-1</v>
      </c>
      <c r="FS35" s="55">
        <v>-1</v>
      </c>
      <c r="FT35" s="55">
        <v>-1</v>
      </c>
      <c r="FU35" s="55">
        <v>-1</v>
      </c>
      <c r="FV35" s="55">
        <v>-1</v>
      </c>
      <c r="FW35" s="55">
        <v>-1</v>
      </c>
      <c r="FX35" s="55">
        <v>-1</v>
      </c>
      <c r="FY35" s="55">
        <v>-15</v>
      </c>
      <c r="FZ35" s="57"/>
      <c r="GA35" s="57"/>
      <c r="GB35" s="56" t="s">
        <v>319</v>
      </c>
      <c r="GC35" s="56" t="s">
        <v>320</v>
      </c>
      <c r="GD35" s="56" t="s">
        <v>277</v>
      </c>
      <c r="GE35" s="55">
        <v>15</v>
      </c>
      <c r="GF35" s="55">
        <v>15</v>
      </c>
      <c r="GG35" s="55">
        <v>15</v>
      </c>
      <c r="GH35" s="55">
        <v>2</v>
      </c>
      <c r="GI35" s="58"/>
    </row>
    <row r="36" spans="1:191" s="48" customFormat="1" x14ac:dyDescent="0.25">
      <c r="A36" s="51">
        <v>196</v>
      </c>
      <c r="B36" s="52" t="s">
        <v>421</v>
      </c>
      <c r="C36" s="52" t="s">
        <v>353</v>
      </c>
      <c r="D36" s="52" t="s">
        <v>280</v>
      </c>
      <c r="E36" s="52" t="s">
        <v>281</v>
      </c>
      <c r="F36" s="52" t="s">
        <v>281</v>
      </c>
      <c r="G36" s="52" t="s">
        <v>281</v>
      </c>
      <c r="H36" s="52" t="s">
        <v>282</v>
      </c>
      <c r="I36" s="52" t="s">
        <v>282</v>
      </c>
      <c r="J36" s="52" t="s">
        <v>281</v>
      </c>
      <c r="K36" s="52" t="s">
        <v>282</v>
      </c>
      <c r="L36" s="52" t="s">
        <v>282</v>
      </c>
      <c r="M36" s="52" t="s">
        <v>282</v>
      </c>
      <c r="N36" s="51">
        <v>0</v>
      </c>
      <c r="O36" s="52"/>
      <c r="P36" s="52"/>
      <c r="Q36" s="52" t="s">
        <v>283</v>
      </c>
      <c r="R36" s="52" t="s">
        <v>322</v>
      </c>
      <c r="S36" s="52"/>
      <c r="T36" s="52"/>
      <c r="U36" s="52"/>
      <c r="V36" s="52" t="s">
        <v>346</v>
      </c>
      <c r="W36" s="51">
        <v>1</v>
      </c>
      <c r="X36" s="52" t="s">
        <v>565</v>
      </c>
      <c r="Y36" s="52"/>
      <c r="Z36" s="52" t="s">
        <v>294</v>
      </c>
      <c r="AA36" s="52" t="s">
        <v>500</v>
      </c>
      <c r="AB36" s="51">
        <v>0</v>
      </c>
      <c r="AC36" s="52"/>
      <c r="AD36" s="52"/>
      <c r="AE36" s="52" t="s">
        <v>305</v>
      </c>
      <c r="AF36" s="52" t="s">
        <v>331</v>
      </c>
      <c r="AG36" s="51">
        <v>0</v>
      </c>
      <c r="AH36" s="52"/>
      <c r="AI36" s="52"/>
      <c r="AJ36" s="51">
        <v>1</v>
      </c>
      <c r="AK36" s="52" t="s">
        <v>566</v>
      </c>
      <c r="AL36" s="52"/>
      <c r="AM36" s="52" t="s">
        <v>299</v>
      </c>
      <c r="AN36" s="51">
        <v>1</v>
      </c>
      <c r="AO36" s="52" t="s">
        <v>567</v>
      </c>
      <c r="AP36" s="52"/>
      <c r="AQ36" s="52" t="s">
        <v>301</v>
      </c>
      <c r="AR36" s="52" t="s">
        <v>287</v>
      </c>
      <c r="AS36" s="51">
        <v>0</v>
      </c>
      <c r="AT36" s="52"/>
      <c r="AU36" s="52"/>
      <c r="AV36" s="52" t="s">
        <v>324</v>
      </c>
      <c r="AW36" s="52" t="s">
        <v>339</v>
      </c>
      <c r="AX36" s="51">
        <v>0</v>
      </c>
      <c r="AY36" s="52"/>
      <c r="AZ36" s="52"/>
      <c r="BA36" s="51">
        <v>1</v>
      </c>
      <c r="BB36" s="52" t="s">
        <v>568</v>
      </c>
      <c r="BC36" s="52" t="s">
        <v>296</v>
      </c>
      <c r="BD36" s="52" t="s">
        <v>303</v>
      </c>
      <c r="BE36" s="52" t="s">
        <v>297</v>
      </c>
      <c r="BF36" s="51">
        <v>0</v>
      </c>
      <c r="BG36" s="52"/>
      <c r="BH36" s="52"/>
      <c r="BI36" s="52" t="s">
        <v>324</v>
      </c>
      <c r="BJ36" s="52" t="s">
        <v>500</v>
      </c>
      <c r="BK36" s="51">
        <v>0</v>
      </c>
      <c r="BL36" s="52"/>
      <c r="BM36" s="52"/>
      <c r="BN36" s="51">
        <v>1</v>
      </c>
      <c r="BO36" s="52" t="s">
        <v>569</v>
      </c>
      <c r="BP36" s="52" t="s">
        <v>296</v>
      </c>
      <c r="BQ36" s="51">
        <v>1</v>
      </c>
      <c r="BR36" s="52" t="s">
        <v>570</v>
      </c>
      <c r="BS36" s="52" t="s">
        <v>294</v>
      </c>
      <c r="BT36" s="52" t="s">
        <v>297</v>
      </c>
      <c r="BU36" s="51">
        <v>0</v>
      </c>
      <c r="BV36" s="52"/>
      <c r="BW36" s="52"/>
      <c r="BX36" s="52" t="s">
        <v>288</v>
      </c>
      <c r="BY36" s="52" t="s">
        <v>339</v>
      </c>
      <c r="BZ36" s="51">
        <v>0</v>
      </c>
      <c r="CA36" s="52"/>
      <c r="CB36" s="52"/>
      <c r="CC36" s="51">
        <v>1</v>
      </c>
      <c r="CD36" s="52" t="s">
        <v>406</v>
      </c>
      <c r="CE36" s="52" t="s">
        <v>296</v>
      </c>
      <c r="CF36" s="51">
        <v>1</v>
      </c>
      <c r="CG36" s="52" t="s">
        <v>571</v>
      </c>
      <c r="CH36" s="52"/>
      <c r="CI36" s="52" t="s">
        <v>294</v>
      </c>
      <c r="CJ36" s="52" t="s">
        <v>297</v>
      </c>
      <c r="CK36" s="51">
        <v>0</v>
      </c>
      <c r="CL36" s="52"/>
      <c r="CM36" s="52"/>
      <c r="CN36" s="52" t="s">
        <v>288</v>
      </c>
      <c r="CO36" s="52" t="s">
        <v>339</v>
      </c>
      <c r="CP36" s="51">
        <v>0</v>
      </c>
      <c r="CQ36" s="52"/>
      <c r="CR36" s="52"/>
      <c r="CS36" s="51">
        <v>0</v>
      </c>
      <c r="CT36" s="52"/>
      <c r="CU36" s="52"/>
      <c r="CV36" s="36">
        <f t="shared" si="0"/>
        <v>0</v>
      </c>
      <c r="CW36" s="51">
        <v>1</v>
      </c>
      <c r="CX36" s="52" t="s">
        <v>572</v>
      </c>
      <c r="CY36" s="52"/>
      <c r="CZ36" s="52" t="s">
        <v>294</v>
      </c>
      <c r="DA36" s="52" t="s">
        <v>297</v>
      </c>
      <c r="DB36" s="51">
        <v>0</v>
      </c>
      <c r="DC36" s="52"/>
      <c r="DD36" s="52"/>
      <c r="DE36" s="52" t="s">
        <v>288</v>
      </c>
      <c r="DF36" s="52" t="s">
        <v>339</v>
      </c>
      <c r="DG36" s="51">
        <v>0</v>
      </c>
      <c r="DH36" s="52"/>
      <c r="DI36" s="52"/>
      <c r="DJ36" s="51">
        <v>0</v>
      </c>
      <c r="DK36" s="52"/>
      <c r="DL36" s="52" t="s">
        <v>296</v>
      </c>
      <c r="DM36" s="51">
        <v>1</v>
      </c>
      <c r="DN36" s="52" t="s">
        <v>573</v>
      </c>
      <c r="DO36" s="52"/>
      <c r="DP36" s="52" t="s">
        <v>294</v>
      </c>
      <c r="DQ36" s="52" t="s">
        <v>331</v>
      </c>
      <c r="DR36" s="51">
        <v>0</v>
      </c>
      <c r="DS36" s="52"/>
      <c r="DT36" s="52"/>
      <c r="DU36" s="52" t="s">
        <v>298</v>
      </c>
      <c r="DV36" s="52" t="s">
        <v>331</v>
      </c>
      <c r="DW36" s="51">
        <v>0</v>
      </c>
      <c r="DX36" s="52"/>
      <c r="DY36" s="52"/>
      <c r="DZ36" s="52"/>
      <c r="EA36" s="52"/>
      <c r="EB36" s="52" t="s">
        <v>328</v>
      </c>
      <c r="EC36" s="51">
        <v>1</v>
      </c>
      <c r="ED36" s="52" t="s">
        <v>374</v>
      </c>
      <c r="EE36" s="52" t="s">
        <v>294</v>
      </c>
      <c r="EF36" s="52" t="s">
        <v>331</v>
      </c>
      <c r="EG36" s="51">
        <v>0</v>
      </c>
      <c r="EH36" s="52"/>
      <c r="EI36" s="52"/>
      <c r="EJ36" s="52" t="s">
        <v>305</v>
      </c>
      <c r="EK36" s="52" t="s">
        <v>302</v>
      </c>
      <c r="EL36" s="51">
        <v>0</v>
      </c>
      <c r="EM36" s="52"/>
      <c r="EN36" s="52"/>
      <c r="EO36" s="52"/>
      <c r="EP36" s="51">
        <v>0</v>
      </c>
      <c r="EQ36" s="52"/>
      <c r="ER36" s="52" t="s">
        <v>299</v>
      </c>
      <c r="ES36" s="51">
        <v>1</v>
      </c>
      <c r="ET36" s="52"/>
      <c r="EU36" s="52" t="s">
        <v>404</v>
      </c>
      <c r="EV36" s="52"/>
      <c r="EW36" s="52"/>
      <c r="EX36" s="52"/>
      <c r="EY36" s="52" t="s">
        <v>574</v>
      </c>
      <c r="EZ36" s="52"/>
      <c r="FA36" s="52"/>
      <c r="FB36" s="51">
        <v>1</v>
      </c>
      <c r="FC36" s="52"/>
      <c r="FD36" s="52" t="s">
        <v>575</v>
      </c>
      <c r="FE36" s="52"/>
      <c r="FG36" s="52" t="s">
        <v>351</v>
      </c>
      <c r="FH36" s="52" t="s">
        <v>576</v>
      </c>
      <c r="FI36" s="52"/>
      <c r="FJ36" s="51">
        <v>-1</v>
      </c>
      <c r="FK36" s="51">
        <v>-1</v>
      </c>
      <c r="FL36" s="51">
        <v>-1</v>
      </c>
      <c r="FM36" s="51">
        <v>-1</v>
      </c>
      <c r="FN36" s="51">
        <v>-1</v>
      </c>
      <c r="FO36" s="51">
        <v>-1</v>
      </c>
      <c r="FP36" s="51">
        <v>-1</v>
      </c>
      <c r="FQ36" s="51">
        <v>-1</v>
      </c>
      <c r="FR36" s="51">
        <v>-1</v>
      </c>
      <c r="FS36" s="51">
        <v>-1</v>
      </c>
      <c r="FT36" s="51">
        <v>-1</v>
      </c>
      <c r="FU36" s="51">
        <v>-1</v>
      </c>
      <c r="FV36" s="51">
        <v>-1</v>
      </c>
      <c r="FW36" s="51">
        <v>-1</v>
      </c>
      <c r="FX36" s="51">
        <v>-1</v>
      </c>
      <c r="FY36" s="51">
        <v>-15</v>
      </c>
      <c r="FZ36" s="53"/>
      <c r="GA36" s="53"/>
      <c r="GB36" s="52" t="s">
        <v>319</v>
      </c>
      <c r="GC36" s="52" t="s">
        <v>320</v>
      </c>
      <c r="GD36" s="52" t="s">
        <v>277</v>
      </c>
      <c r="GE36" s="51">
        <v>15</v>
      </c>
      <c r="GF36" s="51">
        <v>15</v>
      </c>
      <c r="GG36" s="51">
        <v>31</v>
      </c>
      <c r="GH36" s="51">
        <v>8</v>
      </c>
      <c r="GI36" s="54"/>
    </row>
    <row r="37" spans="1:191" s="49" customFormat="1" x14ac:dyDescent="0.25">
      <c r="A37" s="65">
        <v>207</v>
      </c>
      <c r="B37" s="61" t="s">
        <v>421</v>
      </c>
      <c r="C37" s="61"/>
      <c r="D37" s="61" t="s">
        <v>422</v>
      </c>
      <c r="E37" s="61" t="s">
        <v>281</v>
      </c>
      <c r="F37" s="61" t="s">
        <v>282</v>
      </c>
      <c r="G37" s="61" t="s">
        <v>282</v>
      </c>
      <c r="H37" s="61" t="s">
        <v>282</v>
      </c>
      <c r="I37" s="61" t="s">
        <v>282</v>
      </c>
      <c r="J37" s="61" t="s">
        <v>281</v>
      </c>
      <c r="K37" s="61" t="s">
        <v>282</v>
      </c>
      <c r="L37" s="61" t="s">
        <v>282</v>
      </c>
      <c r="M37" s="61" t="s">
        <v>282</v>
      </c>
      <c r="N37" s="65">
        <v>0</v>
      </c>
      <c r="O37" s="61"/>
      <c r="P37" s="61"/>
      <c r="Q37" s="61" t="s">
        <v>355</v>
      </c>
      <c r="R37" s="61"/>
      <c r="S37" s="61"/>
      <c r="T37" s="61" t="s">
        <v>322</v>
      </c>
      <c r="U37" s="61"/>
      <c r="V37" s="61" t="s">
        <v>350</v>
      </c>
      <c r="W37" s="65">
        <v>1</v>
      </c>
      <c r="X37" s="61" t="s">
        <v>466</v>
      </c>
      <c r="Y37" s="61"/>
      <c r="Z37" s="61" t="s">
        <v>294</v>
      </c>
      <c r="AA37" s="61" t="s">
        <v>297</v>
      </c>
      <c r="AB37" s="65">
        <v>1</v>
      </c>
      <c r="AC37" s="61" t="s">
        <v>331</v>
      </c>
      <c r="AD37" s="61"/>
      <c r="AE37" s="61" t="s">
        <v>298</v>
      </c>
      <c r="AF37" s="61"/>
      <c r="AG37" s="65">
        <v>0</v>
      </c>
      <c r="AH37" s="61"/>
      <c r="AI37" s="61"/>
      <c r="AJ37" s="65">
        <v>0</v>
      </c>
      <c r="AK37" s="61"/>
      <c r="AL37" s="61"/>
      <c r="AM37" s="61" t="s">
        <v>299</v>
      </c>
      <c r="AN37" s="65">
        <v>0</v>
      </c>
      <c r="AO37" s="61"/>
      <c r="AP37" s="61"/>
      <c r="AQ37" s="61"/>
      <c r="AR37" s="61"/>
      <c r="AS37" s="65">
        <v>0</v>
      </c>
      <c r="AT37" s="61"/>
      <c r="AU37" s="61"/>
      <c r="AV37" s="61"/>
      <c r="AW37" s="61"/>
      <c r="AX37" s="65">
        <v>0</v>
      </c>
      <c r="AY37" s="61"/>
      <c r="AZ37" s="61"/>
      <c r="BA37" s="65">
        <v>0</v>
      </c>
      <c r="BB37" s="61"/>
      <c r="BC37" s="61"/>
      <c r="BD37" s="61"/>
      <c r="BE37" s="61"/>
      <c r="BF37" s="65">
        <v>0</v>
      </c>
      <c r="BG37" s="61"/>
      <c r="BH37" s="61"/>
      <c r="BI37" s="61"/>
      <c r="BJ37" s="61"/>
      <c r="BK37" s="65">
        <v>0</v>
      </c>
      <c r="BL37" s="61"/>
      <c r="BM37" s="61"/>
      <c r="BN37" s="65">
        <v>0</v>
      </c>
      <c r="BO37" s="61"/>
      <c r="BP37" s="61"/>
      <c r="BQ37" s="65">
        <v>0</v>
      </c>
      <c r="BR37" s="61"/>
      <c r="BS37" s="61"/>
      <c r="BT37" s="61"/>
      <c r="BU37" s="65">
        <v>0</v>
      </c>
      <c r="BV37" s="61"/>
      <c r="BW37" s="61"/>
      <c r="BX37" s="61"/>
      <c r="BY37" s="61"/>
      <c r="BZ37" s="65">
        <v>0</v>
      </c>
      <c r="CA37" s="61"/>
      <c r="CB37" s="61"/>
      <c r="CC37" s="65">
        <v>0</v>
      </c>
      <c r="CD37" s="61"/>
      <c r="CE37" s="61"/>
      <c r="CF37" s="65">
        <v>1</v>
      </c>
      <c r="CG37" s="61" t="s">
        <v>619</v>
      </c>
      <c r="CH37" s="61"/>
      <c r="CI37" s="61" t="s">
        <v>294</v>
      </c>
      <c r="CJ37" s="61" t="s">
        <v>297</v>
      </c>
      <c r="CK37" s="65">
        <v>0</v>
      </c>
      <c r="CL37" s="61"/>
      <c r="CM37" s="61"/>
      <c r="CN37" s="61" t="s">
        <v>288</v>
      </c>
      <c r="CO37" s="61" t="s">
        <v>331</v>
      </c>
      <c r="CP37" s="65">
        <v>0</v>
      </c>
      <c r="CQ37" s="61"/>
      <c r="CR37" s="61"/>
      <c r="CS37" s="65">
        <v>0</v>
      </c>
      <c r="CT37" s="61"/>
      <c r="CU37" s="61" t="s">
        <v>299</v>
      </c>
      <c r="CV37" s="36"/>
      <c r="CW37" s="65">
        <v>1</v>
      </c>
      <c r="CX37" s="61" t="s">
        <v>620</v>
      </c>
      <c r="CY37" s="61"/>
      <c r="CZ37" s="61" t="s">
        <v>301</v>
      </c>
      <c r="DA37" s="61" t="s">
        <v>297</v>
      </c>
      <c r="DB37" s="65">
        <v>0</v>
      </c>
      <c r="DC37" s="61"/>
      <c r="DD37" s="61"/>
      <c r="DE37" s="61" t="s">
        <v>324</v>
      </c>
      <c r="DF37" s="61" t="s">
        <v>297</v>
      </c>
      <c r="DG37" s="65">
        <v>0</v>
      </c>
      <c r="DH37" s="61"/>
      <c r="DI37" s="61"/>
      <c r="DJ37" s="65">
        <v>0</v>
      </c>
      <c r="DK37" s="61"/>
      <c r="DL37" s="61" t="s">
        <v>299</v>
      </c>
      <c r="DM37" s="65">
        <v>0</v>
      </c>
      <c r="DN37" s="61"/>
      <c r="DO37" s="61"/>
      <c r="DP37" s="61"/>
      <c r="DQ37" s="61"/>
      <c r="DR37" s="65">
        <v>0</v>
      </c>
      <c r="DS37" s="61"/>
      <c r="DT37" s="61"/>
      <c r="DU37" s="61"/>
      <c r="DV37" s="61"/>
      <c r="DW37" s="65">
        <v>0</v>
      </c>
      <c r="DX37" s="61"/>
      <c r="DY37" s="61"/>
      <c r="DZ37" s="61"/>
      <c r="EA37" s="61"/>
      <c r="EB37" s="61"/>
      <c r="EC37" s="65">
        <v>0</v>
      </c>
      <c r="ED37" s="61"/>
      <c r="EE37" s="61"/>
      <c r="EF37" s="61"/>
      <c r="EG37" s="65">
        <v>0</v>
      </c>
      <c r="EH37" s="61"/>
      <c r="EI37" s="61"/>
      <c r="EJ37" s="61"/>
      <c r="EK37" s="61"/>
      <c r="EL37" s="65">
        <v>0</v>
      </c>
      <c r="EM37" s="61"/>
      <c r="EN37" s="61"/>
      <c r="EO37" s="61"/>
      <c r="EP37" s="65">
        <v>0</v>
      </c>
      <c r="EQ37" s="61"/>
      <c r="ER37" s="61"/>
      <c r="ES37" s="65">
        <v>1</v>
      </c>
      <c r="ET37" s="61" t="s">
        <v>621</v>
      </c>
      <c r="EU37" s="61"/>
      <c r="EV37" s="61"/>
      <c r="EW37" s="61"/>
      <c r="EX37" s="61"/>
      <c r="EY37" s="61"/>
      <c r="EZ37" s="61"/>
      <c r="FA37" s="61"/>
      <c r="FB37" s="65">
        <v>1</v>
      </c>
      <c r="FC37" s="61" t="s">
        <v>622</v>
      </c>
      <c r="FD37" s="61"/>
      <c r="FE37" s="61"/>
      <c r="FG37" s="61" t="s">
        <v>351</v>
      </c>
      <c r="FH37" s="61"/>
      <c r="FI37" s="61"/>
      <c r="FJ37" s="65">
        <v>-1</v>
      </c>
      <c r="FK37" s="65">
        <v>-1</v>
      </c>
      <c r="FL37" s="65">
        <v>-1</v>
      </c>
      <c r="FM37" s="65">
        <v>-1</v>
      </c>
      <c r="FN37" s="65">
        <v>-1</v>
      </c>
      <c r="FO37" s="65">
        <v>-1</v>
      </c>
      <c r="FP37" s="65">
        <v>-1</v>
      </c>
      <c r="FQ37" s="65">
        <v>-1</v>
      </c>
      <c r="FR37" s="65">
        <v>-1</v>
      </c>
      <c r="FS37" s="65">
        <v>-1</v>
      </c>
      <c r="FT37" s="65">
        <v>-1</v>
      </c>
      <c r="FU37" s="65">
        <v>-1</v>
      </c>
      <c r="FV37" s="65">
        <v>-1</v>
      </c>
      <c r="FW37" s="65">
        <v>-1</v>
      </c>
      <c r="FX37" s="65">
        <v>-1</v>
      </c>
      <c r="FY37" s="65">
        <v>-15</v>
      </c>
      <c r="FZ37" s="66"/>
      <c r="GA37" s="66"/>
      <c r="GB37" s="61"/>
      <c r="GC37" s="61" t="s">
        <v>320</v>
      </c>
      <c r="GD37" s="61" t="s">
        <v>277</v>
      </c>
      <c r="GE37" s="65">
        <v>15</v>
      </c>
      <c r="GF37" s="65">
        <v>15</v>
      </c>
      <c r="GG37" s="65">
        <v>72</v>
      </c>
      <c r="GH37" s="65">
        <v>59</v>
      </c>
      <c r="GI37" s="67"/>
    </row>
    <row r="38" spans="1:191" s="45" customFormat="1" ht="13.8" thickBot="1" x14ac:dyDescent="0.3">
      <c r="A38" s="43">
        <v>230</v>
      </c>
      <c r="B38" s="44" t="s">
        <v>421</v>
      </c>
      <c r="C38" s="44" t="s">
        <v>279</v>
      </c>
      <c r="D38" s="44" t="s">
        <v>348</v>
      </c>
      <c r="E38" s="44" t="s">
        <v>282</v>
      </c>
      <c r="F38" s="44" t="s">
        <v>281</v>
      </c>
      <c r="G38" s="44" t="s">
        <v>282</v>
      </c>
      <c r="H38" s="44" t="s">
        <v>282</v>
      </c>
      <c r="I38" s="44" t="s">
        <v>282</v>
      </c>
      <c r="J38" s="44" t="s">
        <v>281</v>
      </c>
      <c r="K38" s="44" t="s">
        <v>281</v>
      </c>
      <c r="L38" s="44" t="s">
        <v>281</v>
      </c>
      <c r="M38" s="44" t="s">
        <v>281</v>
      </c>
      <c r="N38" s="43">
        <v>0</v>
      </c>
      <c r="O38" s="44"/>
      <c r="P38" s="44"/>
      <c r="Q38" s="44" t="s">
        <v>423</v>
      </c>
      <c r="R38" s="44"/>
      <c r="S38" s="44"/>
      <c r="T38" s="44"/>
      <c r="U38" s="45" t="s">
        <v>464</v>
      </c>
      <c r="V38" s="44" t="s">
        <v>346</v>
      </c>
      <c r="W38" s="43">
        <v>1</v>
      </c>
      <c r="X38" s="44" t="s">
        <v>685</v>
      </c>
      <c r="Y38" s="44"/>
      <c r="Z38" s="44" t="s">
        <v>303</v>
      </c>
      <c r="AA38" s="44" t="s">
        <v>297</v>
      </c>
      <c r="AB38" s="43">
        <v>1</v>
      </c>
      <c r="AC38" s="44"/>
      <c r="AD38" s="44" t="s">
        <v>302</v>
      </c>
      <c r="AE38" s="44" t="s">
        <v>288</v>
      </c>
      <c r="AF38" s="44" t="s">
        <v>331</v>
      </c>
      <c r="AG38" s="43">
        <v>1</v>
      </c>
      <c r="AH38" s="44"/>
      <c r="AI38" s="44" t="s">
        <v>686</v>
      </c>
      <c r="AJ38" s="43">
        <v>1</v>
      </c>
      <c r="AK38" s="44" t="s">
        <v>687</v>
      </c>
      <c r="AL38" s="44"/>
      <c r="AM38" s="44" t="s">
        <v>296</v>
      </c>
      <c r="AN38" s="43">
        <v>1</v>
      </c>
      <c r="AO38" s="44" t="s">
        <v>688</v>
      </c>
      <c r="AP38" s="44"/>
      <c r="AQ38" s="44" t="s">
        <v>294</v>
      </c>
      <c r="AR38" s="44" t="s">
        <v>297</v>
      </c>
      <c r="AS38" s="43">
        <v>1</v>
      </c>
      <c r="AT38" s="44"/>
      <c r="AU38" s="44" t="s">
        <v>302</v>
      </c>
      <c r="AV38" s="44" t="s">
        <v>288</v>
      </c>
      <c r="AW38" s="44" t="s">
        <v>297</v>
      </c>
      <c r="AX38" s="43">
        <v>1</v>
      </c>
      <c r="AY38" s="44"/>
      <c r="AZ38" s="44" t="s">
        <v>302</v>
      </c>
      <c r="BA38" s="43">
        <v>1</v>
      </c>
      <c r="BB38" s="44" t="s">
        <v>689</v>
      </c>
      <c r="BC38" s="44" t="s">
        <v>296</v>
      </c>
      <c r="BD38" s="44" t="s">
        <v>301</v>
      </c>
      <c r="BE38" s="44" t="s">
        <v>297</v>
      </c>
      <c r="BF38" s="43">
        <v>1</v>
      </c>
      <c r="BG38" s="44"/>
      <c r="BH38" s="44" t="s">
        <v>462</v>
      </c>
      <c r="BI38" s="44" t="s">
        <v>324</v>
      </c>
      <c r="BJ38" s="44" t="s">
        <v>339</v>
      </c>
      <c r="BK38" s="43">
        <v>1</v>
      </c>
      <c r="BL38" s="44"/>
      <c r="BM38" s="44" t="s">
        <v>297</v>
      </c>
      <c r="BN38" s="43">
        <v>1</v>
      </c>
      <c r="BO38" s="44" t="s">
        <v>690</v>
      </c>
      <c r="BP38" s="44" t="s">
        <v>296</v>
      </c>
      <c r="BQ38" s="43">
        <v>1</v>
      </c>
      <c r="BR38" s="44" t="s">
        <v>691</v>
      </c>
      <c r="BS38" s="44" t="s">
        <v>294</v>
      </c>
      <c r="BT38" s="44" t="s">
        <v>302</v>
      </c>
      <c r="BU38" s="43">
        <v>1</v>
      </c>
      <c r="BV38" s="44"/>
      <c r="BW38" s="44" t="s">
        <v>297</v>
      </c>
      <c r="BX38" s="44" t="s">
        <v>305</v>
      </c>
      <c r="BY38" s="44" t="s">
        <v>302</v>
      </c>
      <c r="BZ38" s="43">
        <v>1</v>
      </c>
      <c r="CA38" s="44"/>
      <c r="CB38" s="44" t="s">
        <v>297</v>
      </c>
      <c r="CC38" s="43">
        <v>1</v>
      </c>
      <c r="CD38" s="44" t="s">
        <v>689</v>
      </c>
      <c r="CE38" s="44" t="s">
        <v>299</v>
      </c>
      <c r="CF38" s="43">
        <v>1</v>
      </c>
      <c r="CG38" s="44" t="s">
        <v>358</v>
      </c>
      <c r="CH38" s="44"/>
      <c r="CI38" s="44" t="s">
        <v>294</v>
      </c>
      <c r="CJ38" s="44" t="s">
        <v>297</v>
      </c>
      <c r="CK38" s="43">
        <v>1</v>
      </c>
      <c r="CL38" s="44"/>
      <c r="CM38" s="44" t="s">
        <v>302</v>
      </c>
      <c r="CN38" s="44" t="s">
        <v>305</v>
      </c>
      <c r="CO38" s="44" t="s">
        <v>302</v>
      </c>
      <c r="CP38" s="43">
        <v>1</v>
      </c>
      <c r="CQ38" s="44"/>
      <c r="CR38" s="44" t="s">
        <v>297</v>
      </c>
      <c r="CS38" s="43">
        <v>1</v>
      </c>
      <c r="CT38" s="44" t="s">
        <v>689</v>
      </c>
      <c r="CU38" s="44" t="s">
        <v>299</v>
      </c>
      <c r="CV38" s="92">
        <f t="shared" si="0"/>
        <v>1</v>
      </c>
      <c r="CW38" s="43">
        <v>1</v>
      </c>
      <c r="CX38" s="44" t="s">
        <v>692</v>
      </c>
      <c r="CY38" s="44"/>
      <c r="CZ38" s="44" t="s">
        <v>301</v>
      </c>
      <c r="DA38" s="44" t="s">
        <v>339</v>
      </c>
      <c r="DB38" s="43">
        <v>1</v>
      </c>
      <c r="DC38" s="44"/>
      <c r="DD38" s="44" t="s">
        <v>297</v>
      </c>
      <c r="DE38" s="44" t="s">
        <v>324</v>
      </c>
      <c r="DF38" s="44" t="s">
        <v>339</v>
      </c>
      <c r="DG38" s="43">
        <v>1</v>
      </c>
      <c r="DH38" s="44"/>
      <c r="DI38" s="44" t="s">
        <v>297</v>
      </c>
      <c r="DJ38" s="43">
        <v>1</v>
      </c>
      <c r="DK38" s="44" t="s">
        <v>690</v>
      </c>
      <c r="DL38" s="44" t="s">
        <v>296</v>
      </c>
      <c r="DM38" s="43">
        <v>1</v>
      </c>
      <c r="DN38" s="44" t="s">
        <v>603</v>
      </c>
      <c r="DO38" s="44"/>
      <c r="DP38" s="44" t="s">
        <v>303</v>
      </c>
      <c r="DQ38" s="44" t="s">
        <v>331</v>
      </c>
      <c r="DR38" s="43">
        <v>1</v>
      </c>
      <c r="DS38" s="44"/>
      <c r="DT38" s="44" t="s">
        <v>406</v>
      </c>
      <c r="DU38" s="44" t="s">
        <v>298</v>
      </c>
      <c r="DV38" s="44" t="s">
        <v>331</v>
      </c>
      <c r="DW38" s="43">
        <v>1</v>
      </c>
      <c r="DX38" s="44"/>
      <c r="DY38" s="44" t="s">
        <v>406</v>
      </c>
      <c r="DZ38" s="44" t="s">
        <v>412</v>
      </c>
      <c r="EA38" s="44" t="s">
        <v>406</v>
      </c>
      <c r="EB38" s="44" t="s">
        <v>328</v>
      </c>
      <c r="EC38" s="43">
        <v>1</v>
      </c>
      <c r="ED38" s="44" t="s">
        <v>345</v>
      </c>
      <c r="EE38" s="44" t="s">
        <v>294</v>
      </c>
      <c r="EF38" s="44" t="s">
        <v>331</v>
      </c>
      <c r="EG38" s="43">
        <v>1</v>
      </c>
      <c r="EH38" s="44" t="s">
        <v>406</v>
      </c>
      <c r="EI38" s="44"/>
      <c r="EJ38" s="44" t="s">
        <v>305</v>
      </c>
      <c r="EK38" s="44" t="s">
        <v>331</v>
      </c>
      <c r="EL38" s="43">
        <v>1</v>
      </c>
      <c r="EM38" s="44"/>
      <c r="EN38" s="44" t="s">
        <v>287</v>
      </c>
      <c r="EO38" s="44" t="s">
        <v>460</v>
      </c>
      <c r="EP38" s="43">
        <v>1</v>
      </c>
      <c r="EQ38" s="44" t="s">
        <v>689</v>
      </c>
      <c r="ER38" s="44" t="s">
        <v>296</v>
      </c>
      <c r="ES38" s="43">
        <v>1</v>
      </c>
      <c r="ET38" s="44"/>
      <c r="EU38" s="44" t="s">
        <v>404</v>
      </c>
      <c r="EV38" s="44"/>
      <c r="EW38" s="44"/>
      <c r="EX38" s="44" t="s">
        <v>404</v>
      </c>
      <c r="EY38" s="44"/>
      <c r="EZ38" s="44"/>
      <c r="FA38" s="44"/>
      <c r="FB38" s="43">
        <v>0</v>
      </c>
      <c r="FC38" s="44"/>
      <c r="FD38" s="44"/>
      <c r="FE38" s="44"/>
      <c r="FG38" s="44" t="s">
        <v>317</v>
      </c>
      <c r="FH38" s="44" t="s">
        <v>693</v>
      </c>
      <c r="FI38" s="44"/>
      <c r="FJ38" s="43">
        <v>-1</v>
      </c>
      <c r="FK38" s="43">
        <v>-1</v>
      </c>
      <c r="FL38" s="43">
        <v>-1</v>
      </c>
      <c r="FM38" s="43">
        <v>-1</v>
      </c>
      <c r="FN38" s="43">
        <v>-1</v>
      </c>
      <c r="FO38" s="43">
        <v>-1</v>
      </c>
      <c r="FP38" s="43">
        <v>-1</v>
      </c>
      <c r="FQ38" s="43">
        <v>-1</v>
      </c>
      <c r="FR38" s="43">
        <v>-1</v>
      </c>
      <c r="FS38" s="43">
        <v>-1</v>
      </c>
      <c r="FT38" s="43">
        <v>-1</v>
      </c>
      <c r="FU38" s="43">
        <v>-1</v>
      </c>
      <c r="FV38" s="43">
        <v>-1</v>
      </c>
      <c r="FW38" s="43">
        <v>-1</v>
      </c>
      <c r="FX38" s="43">
        <v>-1</v>
      </c>
      <c r="FY38" s="43">
        <v>-15</v>
      </c>
      <c r="FZ38" s="46"/>
      <c r="GA38" s="46"/>
      <c r="GB38" s="44" t="s">
        <v>319</v>
      </c>
      <c r="GC38" s="44" t="s">
        <v>320</v>
      </c>
      <c r="GD38" s="44" t="s">
        <v>277</v>
      </c>
      <c r="GE38" s="43">
        <v>15</v>
      </c>
      <c r="GF38" s="43">
        <v>15</v>
      </c>
      <c r="GG38" s="43">
        <v>7</v>
      </c>
      <c r="GH38" s="43">
        <v>2</v>
      </c>
      <c r="GI38" s="47"/>
    </row>
    <row r="39" spans="1:191" s="48" customFormat="1" x14ac:dyDescent="0.25">
      <c r="A39" s="51">
        <v>128</v>
      </c>
      <c r="B39" s="52" t="s">
        <v>347</v>
      </c>
      <c r="C39" s="52" t="s">
        <v>279</v>
      </c>
      <c r="D39" s="52" t="s">
        <v>348</v>
      </c>
      <c r="E39" s="52" t="s">
        <v>281</v>
      </c>
      <c r="F39" s="52" t="s">
        <v>281</v>
      </c>
      <c r="G39" s="52" t="s">
        <v>281</v>
      </c>
      <c r="H39" s="52" t="s">
        <v>282</v>
      </c>
      <c r="I39" s="52" t="s">
        <v>282</v>
      </c>
      <c r="J39" s="52" t="s">
        <v>281</v>
      </c>
      <c r="K39" s="52" t="s">
        <v>282</v>
      </c>
      <c r="L39" s="52" t="s">
        <v>282</v>
      </c>
      <c r="M39" s="52" t="s">
        <v>281</v>
      </c>
      <c r="N39" s="51">
        <v>0</v>
      </c>
      <c r="O39" s="52"/>
      <c r="P39" s="52"/>
      <c r="Q39" s="52" t="s">
        <v>283</v>
      </c>
      <c r="R39" s="52" t="s">
        <v>322</v>
      </c>
      <c r="S39" s="52"/>
      <c r="T39" s="52"/>
      <c r="U39" s="52"/>
      <c r="V39" s="52" t="s">
        <v>350</v>
      </c>
      <c r="W39" s="51">
        <v>0</v>
      </c>
      <c r="X39" s="52"/>
      <c r="Y39" s="52"/>
      <c r="Z39" s="52" t="s">
        <v>303</v>
      </c>
      <c r="AA39" s="52" t="s">
        <v>302</v>
      </c>
      <c r="AB39" s="51">
        <v>0</v>
      </c>
      <c r="AC39" s="52"/>
      <c r="AD39" s="52"/>
      <c r="AE39" s="52" t="s">
        <v>298</v>
      </c>
      <c r="AF39" s="52" t="s">
        <v>302</v>
      </c>
      <c r="AG39" s="51">
        <v>0</v>
      </c>
      <c r="AH39" s="52"/>
      <c r="AI39" s="52"/>
      <c r="AJ39" s="51">
        <v>0</v>
      </c>
      <c r="AK39" s="52"/>
      <c r="AL39" s="52"/>
      <c r="AM39" s="52" t="s">
        <v>296</v>
      </c>
      <c r="AN39" s="51">
        <v>0</v>
      </c>
      <c r="AO39" s="52"/>
      <c r="AP39" s="52"/>
      <c r="AQ39" s="52" t="s">
        <v>301</v>
      </c>
      <c r="AR39" s="52" t="s">
        <v>287</v>
      </c>
      <c r="AS39" s="51">
        <v>0</v>
      </c>
      <c r="AT39" s="52"/>
      <c r="AU39" s="52"/>
      <c r="AV39" s="52" t="s">
        <v>324</v>
      </c>
      <c r="AW39" s="52" t="s">
        <v>287</v>
      </c>
      <c r="AX39" s="51">
        <v>0</v>
      </c>
      <c r="AY39" s="52"/>
      <c r="AZ39" s="52"/>
      <c r="BA39" s="51">
        <v>0</v>
      </c>
      <c r="BB39" s="52"/>
      <c r="BC39" s="52" t="s">
        <v>292</v>
      </c>
      <c r="BD39" s="52" t="s">
        <v>294</v>
      </c>
      <c r="BE39" s="52" t="s">
        <v>297</v>
      </c>
      <c r="BF39" s="51">
        <v>0</v>
      </c>
      <c r="BG39" s="52"/>
      <c r="BH39" s="52"/>
      <c r="BI39" s="52" t="s">
        <v>324</v>
      </c>
      <c r="BJ39" s="52" t="s">
        <v>297</v>
      </c>
      <c r="BK39" s="51">
        <v>0</v>
      </c>
      <c r="BL39" s="52"/>
      <c r="BM39" s="52"/>
      <c r="BN39" s="51">
        <v>0</v>
      </c>
      <c r="BO39" s="52"/>
      <c r="BP39" s="52" t="s">
        <v>296</v>
      </c>
      <c r="BQ39" s="51">
        <v>0</v>
      </c>
      <c r="BR39" s="52"/>
      <c r="BS39" s="52" t="s">
        <v>301</v>
      </c>
      <c r="BT39" s="52" t="s">
        <v>297</v>
      </c>
      <c r="BU39" s="51">
        <v>0</v>
      </c>
      <c r="BV39" s="52"/>
      <c r="BW39" s="52"/>
      <c r="BX39" s="52" t="s">
        <v>288</v>
      </c>
      <c r="BY39" s="52" t="s">
        <v>297</v>
      </c>
      <c r="BZ39" s="51">
        <v>0</v>
      </c>
      <c r="CA39" s="52"/>
      <c r="CB39" s="52"/>
      <c r="CC39" s="51">
        <v>0</v>
      </c>
      <c r="CD39" s="52"/>
      <c r="CE39" s="52" t="s">
        <v>296</v>
      </c>
      <c r="CF39" s="51">
        <v>0</v>
      </c>
      <c r="CG39" s="52"/>
      <c r="CH39" s="52"/>
      <c r="CI39" s="52" t="s">
        <v>294</v>
      </c>
      <c r="CJ39" s="52" t="s">
        <v>302</v>
      </c>
      <c r="CK39" s="51">
        <v>0</v>
      </c>
      <c r="CL39" s="52"/>
      <c r="CM39" s="52"/>
      <c r="CN39" s="52" t="s">
        <v>305</v>
      </c>
      <c r="CO39" s="52" t="s">
        <v>302</v>
      </c>
      <c r="CP39" s="51">
        <v>0</v>
      </c>
      <c r="CQ39" s="52"/>
      <c r="CR39" s="52"/>
      <c r="CS39" s="51">
        <v>0</v>
      </c>
      <c r="CT39" s="52"/>
      <c r="CU39" s="52" t="s">
        <v>296</v>
      </c>
      <c r="CV39" s="36">
        <f t="shared" si="0"/>
        <v>1</v>
      </c>
      <c r="CW39" s="51">
        <v>0</v>
      </c>
      <c r="CX39" s="52"/>
      <c r="CY39" s="52"/>
      <c r="CZ39" s="52" t="s">
        <v>294</v>
      </c>
      <c r="DA39" s="52" t="s">
        <v>302</v>
      </c>
      <c r="DB39" s="51">
        <v>0</v>
      </c>
      <c r="DC39" s="52"/>
      <c r="DD39" s="52"/>
      <c r="DE39" s="52" t="s">
        <v>298</v>
      </c>
      <c r="DF39" s="52" t="s">
        <v>302</v>
      </c>
      <c r="DG39" s="51">
        <v>0</v>
      </c>
      <c r="DH39" s="52"/>
      <c r="DI39" s="52"/>
      <c r="DJ39" s="51">
        <v>0</v>
      </c>
      <c r="DK39" s="52"/>
      <c r="DL39" s="52" t="s">
        <v>296</v>
      </c>
      <c r="DM39" s="51">
        <v>1</v>
      </c>
      <c r="DN39" s="52" t="s">
        <v>349</v>
      </c>
      <c r="DO39" s="52"/>
      <c r="DP39" s="52" t="s">
        <v>303</v>
      </c>
      <c r="DQ39" s="52" t="s">
        <v>331</v>
      </c>
      <c r="DR39" s="51">
        <v>0</v>
      </c>
      <c r="DS39" s="52"/>
      <c r="DT39" s="52"/>
      <c r="DU39" s="52"/>
      <c r="DV39" s="52" t="s">
        <v>331</v>
      </c>
      <c r="DW39" s="51">
        <v>0</v>
      </c>
      <c r="DX39" s="52"/>
      <c r="DY39" s="52"/>
      <c r="DZ39" s="52"/>
      <c r="EA39" s="52"/>
      <c r="EB39" s="52" t="s">
        <v>296</v>
      </c>
      <c r="EC39" s="51">
        <v>0</v>
      </c>
      <c r="ED39" s="52"/>
      <c r="EE39" s="52" t="s">
        <v>303</v>
      </c>
      <c r="EF39" s="52" t="s">
        <v>331</v>
      </c>
      <c r="EG39" s="51">
        <v>0</v>
      </c>
      <c r="EH39" s="52"/>
      <c r="EI39" s="52"/>
      <c r="EJ39" s="52" t="s">
        <v>324</v>
      </c>
      <c r="EK39" s="52" t="s">
        <v>331</v>
      </c>
      <c r="EL39" s="51">
        <v>0</v>
      </c>
      <c r="EM39" s="52"/>
      <c r="EN39" s="52"/>
      <c r="EO39" s="52"/>
      <c r="EP39" s="51">
        <v>0</v>
      </c>
      <c r="EQ39" s="52"/>
      <c r="ER39" s="52"/>
      <c r="ES39" s="51">
        <v>0</v>
      </c>
      <c r="ET39" s="52"/>
      <c r="EU39" s="52"/>
      <c r="EV39" s="52"/>
      <c r="EW39" s="52"/>
      <c r="EX39" s="52"/>
      <c r="EY39" s="52"/>
      <c r="EZ39" s="52"/>
      <c r="FA39" s="52"/>
      <c r="FB39" s="51">
        <v>0</v>
      </c>
      <c r="FC39" s="52"/>
      <c r="FD39" s="52"/>
      <c r="FE39" s="52"/>
      <c r="FG39" s="52" t="s">
        <v>351</v>
      </c>
      <c r="FH39" s="52" t="s">
        <v>352</v>
      </c>
      <c r="FI39" s="52"/>
      <c r="FJ39" s="51">
        <v>-1</v>
      </c>
      <c r="FK39" s="51">
        <v>-1</v>
      </c>
      <c r="FL39" s="51">
        <v>-1</v>
      </c>
      <c r="FM39" s="51">
        <v>-1</v>
      </c>
      <c r="FN39" s="51">
        <v>-1</v>
      </c>
      <c r="FO39" s="51">
        <v>-1</v>
      </c>
      <c r="FP39" s="51">
        <v>-1</v>
      </c>
      <c r="FQ39" s="51">
        <v>-1</v>
      </c>
      <c r="FR39" s="51">
        <v>-1</v>
      </c>
      <c r="FS39" s="51">
        <v>-1</v>
      </c>
      <c r="FT39" s="51">
        <v>-1</v>
      </c>
      <c r="FU39" s="51">
        <v>-1</v>
      </c>
      <c r="FV39" s="51">
        <v>-1</v>
      </c>
      <c r="FW39" s="51">
        <v>-1</v>
      </c>
      <c r="FX39" s="51">
        <v>-1</v>
      </c>
      <c r="FY39" s="51">
        <v>-15</v>
      </c>
      <c r="FZ39" s="53"/>
      <c r="GA39" s="53"/>
      <c r="GB39" s="52"/>
      <c r="GC39" s="52" t="s">
        <v>320</v>
      </c>
      <c r="GD39" s="52" t="s">
        <v>277</v>
      </c>
      <c r="GE39" s="51">
        <v>15</v>
      </c>
      <c r="GF39" s="51">
        <v>15</v>
      </c>
      <c r="GG39" s="51">
        <v>51</v>
      </c>
      <c r="GH39" s="51">
        <v>22</v>
      </c>
      <c r="GI39" s="54"/>
    </row>
    <row r="40" spans="1:191" s="50" customFormat="1" x14ac:dyDescent="0.25">
      <c r="A40" s="55">
        <v>140</v>
      </c>
      <c r="B40" s="56" t="s">
        <v>347</v>
      </c>
      <c r="C40" s="56" t="s">
        <v>353</v>
      </c>
      <c r="D40" s="56" t="s">
        <v>377</v>
      </c>
      <c r="E40" s="56" t="s">
        <v>281</v>
      </c>
      <c r="F40" s="56" t="s">
        <v>281</v>
      </c>
      <c r="G40" s="56" t="s">
        <v>282</v>
      </c>
      <c r="H40" s="56" t="s">
        <v>282</v>
      </c>
      <c r="I40" s="56" t="s">
        <v>282</v>
      </c>
      <c r="J40" s="56" t="s">
        <v>281</v>
      </c>
      <c r="K40" s="56" t="s">
        <v>282</v>
      </c>
      <c r="L40" s="56" t="s">
        <v>282</v>
      </c>
      <c r="M40" s="56" t="s">
        <v>282</v>
      </c>
      <c r="N40" s="55">
        <v>0</v>
      </c>
      <c r="O40" s="56"/>
      <c r="P40" s="56"/>
      <c r="Q40" s="56" t="s">
        <v>337</v>
      </c>
      <c r="R40" s="56"/>
      <c r="S40" s="50" t="s">
        <v>395</v>
      </c>
      <c r="T40" s="56"/>
      <c r="U40" s="56"/>
      <c r="V40" s="56" t="s">
        <v>393</v>
      </c>
      <c r="W40" s="55">
        <v>0</v>
      </c>
      <c r="X40" s="56"/>
      <c r="Y40" s="56"/>
      <c r="Z40" s="56"/>
      <c r="AA40" s="56"/>
      <c r="AB40" s="55">
        <v>0</v>
      </c>
      <c r="AC40" s="56"/>
      <c r="AD40" s="56"/>
      <c r="AE40" s="56"/>
      <c r="AF40" s="56"/>
      <c r="AG40" s="55">
        <v>0</v>
      </c>
      <c r="AH40" s="56"/>
      <c r="AI40" s="56"/>
      <c r="AJ40" s="55">
        <v>0</v>
      </c>
      <c r="AK40" s="56"/>
      <c r="AL40" s="56"/>
      <c r="AM40" s="56"/>
      <c r="AN40" s="55">
        <v>0</v>
      </c>
      <c r="AO40" s="56"/>
      <c r="AP40" s="56"/>
      <c r="AQ40" s="56"/>
      <c r="AR40" s="56"/>
      <c r="AS40" s="55">
        <v>0</v>
      </c>
      <c r="AT40" s="56"/>
      <c r="AU40" s="56"/>
      <c r="AV40" s="56"/>
      <c r="AW40" s="56"/>
      <c r="AX40" s="55">
        <v>0</v>
      </c>
      <c r="AY40" s="56"/>
      <c r="AZ40" s="56"/>
      <c r="BA40" s="55">
        <v>0</v>
      </c>
      <c r="BB40" s="56"/>
      <c r="BC40" s="56"/>
      <c r="BD40" s="56"/>
      <c r="BE40" s="56"/>
      <c r="BF40" s="55">
        <v>0</v>
      </c>
      <c r="BG40" s="56"/>
      <c r="BH40" s="56"/>
      <c r="BI40" s="56"/>
      <c r="BJ40" s="56"/>
      <c r="BK40" s="55">
        <v>0</v>
      </c>
      <c r="BL40" s="56"/>
      <c r="BM40" s="56"/>
      <c r="BN40" s="55">
        <v>0</v>
      </c>
      <c r="BO40" s="56"/>
      <c r="BP40" s="56" t="s">
        <v>296</v>
      </c>
      <c r="BQ40" s="55">
        <v>1</v>
      </c>
      <c r="BR40" s="56" t="s">
        <v>396</v>
      </c>
      <c r="BS40" s="56" t="s">
        <v>301</v>
      </c>
      <c r="BT40" s="56" t="s">
        <v>297</v>
      </c>
      <c r="BU40" s="55">
        <v>0</v>
      </c>
      <c r="BV40" s="56"/>
      <c r="BW40" s="56"/>
      <c r="BX40" s="56" t="s">
        <v>324</v>
      </c>
      <c r="BY40" s="56" t="s">
        <v>287</v>
      </c>
      <c r="BZ40" s="55">
        <v>0</v>
      </c>
      <c r="CA40" s="56"/>
      <c r="CB40" s="56"/>
      <c r="CC40" s="55">
        <v>0</v>
      </c>
      <c r="CD40" s="56"/>
      <c r="CE40" s="56" t="s">
        <v>296</v>
      </c>
      <c r="CF40" s="55">
        <v>1</v>
      </c>
      <c r="CG40" s="56" t="s">
        <v>397</v>
      </c>
      <c r="CH40" s="56"/>
      <c r="CI40" s="56" t="s">
        <v>303</v>
      </c>
      <c r="CJ40" s="56" t="s">
        <v>302</v>
      </c>
      <c r="CK40" s="55">
        <v>1</v>
      </c>
      <c r="CL40" s="56" t="s">
        <v>398</v>
      </c>
      <c r="CM40" s="56"/>
      <c r="CN40" s="56" t="s">
        <v>305</v>
      </c>
      <c r="CO40" s="56"/>
      <c r="CP40" s="55">
        <v>0</v>
      </c>
      <c r="CQ40" s="56"/>
      <c r="CR40" s="56"/>
      <c r="CS40" s="55">
        <v>0</v>
      </c>
      <c r="CT40" s="56"/>
      <c r="CU40" s="56" t="s">
        <v>299</v>
      </c>
      <c r="CV40" s="36">
        <f t="shared" si="0"/>
        <v>0</v>
      </c>
      <c r="CW40" s="55">
        <v>1</v>
      </c>
      <c r="CX40" s="56" t="s">
        <v>399</v>
      </c>
      <c r="CY40" s="56"/>
      <c r="CZ40" s="56" t="s">
        <v>303</v>
      </c>
      <c r="DA40" s="56" t="s">
        <v>331</v>
      </c>
      <c r="DB40" s="55">
        <v>0</v>
      </c>
      <c r="DC40" s="56"/>
      <c r="DD40" s="56"/>
      <c r="DE40" s="56" t="s">
        <v>305</v>
      </c>
      <c r="DF40" s="56"/>
      <c r="DG40" s="55">
        <v>0</v>
      </c>
      <c r="DH40" s="56"/>
      <c r="DI40" s="56"/>
      <c r="DJ40" s="55">
        <v>0</v>
      </c>
      <c r="DK40" s="56"/>
      <c r="DL40" s="56" t="s">
        <v>299</v>
      </c>
      <c r="DM40" s="55">
        <v>1</v>
      </c>
      <c r="DN40" s="56" t="s">
        <v>400</v>
      </c>
      <c r="DO40" s="56"/>
      <c r="DP40" s="56" t="s">
        <v>294</v>
      </c>
      <c r="DQ40" s="56" t="s">
        <v>331</v>
      </c>
      <c r="DR40" s="55">
        <v>0</v>
      </c>
      <c r="DS40" s="56"/>
      <c r="DT40" s="56"/>
      <c r="DU40" s="56" t="s">
        <v>288</v>
      </c>
      <c r="DV40" s="56" t="s">
        <v>302</v>
      </c>
      <c r="DW40" s="55">
        <v>0</v>
      </c>
      <c r="DX40" s="56"/>
      <c r="DY40" s="56"/>
      <c r="DZ40" s="56"/>
      <c r="EA40" s="56"/>
      <c r="EB40" s="56" t="s">
        <v>299</v>
      </c>
      <c r="EC40" s="55">
        <v>1</v>
      </c>
      <c r="ED40" s="56" t="s">
        <v>401</v>
      </c>
      <c r="EE40" s="56" t="s">
        <v>294</v>
      </c>
      <c r="EF40" s="56" t="s">
        <v>331</v>
      </c>
      <c r="EG40" s="55">
        <v>0</v>
      </c>
      <c r="EH40" s="56"/>
      <c r="EI40" s="56"/>
      <c r="EJ40" s="56" t="s">
        <v>288</v>
      </c>
      <c r="EK40" s="56" t="s">
        <v>331</v>
      </c>
      <c r="EL40" s="55">
        <v>0</v>
      </c>
      <c r="EM40" s="56"/>
      <c r="EN40" s="56"/>
      <c r="EO40" s="56"/>
      <c r="EP40" s="55">
        <v>0</v>
      </c>
      <c r="EQ40" s="56"/>
      <c r="ER40" s="56" t="s">
        <v>328</v>
      </c>
      <c r="ES40" s="55">
        <v>0</v>
      </c>
      <c r="ET40" s="56"/>
      <c r="EU40" s="56"/>
      <c r="EV40" s="56"/>
      <c r="EW40" s="56"/>
      <c r="EX40" s="56"/>
      <c r="EY40" s="56"/>
      <c r="EZ40" s="56"/>
      <c r="FA40" s="56"/>
      <c r="FB40" s="55">
        <v>0</v>
      </c>
      <c r="FC40" s="56"/>
      <c r="FD40" s="56"/>
      <c r="FE40" s="56"/>
      <c r="FG40" s="56" t="s">
        <v>351</v>
      </c>
      <c r="FH40" s="56"/>
      <c r="FI40" s="56"/>
      <c r="FJ40" s="55">
        <v>-1</v>
      </c>
      <c r="FK40" s="55">
        <v>-1</v>
      </c>
      <c r="FL40" s="55">
        <v>-1</v>
      </c>
      <c r="FM40" s="55">
        <v>-1</v>
      </c>
      <c r="FN40" s="55">
        <v>-1</v>
      </c>
      <c r="FO40" s="55">
        <v>-1</v>
      </c>
      <c r="FP40" s="55">
        <v>-1</v>
      </c>
      <c r="FQ40" s="55">
        <v>-1</v>
      </c>
      <c r="FR40" s="55">
        <v>-1</v>
      </c>
      <c r="FS40" s="55">
        <v>-1</v>
      </c>
      <c r="FT40" s="55">
        <v>-1</v>
      </c>
      <c r="FU40" s="55">
        <v>-1</v>
      </c>
      <c r="FV40" s="55">
        <v>-1</v>
      </c>
      <c r="FW40" s="55">
        <v>-1</v>
      </c>
      <c r="FX40" s="55">
        <v>-1</v>
      </c>
      <c r="FY40" s="55">
        <v>-15</v>
      </c>
      <c r="FZ40" s="57"/>
      <c r="GA40" s="57"/>
      <c r="GB40" s="56"/>
      <c r="GC40" s="56" t="s">
        <v>320</v>
      </c>
      <c r="GD40" s="56" t="s">
        <v>277</v>
      </c>
      <c r="GE40" s="55">
        <v>15</v>
      </c>
      <c r="GF40" s="55">
        <v>15</v>
      </c>
      <c r="GG40" s="55">
        <v>59</v>
      </c>
      <c r="GH40" s="55">
        <v>39</v>
      </c>
      <c r="GI40" s="58"/>
    </row>
    <row r="41" spans="1:191" s="48" customFormat="1" x14ac:dyDescent="0.25">
      <c r="A41" s="51">
        <v>152</v>
      </c>
      <c r="B41" s="52" t="s">
        <v>347</v>
      </c>
      <c r="C41" s="52" t="s">
        <v>353</v>
      </c>
      <c r="D41" s="52" t="s">
        <v>377</v>
      </c>
      <c r="E41" s="52" t="s">
        <v>281</v>
      </c>
      <c r="F41" s="52" t="s">
        <v>281</v>
      </c>
      <c r="G41" s="52" t="s">
        <v>282</v>
      </c>
      <c r="H41" s="52" t="s">
        <v>282</v>
      </c>
      <c r="I41" s="52" t="s">
        <v>282</v>
      </c>
      <c r="J41" s="52" t="s">
        <v>281</v>
      </c>
      <c r="K41" s="52" t="s">
        <v>282</v>
      </c>
      <c r="L41" s="52" t="s">
        <v>282</v>
      </c>
      <c r="M41" s="52" t="s">
        <v>282</v>
      </c>
      <c r="N41" s="51">
        <v>0</v>
      </c>
      <c r="O41" s="52"/>
      <c r="P41" s="52"/>
      <c r="Q41" s="52" t="s">
        <v>283</v>
      </c>
      <c r="R41" s="52" t="s">
        <v>322</v>
      </c>
      <c r="S41" s="52"/>
      <c r="T41" s="52"/>
      <c r="U41" s="52"/>
      <c r="V41" s="52" t="s">
        <v>437</v>
      </c>
      <c r="W41" s="51">
        <v>0</v>
      </c>
      <c r="X41" s="52"/>
      <c r="Y41" s="52"/>
      <c r="Z41" s="52" t="s">
        <v>303</v>
      </c>
      <c r="AA41" s="52" t="s">
        <v>302</v>
      </c>
      <c r="AB41" s="51">
        <v>0</v>
      </c>
      <c r="AC41" s="52"/>
      <c r="AD41" s="52"/>
      <c r="AE41" s="52" t="s">
        <v>305</v>
      </c>
      <c r="AF41" s="52" t="s">
        <v>302</v>
      </c>
      <c r="AG41" s="51">
        <v>0</v>
      </c>
      <c r="AH41" s="52"/>
      <c r="AI41" s="52"/>
      <c r="AJ41" s="51">
        <v>0</v>
      </c>
      <c r="AK41" s="52"/>
      <c r="AL41" s="52"/>
      <c r="AM41" s="52" t="s">
        <v>299</v>
      </c>
      <c r="AN41" s="51">
        <v>0</v>
      </c>
      <c r="AO41" s="52"/>
      <c r="AP41" s="52"/>
      <c r="AQ41" s="52" t="s">
        <v>310</v>
      </c>
      <c r="AR41" s="52" t="s">
        <v>287</v>
      </c>
      <c r="AS41" s="51">
        <v>0</v>
      </c>
      <c r="AT41" s="52"/>
      <c r="AU41" s="52"/>
      <c r="AV41" s="52" t="s">
        <v>324</v>
      </c>
      <c r="AW41" s="52" t="s">
        <v>339</v>
      </c>
      <c r="AX41" s="51">
        <v>1</v>
      </c>
      <c r="AY41" s="52" t="s">
        <v>434</v>
      </c>
      <c r="AZ41" s="52"/>
      <c r="BA41" s="51">
        <v>1</v>
      </c>
      <c r="BB41" s="52" t="s">
        <v>435</v>
      </c>
      <c r="BC41" s="52" t="s">
        <v>296</v>
      </c>
      <c r="BD41" s="52" t="s">
        <v>294</v>
      </c>
      <c r="BE41" s="52" t="s">
        <v>297</v>
      </c>
      <c r="BF41" s="51">
        <v>1</v>
      </c>
      <c r="BG41" s="52" t="s">
        <v>302</v>
      </c>
      <c r="BH41" s="52"/>
      <c r="BI41" s="52" t="s">
        <v>288</v>
      </c>
      <c r="BJ41" s="52" t="s">
        <v>302</v>
      </c>
      <c r="BK41" s="51">
        <v>0</v>
      </c>
      <c r="BL41" s="52"/>
      <c r="BM41" s="52"/>
      <c r="BN41" s="51">
        <v>0</v>
      </c>
      <c r="BO41" s="52"/>
      <c r="BP41" s="52" t="s">
        <v>296</v>
      </c>
      <c r="BQ41" s="51">
        <v>0</v>
      </c>
      <c r="BR41" s="52"/>
      <c r="BS41" s="52" t="s">
        <v>303</v>
      </c>
      <c r="BT41" s="52" t="s">
        <v>331</v>
      </c>
      <c r="BU41" s="51">
        <v>0</v>
      </c>
      <c r="BV41" s="52"/>
      <c r="BW41" s="52"/>
      <c r="BX41" s="52" t="s">
        <v>298</v>
      </c>
      <c r="BY41" s="52" t="s">
        <v>331</v>
      </c>
      <c r="BZ41" s="51">
        <v>0</v>
      </c>
      <c r="CA41" s="52"/>
      <c r="CB41" s="52"/>
      <c r="CC41" s="51">
        <v>0</v>
      </c>
      <c r="CD41" s="52"/>
      <c r="CE41" s="52" t="s">
        <v>296</v>
      </c>
      <c r="CF41" s="51">
        <v>0</v>
      </c>
      <c r="CG41" s="52"/>
      <c r="CH41" s="52"/>
      <c r="CI41" s="52" t="s">
        <v>294</v>
      </c>
      <c r="CJ41" s="52" t="s">
        <v>297</v>
      </c>
      <c r="CK41" s="51">
        <v>0</v>
      </c>
      <c r="CL41" s="52"/>
      <c r="CM41" s="52"/>
      <c r="CN41" s="52" t="s">
        <v>288</v>
      </c>
      <c r="CO41" s="52" t="s">
        <v>302</v>
      </c>
      <c r="CP41" s="51">
        <v>0</v>
      </c>
      <c r="CQ41" s="52"/>
      <c r="CR41" s="52"/>
      <c r="CS41" s="51">
        <v>0</v>
      </c>
      <c r="CT41" s="52"/>
      <c r="CU41" s="52" t="s">
        <v>299</v>
      </c>
      <c r="CV41" s="36">
        <f t="shared" si="0"/>
        <v>0</v>
      </c>
      <c r="CW41" s="51">
        <v>0</v>
      </c>
      <c r="CX41" s="52"/>
      <c r="CY41" s="52"/>
      <c r="CZ41" s="52" t="s">
        <v>303</v>
      </c>
      <c r="DA41" s="52" t="s">
        <v>302</v>
      </c>
      <c r="DB41" s="51">
        <v>0</v>
      </c>
      <c r="DC41" s="52"/>
      <c r="DD41" s="52"/>
      <c r="DE41" s="52" t="s">
        <v>305</v>
      </c>
      <c r="DF41" s="52" t="s">
        <v>302</v>
      </c>
      <c r="DG41" s="51">
        <v>0</v>
      </c>
      <c r="DH41" s="52"/>
      <c r="DI41" s="52"/>
      <c r="DJ41" s="51">
        <v>0</v>
      </c>
      <c r="DK41" s="52"/>
      <c r="DL41" s="52" t="s">
        <v>299</v>
      </c>
      <c r="DM41" s="51">
        <v>0</v>
      </c>
      <c r="DN41" s="52"/>
      <c r="DO41" s="52"/>
      <c r="DP41" s="52" t="s">
        <v>303</v>
      </c>
      <c r="DQ41" s="52" t="s">
        <v>331</v>
      </c>
      <c r="DR41" s="51">
        <v>0</v>
      </c>
      <c r="DS41" s="52"/>
      <c r="DT41" s="52"/>
      <c r="DU41" s="52" t="s">
        <v>298</v>
      </c>
      <c r="DV41" s="52" t="s">
        <v>331</v>
      </c>
      <c r="DW41" s="51">
        <v>0</v>
      </c>
      <c r="DX41" s="52"/>
      <c r="DY41" s="52"/>
      <c r="DZ41" s="52"/>
      <c r="EA41" s="52"/>
      <c r="EB41" s="52" t="s">
        <v>296</v>
      </c>
      <c r="EC41" s="51">
        <v>0</v>
      </c>
      <c r="ED41" s="52"/>
      <c r="EE41" s="52" t="s">
        <v>294</v>
      </c>
      <c r="EF41" s="52" t="s">
        <v>331</v>
      </c>
      <c r="EG41" s="51">
        <v>0</v>
      </c>
      <c r="EH41" s="52"/>
      <c r="EI41" s="52"/>
      <c r="EJ41" s="52" t="s">
        <v>305</v>
      </c>
      <c r="EK41" s="52" t="s">
        <v>331</v>
      </c>
      <c r="EL41" s="51">
        <v>0</v>
      </c>
      <c r="EM41" s="52"/>
      <c r="EN41" s="52"/>
      <c r="EO41" s="52"/>
      <c r="EP41" s="51">
        <v>0</v>
      </c>
      <c r="EQ41" s="52"/>
      <c r="ER41" s="52" t="s">
        <v>296</v>
      </c>
      <c r="ES41" s="51">
        <v>1</v>
      </c>
      <c r="ET41" s="52" t="s">
        <v>404</v>
      </c>
      <c r="EU41" s="52"/>
      <c r="EV41" s="52"/>
      <c r="EW41" s="52"/>
      <c r="EX41" s="52"/>
      <c r="EY41" s="52"/>
      <c r="EZ41" s="52"/>
      <c r="FA41" s="52"/>
      <c r="FB41" s="51">
        <v>1</v>
      </c>
      <c r="FC41" s="52" t="s">
        <v>436</v>
      </c>
      <c r="FD41" s="52"/>
      <c r="FE41" s="52"/>
      <c r="FG41" s="52" t="s">
        <v>351</v>
      </c>
      <c r="FH41" s="52" t="s">
        <v>438</v>
      </c>
      <c r="FI41" s="52"/>
      <c r="FJ41" s="51">
        <v>-1</v>
      </c>
      <c r="FK41" s="51">
        <v>-1</v>
      </c>
      <c r="FL41" s="51">
        <v>-1</v>
      </c>
      <c r="FM41" s="51">
        <v>-1</v>
      </c>
      <c r="FN41" s="51">
        <v>-1</v>
      </c>
      <c r="FO41" s="51">
        <v>-1</v>
      </c>
      <c r="FP41" s="51">
        <v>-1</v>
      </c>
      <c r="FQ41" s="51">
        <v>-1</v>
      </c>
      <c r="FR41" s="51">
        <v>-1</v>
      </c>
      <c r="FS41" s="51">
        <v>-1</v>
      </c>
      <c r="FT41" s="51">
        <v>-1</v>
      </c>
      <c r="FU41" s="51">
        <v>-1</v>
      </c>
      <c r="FV41" s="51">
        <v>-1</v>
      </c>
      <c r="FW41" s="51">
        <v>-1</v>
      </c>
      <c r="FX41" s="51">
        <v>-1</v>
      </c>
      <c r="FY41" s="51">
        <v>-15</v>
      </c>
      <c r="FZ41" s="53"/>
      <c r="GA41" s="53"/>
      <c r="GB41" s="52" t="s">
        <v>319</v>
      </c>
      <c r="GC41" s="52" t="s">
        <v>320</v>
      </c>
      <c r="GD41" s="52" t="s">
        <v>277</v>
      </c>
      <c r="GE41" s="51">
        <v>15</v>
      </c>
      <c r="GF41" s="51">
        <v>15</v>
      </c>
      <c r="GG41" s="51">
        <v>45</v>
      </c>
      <c r="GH41" s="51">
        <v>17</v>
      </c>
      <c r="GI41" s="54"/>
    </row>
    <row r="42" spans="1:191" s="48" customFormat="1" x14ac:dyDescent="0.25">
      <c r="A42" s="51">
        <v>157</v>
      </c>
      <c r="B42" s="52" t="s">
        <v>347</v>
      </c>
      <c r="C42" s="52" t="s">
        <v>353</v>
      </c>
      <c r="D42" s="52" t="s">
        <v>280</v>
      </c>
      <c r="E42" s="52" t="s">
        <v>281</v>
      </c>
      <c r="F42" s="52" t="s">
        <v>282</v>
      </c>
      <c r="G42" s="52" t="s">
        <v>281</v>
      </c>
      <c r="H42" s="52" t="s">
        <v>282</v>
      </c>
      <c r="I42" s="52" t="s">
        <v>282</v>
      </c>
      <c r="J42" s="52" t="s">
        <v>281</v>
      </c>
      <c r="K42" s="52" t="s">
        <v>282</v>
      </c>
      <c r="L42" s="52" t="s">
        <v>281</v>
      </c>
      <c r="M42" s="52" t="s">
        <v>282</v>
      </c>
      <c r="N42" s="51">
        <v>0</v>
      </c>
      <c r="O42" s="52"/>
      <c r="P42" s="52"/>
      <c r="Q42" s="52" t="s">
        <v>283</v>
      </c>
      <c r="R42" s="52" t="s">
        <v>322</v>
      </c>
      <c r="S42" s="52"/>
      <c r="T42" s="52"/>
      <c r="U42" s="52"/>
      <c r="V42" s="52" t="s">
        <v>437</v>
      </c>
      <c r="W42" s="51">
        <v>0</v>
      </c>
      <c r="X42" s="52"/>
      <c r="Y42" s="52"/>
      <c r="Z42" s="52"/>
      <c r="AA42" s="52"/>
      <c r="AB42" s="51">
        <v>0</v>
      </c>
      <c r="AC42" s="52"/>
      <c r="AD42" s="52"/>
      <c r="AE42" s="52"/>
      <c r="AF42" s="52"/>
      <c r="AG42" s="51">
        <v>0</v>
      </c>
      <c r="AH42" s="52"/>
      <c r="AI42" s="52"/>
      <c r="AJ42" s="51">
        <v>0</v>
      </c>
      <c r="AK42" s="52"/>
      <c r="AL42" s="52"/>
      <c r="AM42" s="52"/>
      <c r="AN42" s="51"/>
      <c r="AO42" s="52"/>
      <c r="AP42" s="52"/>
      <c r="AQ42" s="52"/>
      <c r="AR42" s="52"/>
      <c r="AS42" s="51"/>
      <c r="AT42" s="52"/>
      <c r="AU42" s="52"/>
      <c r="AV42" s="52"/>
      <c r="AW42" s="52"/>
      <c r="AX42" s="51"/>
      <c r="AY42" s="52"/>
      <c r="AZ42" s="52"/>
      <c r="BA42" s="51"/>
      <c r="BB42" s="52"/>
      <c r="BC42" s="52"/>
      <c r="BD42" s="52"/>
      <c r="BE42" s="52"/>
      <c r="BF42" s="51"/>
      <c r="BG42" s="52"/>
      <c r="BH42" s="52"/>
      <c r="BI42" s="52"/>
      <c r="BJ42" s="52"/>
      <c r="BK42" s="51"/>
      <c r="BL42" s="52"/>
      <c r="BM42" s="52"/>
      <c r="BN42" s="51"/>
      <c r="BO42" s="52"/>
      <c r="BP42" s="52"/>
      <c r="BQ42" s="51"/>
      <c r="BR42" s="52"/>
      <c r="BS42" s="52"/>
      <c r="BT42" s="52"/>
      <c r="BU42" s="51"/>
      <c r="BV42" s="52"/>
      <c r="BW42" s="52"/>
      <c r="BX42" s="52"/>
      <c r="BY42" s="52"/>
      <c r="BZ42" s="51"/>
      <c r="CA42" s="52"/>
      <c r="CB42" s="52"/>
      <c r="CC42" s="51"/>
      <c r="CD42" s="52"/>
      <c r="CE42" s="52"/>
      <c r="CF42" s="51"/>
      <c r="CG42" s="52"/>
      <c r="CH42" s="52"/>
      <c r="CI42" s="52"/>
      <c r="CJ42" s="52"/>
      <c r="CK42" s="51"/>
      <c r="CL42" s="52"/>
      <c r="CM42" s="52"/>
      <c r="CN42" s="52"/>
      <c r="CO42" s="52"/>
      <c r="CP42" s="51"/>
      <c r="CQ42" s="52"/>
      <c r="CR42" s="52"/>
      <c r="CS42" s="51"/>
      <c r="CT42" s="52"/>
      <c r="CU42" s="52"/>
      <c r="CV42" s="36"/>
      <c r="CW42" s="51"/>
      <c r="CX42" s="52"/>
      <c r="CY42" s="52"/>
      <c r="CZ42" s="52"/>
      <c r="DA42" s="52"/>
      <c r="DB42" s="51"/>
      <c r="DC42" s="52"/>
      <c r="DD42" s="52"/>
      <c r="DE42" s="52"/>
      <c r="DF42" s="52"/>
      <c r="DG42" s="51"/>
      <c r="DH42" s="52"/>
      <c r="DI42" s="52"/>
      <c r="DJ42" s="51"/>
      <c r="DK42" s="52"/>
      <c r="DL42" s="52"/>
      <c r="DM42" s="51"/>
      <c r="DN42" s="52"/>
      <c r="DO42" s="52"/>
      <c r="DP42" s="52"/>
      <c r="DQ42" s="52"/>
      <c r="DR42" s="51"/>
      <c r="DS42" s="52"/>
      <c r="DT42" s="52"/>
      <c r="DU42" s="52"/>
      <c r="DV42" s="52"/>
      <c r="DW42" s="51"/>
      <c r="DX42" s="52"/>
      <c r="DY42" s="52"/>
      <c r="DZ42" s="52"/>
      <c r="EA42" s="52"/>
      <c r="EB42" s="52"/>
      <c r="EC42" s="51"/>
      <c r="ED42" s="52"/>
      <c r="EE42" s="52"/>
      <c r="EF42" s="52"/>
      <c r="EG42" s="51"/>
      <c r="EH42" s="52"/>
      <c r="EI42" s="52"/>
      <c r="EJ42" s="52"/>
      <c r="EK42" s="52"/>
      <c r="EL42" s="51"/>
      <c r="EM42" s="52"/>
      <c r="EN42" s="52"/>
      <c r="EO42" s="52"/>
      <c r="EP42" s="51"/>
      <c r="EQ42" s="52"/>
      <c r="ER42" s="52"/>
      <c r="ES42" s="51"/>
      <c r="ET42" s="52"/>
      <c r="EU42" s="52"/>
      <c r="EV42" s="52"/>
      <c r="EW42" s="52"/>
      <c r="EX42" s="52"/>
      <c r="EY42" s="52"/>
      <c r="EZ42" s="52"/>
      <c r="FA42" s="52"/>
      <c r="FB42" s="51"/>
      <c r="FC42" s="52"/>
      <c r="FD42" s="52"/>
      <c r="FE42" s="52"/>
      <c r="FG42" s="52"/>
      <c r="FH42" s="52"/>
      <c r="FI42" s="52"/>
      <c r="FJ42" s="51">
        <v>-1</v>
      </c>
      <c r="FK42" s="51">
        <v>-1</v>
      </c>
      <c r="FL42" s="51">
        <v>-1</v>
      </c>
      <c r="FM42" s="51">
        <v>-1</v>
      </c>
      <c r="FN42" s="51">
        <v>-1</v>
      </c>
      <c r="FO42" s="51">
        <v>-1</v>
      </c>
      <c r="FP42" s="51"/>
      <c r="FQ42" s="51"/>
      <c r="FR42" s="51"/>
      <c r="FS42" s="51"/>
      <c r="FT42" s="51"/>
      <c r="FU42" s="51"/>
      <c r="FV42" s="51"/>
      <c r="FW42" s="51"/>
      <c r="FX42" s="51"/>
      <c r="FY42" s="51">
        <v>-6</v>
      </c>
      <c r="FZ42" s="53"/>
      <c r="GA42" s="53"/>
      <c r="GB42" s="52"/>
      <c r="GC42" s="52" t="s">
        <v>277</v>
      </c>
      <c r="GD42" s="52" t="s">
        <v>277</v>
      </c>
      <c r="GE42" s="51">
        <v>5</v>
      </c>
      <c r="GF42" s="51">
        <v>6</v>
      </c>
      <c r="GG42" s="51">
        <v>65</v>
      </c>
      <c r="GH42" s="51">
        <v>50</v>
      </c>
      <c r="GI42" s="54"/>
    </row>
    <row r="43" spans="1:191" s="49" customFormat="1" x14ac:dyDescent="0.25">
      <c r="A43" s="65">
        <v>163</v>
      </c>
      <c r="B43" s="61" t="s">
        <v>347</v>
      </c>
      <c r="C43" s="61" t="s">
        <v>353</v>
      </c>
      <c r="D43" s="61" t="s">
        <v>320</v>
      </c>
      <c r="E43" s="61" t="s">
        <v>282</v>
      </c>
      <c r="F43" s="61" t="s">
        <v>282</v>
      </c>
      <c r="G43" s="61" t="s">
        <v>282</v>
      </c>
      <c r="H43" s="61" t="s">
        <v>282</v>
      </c>
      <c r="I43" s="61" t="s">
        <v>282</v>
      </c>
      <c r="J43" s="61" t="s">
        <v>281</v>
      </c>
      <c r="K43" s="61" t="s">
        <v>282</v>
      </c>
      <c r="L43" s="61" t="s">
        <v>282</v>
      </c>
      <c r="M43" s="61" t="s">
        <v>282</v>
      </c>
      <c r="N43" s="65">
        <v>0</v>
      </c>
      <c r="O43" s="61"/>
      <c r="P43" s="61"/>
      <c r="Q43" s="61" t="s">
        <v>355</v>
      </c>
      <c r="R43" s="61"/>
      <c r="S43" s="61"/>
      <c r="T43" s="61" t="s">
        <v>322</v>
      </c>
      <c r="U43" s="61"/>
      <c r="V43" s="61" t="s">
        <v>350</v>
      </c>
      <c r="W43" s="65">
        <v>0</v>
      </c>
      <c r="X43" s="61"/>
      <c r="Y43" s="61"/>
      <c r="Z43" s="61" t="s">
        <v>294</v>
      </c>
      <c r="AA43" s="61" t="s">
        <v>331</v>
      </c>
      <c r="AB43" s="65">
        <v>0</v>
      </c>
      <c r="AC43" s="61"/>
      <c r="AD43" s="61"/>
      <c r="AE43" s="61"/>
      <c r="AF43" s="61" t="s">
        <v>331</v>
      </c>
      <c r="AG43" s="65">
        <v>0</v>
      </c>
      <c r="AH43" s="61"/>
      <c r="AI43" s="61"/>
      <c r="AJ43" s="65">
        <v>0</v>
      </c>
      <c r="AK43" s="61"/>
      <c r="AL43" s="61"/>
      <c r="AM43" s="61" t="s">
        <v>328</v>
      </c>
      <c r="AN43" s="65"/>
      <c r="AO43" s="61"/>
      <c r="AP43" s="61"/>
      <c r="AQ43" s="61"/>
      <c r="AR43" s="61"/>
      <c r="AS43" s="65"/>
      <c r="AT43" s="61"/>
      <c r="AU43" s="61"/>
      <c r="AV43" s="61"/>
      <c r="AW43" s="61"/>
      <c r="AX43" s="65"/>
      <c r="AY43" s="61"/>
      <c r="AZ43" s="61"/>
      <c r="BA43" s="65"/>
      <c r="BB43" s="61"/>
      <c r="BC43" s="61"/>
      <c r="BD43" s="61"/>
      <c r="BE43" s="61"/>
      <c r="BF43" s="65"/>
      <c r="BG43" s="61"/>
      <c r="BH43" s="61"/>
      <c r="BI43" s="61"/>
      <c r="BJ43" s="61"/>
      <c r="BK43" s="65"/>
      <c r="BL43" s="61"/>
      <c r="BM43" s="61"/>
      <c r="BN43" s="65"/>
      <c r="BO43" s="61"/>
      <c r="BP43" s="61"/>
      <c r="BQ43" s="65"/>
      <c r="BR43" s="61"/>
      <c r="BS43" s="61"/>
      <c r="BT43" s="61"/>
      <c r="BU43" s="65"/>
      <c r="BV43" s="61"/>
      <c r="BW43" s="61"/>
      <c r="BX43" s="61"/>
      <c r="BY43" s="61"/>
      <c r="BZ43" s="65"/>
      <c r="CA43" s="61"/>
      <c r="CB43" s="61"/>
      <c r="CC43" s="65"/>
      <c r="CD43" s="61"/>
      <c r="CE43" s="61"/>
      <c r="CF43" s="65"/>
      <c r="CG43" s="61"/>
      <c r="CH43" s="61"/>
      <c r="CI43" s="61"/>
      <c r="CJ43" s="61"/>
      <c r="CK43" s="65"/>
      <c r="CL43" s="61"/>
      <c r="CM43" s="61"/>
      <c r="CN43" s="61"/>
      <c r="CO43" s="61"/>
      <c r="CP43" s="65"/>
      <c r="CQ43" s="61"/>
      <c r="CR43" s="61"/>
      <c r="CS43" s="65"/>
      <c r="CT43" s="61"/>
      <c r="CU43" s="61"/>
      <c r="CV43" s="36"/>
      <c r="CW43" s="65"/>
      <c r="CX43" s="61"/>
      <c r="CY43" s="61"/>
      <c r="CZ43" s="61"/>
      <c r="DA43" s="61"/>
      <c r="DB43" s="65"/>
      <c r="DC43" s="61"/>
      <c r="DD43" s="61"/>
      <c r="DE43" s="61"/>
      <c r="DF43" s="61"/>
      <c r="DG43" s="65"/>
      <c r="DH43" s="61"/>
      <c r="DI43" s="61"/>
      <c r="DJ43" s="65"/>
      <c r="DK43" s="61"/>
      <c r="DL43" s="61"/>
      <c r="DM43" s="65"/>
      <c r="DN43" s="61"/>
      <c r="DO43" s="61"/>
      <c r="DP43" s="61"/>
      <c r="DQ43" s="61"/>
      <c r="DR43" s="65"/>
      <c r="DS43" s="61"/>
      <c r="DT43" s="61"/>
      <c r="DU43" s="61"/>
      <c r="DV43" s="61"/>
      <c r="DW43" s="65"/>
      <c r="DX43" s="61"/>
      <c r="DY43" s="61"/>
      <c r="DZ43" s="61"/>
      <c r="EA43" s="61"/>
      <c r="EB43" s="61"/>
      <c r="EC43" s="65"/>
      <c r="ED43" s="61"/>
      <c r="EE43" s="61"/>
      <c r="EF43" s="61"/>
      <c r="EG43" s="65"/>
      <c r="EH43" s="61"/>
      <c r="EI43" s="61"/>
      <c r="EJ43" s="61"/>
      <c r="EK43" s="61"/>
      <c r="EL43" s="65"/>
      <c r="EM43" s="61"/>
      <c r="EN43" s="61"/>
      <c r="EO43" s="61"/>
      <c r="EP43" s="65"/>
      <c r="EQ43" s="61"/>
      <c r="ER43" s="61"/>
      <c r="ES43" s="65"/>
      <c r="ET43" s="61"/>
      <c r="EU43" s="61"/>
      <c r="EV43" s="61"/>
      <c r="EW43" s="61"/>
      <c r="EX43" s="61"/>
      <c r="EY43" s="61"/>
      <c r="EZ43" s="61"/>
      <c r="FA43" s="61"/>
      <c r="FB43" s="65"/>
      <c r="FC43" s="61"/>
      <c r="FD43" s="61"/>
      <c r="FE43" s="61"/>
      <c r="FG43" s="61"/>
      <c r="FH43" s="61"/>
      <c r="FI43" s="61"/>
      <c r="FJ43" s="65">
        <v>-1</v>
      </c>
      <c r="FK43" s="65">
        <v>-1</v>
      </c>
      <c r="FL43" s="65">
        <v>-1</v>
      </c>
      <c r="FM43" s="65">
        <v>-1</v>
      </c>
      <c r="FN43" s="65">
        <v>-1</v>
      </c>
      <c r="FO43" s="65">
        <v>-1</v>
      </c>
      <c r="FP43" s="65"/>
      <c r="FQ43" s="65"/>
      <c r="FR43" s="65"/>
      <c r="FS43" s="65"/>
      <c r="FT43" s="65"/>
      <c r="FU43" s="65"/>
      <c r="FV43" s="65"/>
      <c r="FW43" s="65"/>
      <c r="FX43" s="65"/>
      <c r="FY43" s="65">
        <v>-6</v>
      </c>
      <c r="FZ43" s="66"/>
      <c r="GA43" s="66"/>
      <c r="GB43" s="61"/>
      <c r="GC43" s="61" t="s">
        <v>277</v>
      </c>
      <c r="GD43" s="61" t="s">
        <v>277</v>
      </c>
      <c r="GE43" s="65">
        <v>6</v>
      </c>
      <c r="GF43" s="65">
        <v>6</v>
      </c>
      <c r="GG43" s="65">
        <v>41</v>
      </c>
      <c r="GH43" s="65">
        <v>19</v>
      </c>
      <c r="GI43" s="67"/>
    </row>
    <row r="44" spans="1:191" s="49" customFormat="1" x14ac:dyDescent="0.25">
      <c r="A44" s="65">
        <v>164</v>
      </c>
      <c r="B44" s="61" t="s">
        <v>347</v>
      </c>
      <c r="C44" s="61" t="s">
        <v>353</v>
      </c>
      <c r="D44" s="61" t="s">
        <v>320</v>
      </c>
      <c r="E44" s="61" t="s">
        <v>281</v>
      </c>
      <c r="F44" s="61" t="s">
        <v>282</v>
      </c>
      <c r="G44" s="61" t="s">
        <v>282</v>
      </c>
      <c r="H44" s="61" t="s">
        <v>282</v>
      </c>
      <c r="I44" s="61" t="s">
        <v>282</v>
      </c>
      <c r="J44" s="61" t="s">
        <v>282</v>
      </c>
      <c r="K44" s="61" t="s">
        <v>282</v>
      </c>
      <c r="L44" s="61" t="s">
        <v>282</v>
      </c>
      <c r="M44" s="61" t="s">
        <v>282</v>
      </c>
      <c r="N44" s="65">
        <v>0</v>
      </c>
      <c r="O44" s="61"/>
      <c r="P44" s="61"/>
      <c r="Q44" s="61" t="s">
        <v>355</v>
      </c>
      <c r="R44" s="61"/>
      <c r="S44" s="61"/>
      <c r="T44" s="61" t="s">
        <v>322</v>
      </c>
      <c r="U44" s="61"/>
      <c r="V44" s="61" t="s">
        <v>350</v>
      </c>
      <c r="W44" s="65"/>
      <c r="X44" s="61"/>
      <c r="Y44" s="61"/>
      <c r="Z44" s="61"/>
      <c r="AA44" s="61"/>
      <c r="AB44" s="65"/>
      <c r="AC44" s="61"/>
      <c r="AD44" s="61"/>
      <c r="AE44" s="61"/>
      <c r="AF44" s="61"/>
      <c r="AG44" s="65"/>
      <c r="AH44" s="61"/>
      <c r="AI44" s="61"/>
      <c r="AJ44" s="65"/>
      <c r="AK44" s="61"/>
      <c r="AL44" s="61"/>
      <c r="AM44" s="61"/>
      <c r="AN44" s="65"/>
      <c r="AO44" s="61"/>
      <c r="AP44" s="61"/>
      <c r="AQ44" s="61"/>
      <c r="AR44" s="61"/>
      <c r="AS44" s="65"/>
      <c r="AT44" s="61"/>
      <c r="AU44" s="61"/>
      <c r="AV44" s="61"/>
      <c r="AW44" s="61"/>
      <c r="AX44" s="65"/>
      <c r="AY44" s="61"/>
      <c r="AZ44" s="61"/>
      <c r="BA44" s="65"/>
      <c r="BB44" s="61"/>
      <c r="BC44" s="61"/>
      <c r="BD44" s="61"/>
      <c r="BE44" s="61"/>
      <c r="BF44" s="65"/>
      <c r="BG44" s="61"/>
      <c r="BH44" s="61"/>
      <c r="BI44" s="61"/>
      <c r="BJ44" s="61"/>
      <c r="BK44" s="65"/>
      <c r="BL44" s="61"/>
      <c r="BM44" s="61"/>
      <c r="BN44" s="65"/>
      <c r="BO44" s="61"/>
      <c r="BP44" s="61"/>
      <c r="BQ44" s="65"/>
      <c r="BR44" s="61"/>
      <c r="BS44" s="61"/>
      <c r="BT44" s="61"/>
      <c r="BU44" s="65"/>
      <c r="BV44" s="61"/>
      <c r="BW44" s="61"/>
      <c r="BX44" s="61"/>
      <c r="BY44" s="61"/>
      <c r="BZ44" s="65"/>
      <c r="CA44" s="61"/>
      <c r="CB44" s="61"/>
      <c r="CC44" s="65"/>
      <c r="CD44" s="61"/>
      <c r="CE44" s="61"/>
      <c r="CF44" s="65"/>
      <c r="CG44" s="61"/>
      <c r="CH44" s="61"/>
      <c r="CI44" s="61"/>
      <c r="CJ44" s="61"/>
      <c r="CK44" s="65"/>
      <c r="CL44" s="61"/>
      <c r="CM44" s="61"/>
      <c r="CN44" s="61"/>
      <c r="CO44" s="61"/>
      <c r="CP44" s="65"/>
      <c r="CQ44" s="61"/>
      <c r="CR44" s="61"/>
      <c r="CS44" s="65"/>
      <c r="CT44" s="61"/>
      <c r="CU44" s="61"/>
      <c r="CV44" s="36"/>
      <c r="CW44" s="65"/>
      <c r="CX44" s="61"/>
      <c r="CY44" s="61"/>
      <c r="CZ44" s="61"/>
      <c r="DA44" s="61"/>
      <c r="DB44" s="65"/>
      <c r="DC44" s="61"/>
      <c r="DD44" s="61"/>
      <c r="DE44" s="61"/>
      <c r="DF44" s="61"/>
      <c r="DG44" s="65"/>
      <c r="DH44" s="61"/>
      <c r="DI44" s="61"/>
      <c r="DJ44" s="65"/>
      <c r="DK44" s="61"/>
      <c r="DL44" s="61"/>
      <c r="DM44" s="65"/>
      <c r="DN44" s="61"/>
      <c r="DO44" s="61"/>
      <c r="DP44" s="61"/>
      <c r="DQ44" s="61"/>
      <c r="DR44" s="65"/>
      <c r="DS44" s="61"/>
      <c r="DT44" s="61"/>
      <c r="DU44" s="61"/>
      <c r="DV44" s="61"/>
      <c r="DW44" s="65"/>
      <c r="DX44" s="61"/>
      <c r="DY44" s="61"/>
      <c r="DZ44" s="61"/>
      <c r="EA44" s="61"/>
      <c r="EB44" s="61"/>
      <c r="EC44" s="65"/>
      <c r="ED44" s="61"/>
      <c r="EE44" s="61"/>
      <c r="EF44" s="61"/>
      <c r="EG44" s="65"/>
      <c r="EH44" s="61"/>
      <c r="EI44" s="61"/>
      <c r="EJ44" s="61"/>
      <c r="EK44" s="61"/>
      <c r="EL44" s="65"/>
      <c r="EM44" s="61"/>
      <c r="EN44" s="61"/>
      <c r="EO44" s="61"/>
      <c r="EP44" s="65"/>
      <c r="EQ44" s="61"/>
      <c r="ER44" s="61"/>
      <c r="ES44" s="65"/>
      <c r="ET44" s="61"/>
      <c r="EU44" s="61"/>
      <c r="EV44" s="61"/>
      <c r="EW44" s="61"/>
      <c r="EX44" s="61"/>
      <c r="EY44" s="61"/>
      <c r="EZ44" s="61"/>
      <c r="FA44" s="61"/>
      <c r="FB44" s="65"/>
      <c r="FC44" s="61"/>
      <c r="FD44" s="61"/>
      <c r="FE44" s="61"/>
      <c r="FG44" s="61"/>
      <c r="FH44" s="61"/>
      <c r="FI44" s="61"/>
      <c r="FJ44" s="65">
        <v>-1</v>
      </c>
      <c r="FK44" s="65">
        <v>-1</v>
      </c>
      <c r="FL44" s="65">
        <v>-1</v>
      </c>
      <c r="FM44" s="65">
        <v>-1</v>
      </c>
      <c r="FN44" s="65">
        <v>-1</v>
      </c>
      <c r="FO44" s="65"/>
      <c r="FP44" s="65"/>
      <c r="FQ44" s="65"/>
      <c r="FR44" s="65"/>
      <c r="FS44" s="65"/>
      <c r="FT44" s="65"/>
      <c r="FU44" s="65"/>
      <c r="FV44" s="65"/>
      <c r="FW44" s="65"/>
      <c r="FX44" s="65"/>
      <c r="FY44" s="65">
        <v>-5</v>
      </c>
      <c r="FZ44" s="66"/>
      <c r="GA44" s="66"/>
      <c r="GB44" s="61"/>
      <c r="GC44" s="61" t="s">
        <v>277</v>
      </c>
      <c r="GD44" s="61" t="s">
        <v>277</v>
      </c>
      <c r="GE44" s="65">
        <v>5</v>
      </c>
      <c r="GF44" s="65">
        <v>5</v>
      </c>
      <c r="GG44" s="65">
        <v>14</v>
      </c>
      <c r="GH44" s="65">
        <v>1</v>
      </c>
      <c r="GI44" s="67"/>
    </row>
    <row r="45" spans="1:191" s="49" customFormat="1" x14ac:dyDescent="0.25">
      <c r="A45" s="65">
        <v>165</v>
      </c>
      <c r="B45" s="61" t="s">
        <v>347</v>
      </c>
      <c r="C45" s="61" t="s">
        <v>353</v>
      </c>
      <c r="D45" s="61" t="s">
        <v>320</v>
      </c>
      <c r="E45" s="61" t="s">
        <v>282</v>
      </c>
      <c r="F45" s="61" t="s">
        <v>282</v>
      </c>
      <c r="G45" s="61" t="s">
        <v>282</v>
      </c>
      <c r="H45" s="61" t="s">
        <v>282</v>
      </c>
      <c r="I45" s="61" t="s">
        <v>282</v>
      </c>
      <c r="J45" s="61" t="s">
        <v>281</v>
      </c>
      <c r="K45" s="61" t="s">
        <v>282</v>
      </c>
      <c r="L45" s="61" t="s">
        <v>282</v>
      </c>
      <c r="M45" s="61" t="s">
        <v>282</v>
      </c>
      <c r="N45" s="65">
        <v>0</v>
      </c>
      <c r="O45" s="61"/>
      <c r="P45" s="61"/>
      <c r="Q45" s="61" t="s">
        <v>355</v>
      </c>
      <c r="R45" s="61"/>
      <c r="S45" s="61"/>
      <c r="T45" s="61" t="s">
        <v>322</v>
      </c>
      <c r="U45" s="61"/>
      <c r="V45" s="61" t="s">
        <v>350</v>
      </c>
      <c r="W45" s="65">
        <v>0</v>
      </c>
      <c r="X45" s="61"/>
      <c r="Y45" s="61"/>
      <c r="Z45" s="61" t="s">
        <v>294</v>
      </c>
      <c r="AA45" s="61" t="s">
        <v>331</v>
      </c>
      <c r="AB45" s="65">
        <v>0</v>
      </c>
      <c r="AC45" s="61"/>
      <c r="AD45" s="61"/>
      <c r="AE45" s="61" t="s">
        <v>305</v>
      </c>
      <c r="AF45" s="61" t="s">
        <v>297</v>
      </c>
      <c r="AG45" s="65">
        <v>0</v>
      </c>
      <c r="AH45" s="61"/>
      <c r="AI45" s="61"/>
      <c r="AJ45" s="65">
        <v>0</v>
      </c>
      <c r="AK45" s="61"/>
      <c r="AL45" s="61"/>
      <c r="AM45" s="61" t="s">
        <v>299</v>
      </c>
      <c r="AN45" s="65"/>
      <c r="AO45" s="61"/>
      <c r="AP45" s="61"/>
      <c r="AQ45" s="61"/>
      <c r="AR45" s="61"/>
      <c r="AS45" s="65"/>
      <c r="AT45" s="61"/>
      <c r="AU45" s="61"/>
      <c r="AV45" s="61"/>
      <c r="AW45" s="61"/>
      <c r="AX45" s="65"/>
      <c r="AY45" s="61"/>
      <c r="AZ45" s="61"/>
      <c r="BA45" s="65"/>
      <c r="BB45" s="61"/>
      <c r="BC45" s="61"/>
      <c r="BD45" s="61"/>
      <c r="BE45" s="61"/>
      <c r="BF45" s="65"/>
      <c r="BG45" s="61"/>
      <c r="BH45" s="61"/>
      <c r="BI45" s="61"/>
      <c r="BJ45" s="61"/>
      <c r="BK45" s="65"/>
      <c r="BL45" s="61"/>
      <c r="BM45" s="61"/>
      <c r="BN45" s="65"/>
      <c r="BO45" s="61"/>
      <c r="BP45" s="61"/>
      <c r="BQ45" s="65"/>
      <c r="BR45" s="61"/>
      <c r="BS45" s="61"/>
      <c r="BT45" s="61"/>
      <c r="BU45" s="65"/>
      <c r="BV45" s="61"/>
      <c r="BW45" s="61"/>
      <c r="BX45" s="61"/>
      <c r="BY45" s="61"/>
      <c r="BZ45" s="65"/>
      <c r="CA45" s="61"/>
      <c r="CB45" s="61"/>
      <c r="CC45" s="65"/>
      <c r="CD45" s="61"/>
      <c r="CE45" s="61"/>
      <c r="CF45" s="65"/>
      <c r="CG45" s="61"/>
      <c r="CH45" s="61"/>
      <c r="CI45" s="61"/>
      <c r="CJ45" s="61"/>
      <c r="CK45" s="65"/>
      <c r="CL45" s="61"/>
      <c r="CM45" s="61"/>
      <c r="CN45" s="61"/>
      <c r="CO45" s="61"/>
      <c r="CP45" s="65"/>
      <c r="CQ45" s="61"/>
      <c r="CR45" s="61"/>
      <c r="CS45" s="65"/>
      <c r="CT45" s="61"/>
      <c r="CU45" s="61"/>
      <c r="CV45" s="36"/>
      <c r="CW45" s="65"/>
      <c r="CX45" s="61"/>
      <c r="CY45" s="61"/>
      <c r="CZ45" s="61"/>
      <c r="DA45" s="61"/>
      <c r="DB45" s="65"/>
      <c r="DC45" s="61"/>
      <c r="DD45" s="61"/>
      <c r="DE45" s="61"/>
      <c r="DF45" s="61"/>
      <c r="DG45" s="65"/>
      <c r="DH45" s="61"/>
      <c r="DI45" s="61"/>
      <c r="DJ45" s="65"/>
      <c r="DK45" s="61"/>
      <c r="DL45" s="61"/>
      <c r="DM45" s="65"/>
      <c r="DN45" s="61"/>
      <c r="DO45" s="61"/>
      <c r="DP45" s="61"/>
      <c r="DQ45" s="61"/>
      <c r="DR45" s="65"/>
      <c r="DS45" s="61"/>
      <c r="DT45" s="61"/>
      <c r="DU45" s="61"/>
      <c r="DV45" s="61"/>
      <c r="DW45" s="65"/>
      <c r="DX45" s="61"/>
      <c r="DY45" s="61"/>
      <c r="DZ45" s="61"/>
      <c r="EA45" s="61"/>
      <c r="EB45" s="61"/>
      <c r="EC45" s="65"/>
      <c r="ED45" s="61"/>
      <c r="EE45" s="61"/>
      <c r="EF45" s="61"/>
      <c r="EG45" s="65"/>
      <c r="EH45" s="61"/>
      <c r="EI45" s="61"/>
      <c r="EJ45" s="61"/>
      <c r="EK45" s="61"/>
      <c r="EL45" s="65"/>
      <c r="EM45" s="61"/>
      <c r="EN45" s="61"/>
      <c r="EO45" s="61"/>
      <c r="EP45" s="65"/>
      <c r="EQ45" s="61"/>
      <c r="ER45" s="61"/>
      <c r="ES45" s="65"/>
      <c r="ET45" s="61"/>
      <c r="EU45" s="61"/>
      <c r="EV45" s="61"/>
      <c r="EW45" s="61"/>
      <c r="EX45" s="61"/>
      <c r="EY45" s="61"/>
      <c r="EZ45" s="61"/>
      <c r="FA45" s="61"/>
      <c r="FB45" s="65"/>
      <c r="FC45" s="61"/>
      <c r="FD45" s="61"/>
      <c r="FE45" s="61"/>
      <c r="FG45" s="61"/>
      <c r="FH45" s="61"/>
      <c r="FI45" s="61"/>
      <c r="FJ45" s="65">
        <v>-1</v>
      </c>
      <c r="FK45" s="65">
        <v>-1</v>
      </c>
      <c r="FL45" s="65">
        <v>-1</v>
      </c>
      <c r="FM45" s="65">
        <v>-1</v>
      </c>
      <c r="FN45" s="65">
        <v>-1</v>
      </c>
      <c r="FO45" s="65">
        <v>-1</v>
      </c>
      <c r="FP45" s="65"/>
      <c r="FQ45" s="65"/>
      <c r="FR45" s="65"/>
      <c r="FS45" s="65"/>
      <c r="FT45" s="65"/>
      <c r="FU45" s="65"/>
      <c r="FV45" s="65"/>
      <c r="FW45" s="65"/>
      <c r="FX45" s="65"/>
      <c r="FY45" s="65">
        <v>-6</v>
      </c>
      <c r="FZ45" s="66"/>
      <c r="GA45" s="66"/>
      <c r="GB45" s="61"/>
      <c r="GC45" s="61" t="s">
        <v>277</v>
      </c>
      <c r="GD45" s="61" t="s">
        <v>277</v>
      </c>
      <c r="GE45" s="65">
        <v>6</v>
      </c>
      <c r="GF45" s="65">
        <v>6</v>
      </c>
      <c r="GG45" s="65">
        <v>35</v>
      </c>
      <c r="GH45" s="65">
        <v>11</v>
      </c>
      <c r="GI45" s="67"/>
    </row>
    <row r="46" spans="1:191" s="50" customFormat="1" x14ac:dyDescent="0.25">
      <c r="A46" s="55">
        <v>186</v>
      </c>
      <c r="B46" s="56" t="s">
        <v>347</v>
      </c>
      <c r="C46" s="56" t="s">
        <v>353</v>
      </c>
      <c r="D46" s="56" t="s">
        <v>377</v>
      </c>
      <c r="E46" s="56" t="s">
        <v>281</v>
      </c>
      <c r="F46" s="56" t="s">
        <v>282</v>
      </c>
      <c r="G46" s="56" t="s">
        <v>281</v>
      </c>
      <c r="H46" s="56" t="s">
        <v>282</v>
      </c>
      <c r="I46" s="56" t="s">
        <v>282</v>
      </c>
      <c r="J46" s="56" t="s">
        <v>281</v>
      </c>
      <c r="K46" s="56" t="s">
        <v>282</v>
      </c>
      <c r="L46" s="56" t="s">
        <v>282</v>
      </c>
      <c r="M46" s="56" t="s">
        <v>282</v>
      </c>
      <c r="N46" s="55">
        <v>0</v>
      </c>
      <c r="O46" s="56"/>
      <c r="P46" s="56"/>
      <c r="Q46" s="56" t="s">
        <v>337</v>
      </c>
      <c r="R46" s="56"/>
      <c r="S46" s="50" t="s">
        <v>424</v>
      </c>
      <c r="T46" s="56"/>
      <c r="U46" s="56"/>
      <c r="V46" s="56" t="s">
        <v>346</v>
      </c>
      <c r="W46" s="55">
        <v>1</v>
      </c>
      <c r="X46" s="56" t="s">
        <v>365</v>
      </c>
      <c r="Y46" s="56"/>
      <c r="Z46" s="56" t="s">
        <v>303</v>
      </c>
      <c r="AA46" s="56" t="s">
        <v>331</v>
      </c>
      <c r="AB46" s="55">
        <v>0</v>
      </c>
      <c r="AC46" s="56"/>
      <c r="AD46" s="56"/>
      <c r="AE46" s="56" t="s">
        <v>305</v>
      </c>
      <c r="AF46" s="56" t="s">
        <v>331</v>
      </c>
      <c r="AG46" s="55">
        <v>1</v>
      </c>
      <c r="AH46" s="56" t="s">
        <v>302</v>
      </c>
      <c r="AI46" s="56"/>
      <c r="AJ46" s="55">
        <v>1</v>
      </c>
      <c r="AK46" s="56" t="s">
        <v>496</v>
      </c>
      <c r="AL46" s="56"/>
      <c r="AM46" s="56" t="s">
        <v>296</v>
      </c>
      <c r="AN46" s="55">
        <v>1</v>
      </c>
      <c r="AO46" s="56" t="s">
        <v>497</v>
      </c>
      <c r="AP46" s="56"/>
      <c r="AQ46" s="56" t="s">
        <v>294</v>
      </c>
      <c r="AR46" s="56" t="s">
        <v>287</v>
      </c>
      <c r="AS46" s="55">
        <v>1</v>
      </c>
      <c r="AT46" s="56" t="s">
        <v>339</v>
      </c>
      <c r="AU46" s="56"/>
      <c r="AV46" s="56" t="s">
        <v>288</v>
      </c>
      <c r="AW46" s="56" t="s">
        <v>287</v>
      </c>
      <c r="AX46" s="55">
        <v>1</v>
      </c>
      <c r="AY46" s="56" t="s">
        <v>339</v>
      </c>
      <c r="AZ46" s="56"/>
      <c r="BA46" s="55">
        <v>1</v>
      </c>
      <c r="BB46" s="56" t="s">
        <v>498</v>
      </c>
      <c r="BC46" s="56" t="s">
        <v>296</v>
      </c>
      <c r="BD46" s="56" t="s">
        <v>294</v>
      </c>
      <c r="BE46" s="56" t="s">
        <v>297</v>
      </c>
      <c r="BF46" s="55">
        <v>1</v>
      </c>
      <c r="BG46" s="56" t="s">
        <v>499</v>
      </c>
      <c r="BH46" s="56"/>
      <c r="BI46" s="56" t="s">
        <v>288</v>
      </c>
      <c r="BJ46" s="56" t="s">
        <v>500</v>
      </c>
      <c r="BK46" s="55">
        <v>1</v>
      </c>
      <c r="BL46" s="56" t="s">
        <v>297</v>
      </c>
      <c r="BM46" s="56"/>
      <c r="BN46" s="55">
        <v>0</v>
      </c>
      <c r="BO46" s="56"/>
      <c r="BP46" s="56" t="s">
        <v>296</v>
      </c>
      <c r="BQ46" s="55">
        <v>0</v>
      </c>
      <c r="BR46" s="56"/>
      <c r="BS46" s="56" t="s">
        <v>301</v>
      </c>
      <c r="BT46" s="56" t="s">
        <v>297</v>
      </c>
      <c r="BU46" s="55">
        <v>0</v>
      </c>
      <c r="BV46" s="56"/>
      <c r="BW46" s="56"/>
      <c r="BX46" s="56"/>
      <c r="BY46" s="56"/>
      <c r="BZ46" s="55">
        <v>0</v>
      </c>
      <c r="CA46" s="56"/>
      <c r="CB46" s="56"/>
      <c r="CC46" s="55">
        <v>0</v>
      </c>
      <c r="CD46" s="56"/>
      <c r="CE46" s="56"/>
      <c r="CF46" s="55">
        <v>1</v>
      </c>
      <c r="CG46" s="56" t="s">
        <v>501</v>
      </c>
      <c r="CH46" s="56"/>
      <c r="CI46" s="56" t="s">
        <v>303</v>
      </c>
      <c r="CJ46" s="56" t="s">
        <v>297</v>
      </c>
      <c r="CK46" s="55">
        <v>0</v>
      </c>
      <c r="CL46" s="56"/>
      <c r="CM46" s="56"/>
      <c r="CN46" s="56" t="s">
        <v>305</v>
      </c>
      <c r="CO46" s="56" t="s">
        <v>500</v>
      </c>
      <c r="CP46" s="55">
        <v>0</v>
      </c>
      <c r="CQ46" s="56"/>
      <c r="CR46" s="56"/>
      <c r="CS46" s="55">
        <v>0</v>
      </c>
      <c r="CT46" s="56"/>
      <c r="CU46" s="56" t="s">
        <v>296</v>
      </c>
      <c r="CV46" s="36"/>
      <c r="CW46" s="55">
        <v>1</v>
      </c>
      <c r="CX46" s="56" t="s">
        <v>502</v>
      </c>
      <c r="CY46" s="56"/>
      <c r="CZ46" s="56" t="s">
        <v>303</v>
      </c>
      <c r="DA46" s="56" t="s">
        <v>331</v>
      </c>
      <c r="DB46" s="55">
        <v>1</v>
      </c>
      <c r="DC46" s="56" t="s">
        <v>499</v>
      </c>
      <c r="DD46" s="56"/>
      <c r="DE46" s="56" t="s">
        <v>305</v>
      </c>
      <c r="DF46" s="56" t="s">
        <v>331</v>
      </c>
      <c r="DG46" s="55">
        <v>1</v>
      </c>
      <c r="DH46" s="56" t="s">
        <v>499</v>
      </c>
      <c r="DI46" s="56"/>
      <c r="DJ46" s="55">
        <v>0</v>
      </c>
      <c r="DK46" s="56"/>
      <c r="DL46" s="56" t="s">
        <v>296</v>
      </c>
      <c r="DM46" s="55">
        <v>1</v>
      </c>
      <c r="DN46" s="56" t="s">
        <v>503</v>
      </c>
      <c r="DO46" s="56"/>
      <c r="DP46" s="56" t="s">
        <v>303</v>
      </c>
      <c r="DQ46" s="56" t="s">
        <v>331</v>
      </c>
      <c r="DR46" s="55">
        <v>0</v>
      </c>
      <c r="DS46" s="56"/>
      <c r="DT46" s="56"/>
      <c r="DU46" s="56" t="s">
        <v>298</v>
      </c>
      <c r="DV46" s="56" t="s">
        <v>331</v>
      </c>
      <c r="DW46" s="55">
        <v>0</v>
      </c>
      <c r="DX46" s="56"/>
      <c r="DY46" s="56"/>
      <c r="DZ46" s="56" t="s">
        <v>504</v>
      </c>
      <c r="EA46" s="56"/>
      <c r="EB46" s="56" t="s">
        <v>328</v>
      </c>
      <c r="EC46" s="55">
        <v>1</v>
      </c>
      <c r="ED46" s="56" t="s">
        <v>374</v>
      </c>
      <c r="EE46" s="56" t="s">
        <v>303</v>
      </c>
      <c r="EF46" s="56" t="s">
        <v>331</v>
      </c>
      <c r="EG46" s="55">
        <v>0</v>
      </c>
      <c r="EH46" s="56"/>
      <c r="EI46" s="56"/>
      <c r="EJ46" s="56" t="s">
        <v>305</v>
      </c>
      <c r="EK46" s="56" t="s">
        <v>331</v>
      </c>
      <c r="EL46" s="55">
        <v>0</v>
      </c>
      <c r="EM46" s="56"/>
      <c r="EN46" s="56"/>
      <c r="EO46" s="56"/>
      <c r="EP46" s="55">
        <v>0</v>
      </c>
      <c r="EQ46" s="56"/>
      <c r="ER46" s="56" t="s">
        <v>328</v>
      </c>
      <c r="ES46" s="55">
        <v>1</v>
      </c>
      <c r="ET46" s="56" t="s">
        <v>505</v>
      </c>
      <c r="EU46" s="56"/>
      <c r="EV46" s="56"/>
      <c r="EW46" s="56"/>
      <c r="EX46" s="56"/>
      <c r="EY46" s="56"/>
      <c r="EZ46" s="56"/>
      <c r="FA46" s="56"/>
      <c r="FB46" s="55">
        <v>0</v>
      </c>
      <c r="FC46" s="56"/>
      <c r="FD46" s="56"/>
      <c r="FE46" s="56"/>
      <c r="FG46" s="56" t="s">
        <v>351</v>
      </c>
      <c r="FH46" s="56" t="s">
        <v>506</v>
      </c>
      <c r="FI46" s="56"/>
      <c r="FJ46" s="55">
        <v>-1</v>
      </c>
      <c r="FK46" s="55">
        <v>-1</v>
      </c>
      <c r="FL46" s="55">
        <v>-1</v>
      </c>
      <c r="FM46" s="55">
        <v>-1</v>
      </c>
      <c r="FN46" s="55">
        <v>-1</v>
      </c>
      <c r="FO46" s="55">
        <v>-1</v>
      </c>
      <c r="FP46" s="55">
        <v>-1</v>
      </c>
      <c r="FQ46" s="55">
        <v>-1</v>
      </c>
      <c r="FR46" s="55">
        <v>-1</v>
      </c>
      <c r="FS46" s="55">
        <v>-1</v>
      </c>
      <c r="FT46" s="55">
        <v>-1</v>
      </c>
      <c r="FU46" s="55">
        <v>-1</v>
      </c>
      <c r="FV46" s="55">
        <v>-1</v>
      </c>
      <c r="FW46" s="55">
        <v>-1</v>
      </c>
      <c r="FX46" s="55">
        <v>-1</v>
      </c>
      <c r="FY46" s="55">
        <v>-15</v>
      </c>
      <c r="FZ46" s="57"/>
      <c r="GA46" s="57"/>
      <c r="GB46" s="56" t="s">
        <v>319</v>
      </c>
      <c r="GC46" s="56" t="s">
        <v>320</v>
      </c>
      <c r="GD46" s="56" t="s">
        <v>277</v>
      </c>
      <c r="GE46" s="55">
        <v>15</v>
      </c>
      <c r="GF46" s="55">
        <v>15</v>
      </c>
      <c r="GG46" s="55">
        <v>31</v>
      </c>
      <c r="GH46" s="55">
        <v>12</v>
      </c>
      <c r="GI46" s="58"/>
    </row>
    <row r="47" spans="1:191" x14ac:dyDescent="0.25">
      <c r="A47" s="1">
        <v>193</v>
      </c>
      <c r="B47" s="19" t="s">
        <v>347</v>
      </c>
      <c r="C47" s="2" t="s">
        <v>353</v>
      </c>
      <c r="D47" s="2" t="s">
        <v>320</v>
      </c>
      <c r="E47" s="2" t="s">
        <v>282</v>
      </c>
      <c r="F47" s="2" t="s">
        <v>282</v>
      </c>
      <c r="G47" s="2" t="s">
        <v>282</v>
      </c>
      <c r="H47" s="2" t="s">
        <v>282</v>
      </c>
      <c r="I47" s="2" t="s">
        <v>282</v>
      </c>
      <c r="J47" s="2" t="s">
        <v>281</v>
      </c>
      <c r="K47" s="2" t="s">
        <v>282</v>
      </c>
      <c r="L47" s="2" t="s">
        <v>282</v>
      </c>
      <c r="M47" s="2" t="s">
        <v>282</v>
      </c>
      <c r="N47" s="1">
        <v>0</v>
      </c>
      <c r="O47" s="2"/>
      <c r="P47" s="2"/>
      <c r="Q47" s="2" t="s">
        <v>337</v>
      </c>
      <c r="R47" s="2"/>
      <c r="S47" s="2" t="s">
        <v>378</v>
      </c>
      <c r="T47" s="2"/>
      <c r="U47" s="2"/>
      <c r="V47" s="2" t="s">
        <v>346</v>
      </c>
      <c r="W47" s="1">
        <v>0</v>
      </c>
      <c r="X47" s="2"/>
      <c r="Y47" s="2"/>
      <c r="Z47" s="2" t="s">
        <v>303</v>
      </c>
      <c r="AA47" s="2" t="s">
        <v>331</v>
      </c>
      <c r="AB47" s="1">
        <v>0</v>
      </c>
      <c r="AC47" s="2"/>
      <c r="AD47" s="2"/>
      <c r="AE47" s="2" t="s">
        <v>298</v>
      </c>
      <c r="AF47" s="2" t="s">
        <v>331</v>
      </c>
      <c r="AG47" s="1">
        <v>0</v>
      </c>
      <c r="AH47" s="2"/>
      <c r="AI47" s="2"/>
      <c r="AJ47" s="1">
        <v>0</v>
      </c>
      <c r="AK47" s="2"/>
      <c r="AL47" s="2"/>
      <c r="AM47" s="2" t="s">
        <v>366</v>
      </c>
      <c r="AN47" s="1">
        <v>0</v>
      </c>
      <c r="AO47" s="2"/>
      <c r="AP47" s="2"/>
      <c r="AQ47" s="2" t="s">
        <v>301</v>
      </c>
      <c r="AR47" s="2" t="s">
        <v>287</v>
      </c>
      <c r="AS47" s="1">
        <v>0</v>
      </c>
      <c r="AT47" s="2"/>
      <c r="AU47" s="2"/>
      <c r="AV47" s="2"/>
      <c r="AW47" s="2"/>
      <c r="AX47" s="1">
        <v>0</v>
      </c>
      <c r="AY47" s="2"/>
      <c r="AZ47" s="2"/>
      <c r="BA47" s="1">
        <v>0</v>
      </c>
      <c r="BB47" s="2"/>
      <c r="BC47" s="2"/>
      <c r="BD47" s="2" t="s">
        <v>310</v>
      </c>
      <c r="BE47" s="2" t="s">
        <v>339</v>
      </c>
      <c r="BF47" s="1">
        <v>1</v>
      </c>
      <c r="BG47" s="2"/>
      <c r="BH47" s="2" t="s">
        <v>297</v>
      </c>
      <c r="BI47" s="2" t="s">
        <v>324</v>
      </c>
      <c r="BJ47" s="2" t="s">
        <v>339</v>
      </c>
      <c r="BK47" s="1">
        <v>0</v>
      </c>
      <c r="BL47" s="2"/>
      <c r="BM47" s="2"/>
      <c r="BN47" s="1">
        <v>0</v>
      </c>
      <c r="BO47" s="2"/>
      <c r="BP47" s="2" t="s">
        <v>296</v>
      </c>
      <c r="BQ47" s="1">
        <v>1</v>
      </c>
      <c r="BR47" s="2" t="s">
        <v>548</v>
      </c>
      <c r="BS47" s="2" t="s">
        <v>286</v>
      </c>
      <c r="BT47" s="2" t="s">
        <v>297</v>
      </c>
      <c r="BU47" s="1">
        <v>0</v>
      </c>
      <c r="BV47" s="2"/>
      <c r="BW47" s="2"/>
      <c r="BX47" s="2" t="s">
        <v>288</v>
      </c>
      <c r="BY47" s="2" t="s">
        <v>287</v>
      </c>
      <c r="BZ47" s="1">
        <v>0</v>
      </c>
      <c r="CA47" s="2"/>
      <c r="CB47" s="2"/>
      <c r="CC47" s="1">
        <v>1</v>
      </c>
      <c r="CD47" s="2" t="s">
        <v>549</v>
      </c>
      <c r="CE47" s="2" t="s">
        <v>328</v>
      </c>
      <c r="CF47" s="1">
        <v>0</v>
      </c>
      <c r="CG47" s="2"/>
      <c r="CH47" s="2"/>
      <c r="CI47" s="2" t="s">
        <v>294</v>
      </c>
      <c r="CJ47" s="2" t="s">
        <v>297</v>
      </c>
      <c r="CK47" s="1">
        <v>0</v>
      </c>
      <c r="CL47" s="2"/>
      <c r="CM47" s="2"/>
      <c r="CN47" s="2" t="s">
        <v>288</v>
      </c>
      <c r="CO47" s="2" t="s">
        <v>297</v>
      </c>
      <c r="CP47" s="1">
        <v>0</v>
      </c>
      <c r="CQ47" s="2"/>
      <c r="CR47" s="2"/>
      <c r="CS47" s="1">
        <v>0</v>
      </c>
      <c r="CT47" s="2"/>
      <c r="CU47" s="2" t="s">
        <v>299</v>
      </c>
      <c r="CV47" s="36">
        <f t="shared" si="0"/>
        <v>0</v>
      </c>
      <c r="CW47" s="1">
        <v>0</v>
      </c>
      <c r="CX47" s="2"/>
      <c r="CY47" s="2"/>
      <c r="CZ47" s="2" t="s">
        <v>301</v>
      </c>
      <c r="DA47" s="2" t="s">
        <v>339</v>
      </c>
      <c r="DB47" s="1">
        <v>1</v>
      </c>
      <c r="DC47" s="2" t="s">
        <v>297</v>
      </c>
      <c r="DD47" s="2"/>
      <c r="DE47" s="2" t="s">
        <v>324</v>
      </c>
      <c r="DF47" s="2" t="s">
        <v>339</v>
      </c>
      <c r="DG47" s="1">
        <v>0</v>
      </c>
      <c r="DH47" s="2"/>
      <c r="DI47" s="2"/>
      <c r="DJ47" s="1">
        <v>0</v>
      </c>
      <c r="DK47" s="2"/>
      <c r="DL47" s="2" t="s">
        <v>328</v>
      </c>
      <c r="DM47" s="1">
        <v>1</v>
      </c>
      <c r="DN47" s="2" t="s">
        <v>550</v>
      </c>
      <c r="DO47" s="2"/>
      <c r="DP47" s="2" t="s">
        <v>303</v>
      </c>
      <c r="DQ47" s="2" t="s">
        <v>331</v>
      </c>
      <c r="DR47" s="1">
        <v>1</v>
      </c>
      <c r="DS47" s="2" t="s">
        <v>297</v>
      </c>
      <c r="DT47" s="2"/>
      <c r="DU47" s="2" t="s">
        <v>298</v>
      </c>
      <c r="DV47" s="2" t="s">
        <v>331</v>
      </c>
      <c r="DW47" s="1">
        <v>0</v>
      </c>
      <c r="DX47" s="2"/>
      <c r="DY47" s="2"/>
      <c r="DZ47" s="2"/>
      <c r="EA47" s="2"/>
      <c r="EB47" s="2" t="s">
        <v>328</v>
      </c>
      <c r="EC47" s="1">
        <v>0</v>
      </c>
      <c r="ED47" s="2"/>
      <c r="EE47" s="2" t="s">
        <v>303</v>
      </c>
      <c r="EF47" s="2" t="s">
        <v>331</v>
      </c>
      <c r="EG47" s="1">
        <v>0</v>
      </c>
      <c r="EH47" s="2"/>
      <c r="EI47" s="2"/>
      <c r="EJ47" s="2" t="s">
        <v>298</v>
      </c>
      <c r="EK47" s="2" t="s">
        <v>331</v>
      </c>
      <c r="EL47" s="1">
        <v>0</v>
      </c>
      <c r="EM47" s="2"/>
      <c r="EN47" s="2"/>
      <c r="EO47" s="2" t="s">
        <v>551</v>
      </c>
      <c r="EP47" s="1">
        <v>0</v>
      </c>
      <c r="EQ47" s="2"/>
      <c r="ER47" s="2" t="s">
        <v>296</v>
      </c>
      <c r="ES47" s="1">
        <v>1</v>
      </c>
      <c r="ET47" s="2" t="s">
        <v>552</v>
      </c>
      <c r="EU47" s="2"/>
      <c r="EV47" s="2"/>
      <c r="EW47" s="2"/>
      <c r="EX47" s="2"/>
      <c r="EY47" s="2"/>
      <c r="EZ47" s="2"/>
      <c r="FA47" s="2"/>
      <c r="FB47" s="1">
        <v>0</v>
      </c>
      <c r="FC47" s="2"/>
      <c r="FD47" s="2"/>
      <c r="FE47" s="2"/>
      <c r="FG47" s="2" t="s">
        <v>317</v>
      </c>
      <c r="FH47" s="2" t="s">
        <v>553</v>
      </c>
      <c r="FI47" s="2"/>
      <c r="FJ47" s="1">
        <v>-1</v>
      </c>
      <c r="FK47" s="1">
        <v>-1</v>
      </c>
      <c r="FL47" s="1">
        <v>-1</v>
      </c>
      <c r="FM47" s="1">
        <v>-1</v>
      </c>
      <c r="FN47" s="1">
        <v>-1</v>
      </c>
      <c r="FO47" s="1">
        <v>-1</v>
      </c>
      <c r="FP47" s="1">
        <v>-1</v>
      </c>
      <c r="FQ47" s="1">
        <v>-1</v>
      </c>
      <c r="FR47" s="1">
        <v>-1</v>
      </c>
      <c r="FS47" s="1">
        <v>-1</v>
      </c>
      <c r="FT47" s="1">
        <v>-1</v>
      </c>
      <c r="FU47" s="1">
        <v>-1</v>
      </c>
      <c r="FV47" s="1">
        <v>-1</v>
      </c>
      <c r="FW47" s="1">
        <v>-1</v>
      </c>
      <c r="FX47" s="1">
        <v>-1</v>
      </c>
      <c r="FY47" s="1">
        <v>-15</v>
      </c>
      <c r="FZ47" s="3"/>
      <c r="GA47" s="3"/>
      <c r="GB47" s="2" t="s">
        <v>319</v>
      </c>
      <c r="GC47" s="2" t="s">
        <v>320</v>
      </c>
      <c r="GD47" s="2" t="s">
        <v>277</v>
      </c>
      <c r="GE47" s="1">
        <v>15</v>
      </c>
      <c r="GF47" s="1">
        <v>15</v>
      </c>
      <c r="GG47" s="1">
        <v>44</v>
      </c>
      <c r="GH47" s="1">
        <v>19</v>
      </c>
      <c r="GI47" s="4"/>
    </row>
    <row r="48" spans="1:191" x14ac:dyDescent="0.25">
      <c r="A48" s="1">
        <v>195</v>
      </c>
      <c r="B48" s="19" t="s">
        <v>347</v>
      </c>
      <c r="C48" s="2" t="s">
        <v>279</v>
      </c>
      <c r="D48" s="2" t="s">
        <v>280</v>
      </c>
      <c r="E48" s="2" t="s">
        <v>281</v>
      </c>
      <c r="F48" s="2" t="s">
        <v>281</v>
      </c>
      <c r="G48" s="2" t="s">
        <v>282</v>
      </c>
      <c r="H48" s="2" t="s">
        <v>282</v>
      </c>
      <c r="I48" s="2" t="s">
        <v>281</v>
      </c>
      <c r="J48" s="2" t="s">
        <v>281</v>
      </c>
      <c r="K48" s="2" t="s">
        <v>282</v>
      </c>
      <c r="L48" s="2" t="s">
        <v>282</v>
      </c>
      <c r="M48" s="2" t="s">
        <v>282</v>
      </c>
      <c r="N48" s="1">
        <v>0</v>
      </c>
      <c r="O48" s="2"/>
      <c r="P48" s="2"/>
      <c r="Q48" s="2" t="s">
        <v>337</v>
      </c>
      <c r="R48" s="2"/>
      <c r="S48" s="2" t="s">
        <v>757</v>
      </c>
      <c r="T48" s="2"/>
      <c r="U48" s="2"/>
      <c r="V48" s="2" t="s">
        <v>346</v>
      </c>
      <c r="W48" s="1">
        <v>0</v>
      </c>
      <c r="X48" s="2"/>
      <c r="Y48" s="2"/>
      <c r="Z48" s="2" t="s">
        <v>301</v>
      </c>
      <c r="AA48" s="2" t="s">
        <v>331</v>
      </c>
      <c r="AB48" s="1">
        <v>0</v>
      </c>
      <c r="AC48" s="2"/>
      <c r="AD48" s="2"/>
      <c r="AE48" s="2" t="s">
        <v>288</v>
      </c>
      <c r="AF48" s="2" t="s">
        <v>331</v>
      </c>
      <c r="AG48" s="1">
        <v>0</v>
      </c>
      <c r="AH48" s="2"/>
      <c r="AI48" s="2"/>
      <c r="AJ48" s="1">
        <v>1</v>
      </c>
      <c r="AK48" s="2" t="s">
        <v>554</v>
      </c>
      <c r="AL48" s="2"/>
      <c r="AM48" s="2" t="s">
        <v>366</v>
      </c>
      <c r="AN48" s="1">
        <v>1</v>
      </c>
      <c r="AO48" s="2" t="s">
        <v>341</v>
      </c>
      <c r="AP48" s="2"/>
      <c r="AQ48" s="2" t="s">
        <v>301</v>
      </c>
      <c r="AR48" s="2" t="s">
        <v>297</v>
      </c>
      <c r="AS48" s="1">
        <v>0</v>
      </c>
      <c r="AT48" s="2"/>
      <c r="AU48" s="2"/>
      <c r="AV48" s="2" t="s">
        <v>288</v>
      </c>
      <c r="AW48" s="2" t="s">
        <v>287</v>
      </c>
      <c r="AX48" s="1">
        <v>0</v>
      </c>
      <c r="AY48" s="2"/>
      <c r="AZ48" s="2"/>
      <c r="BA48" s="1">
        <v>0</v>
      </c>
      <c r="BB48" s="2"/>
      <c r="BC48" s="2" t="s">
        <v>328</v>
      </c>
      <c r="BD48" s="2" t="s">
        <v>301</v>
      </c>
      <c r="BE48" s="2" t="s">
        <v>297</v>
      </c>
      <c r="BF48" s="1">
        <v>1</v>
      </c>
      <c r="BG48" s="2" t="s">
        <v>531</v>
      </c>
      <c r="BH48" s="2"/>
      <c r="BI48" s="2" t="s">
        <v>324</v>
      </c>
      <c r="BJ48" s="2" t="s">
        <v>339</v>
      </c>
      <c r="BK48" s="1">
        <v>0</v>
      </c>
      <c r="BL48" s="2"/>
      <c r="BM48" s="2"/>
      <c r="BN48" s="1">
        <v>1</v>
      </c>
      <c r="BO48" s="2" t="s">
        <v>555</v>
      </c>
      <c r="BP48" s="2" t="s">
        <v>299</v>
      </c>
      <c r="BQ48" s="1">
        <v>1</v>
      </c>
      <c r="BR48" s="2" t="s">
        <v>556</v>
      </c>
      <c r="BS48" s="2" t="s">
        <v>294</v>
      </c>
      <c r="BT48" s="2" t="s">
        <v>297</v>
      </c>
      <c r="BU48" s="1">
        <v>0</v>
      </c>
      <c r="BV48" s="2"/>
      <c r="BW48" s="2"/>
      <c r="BX48" s="2" t="s">
        <v>288</v>
      </c>
      <c r="BY48" s="2" t="s">
        <v>521</v>
      </c>
      <c r="BZ48" s="1">
        <v>0</v>
      </c>
      <c r="CA48" s="2"/>
      <c r="CB48" s="2"/>
      <c r="CC48" s="1">
        <v>0</v>
      </c>
      <c r="CD48" s="2"/>
      <c r="CE48" s="2" t="s">
        <v>299</v>
      </c>
      <c r="CF48" s="1">
        <v>1</v>
      </c>
      <c r="CG48" s="2" t="s">
        <v>557</v>
      </c>
      <c r="CH48" s="2"/>
      <c r="CI48" s="2" t="s">
        <v>303</v>
      </c>
      <c r="CJ48" s="2" t="s">
        <v>297</v>
      </c>
      <c r="CK48" s="1">
        <v>0</v>
      </c>
      <c r="CL48" s="2"/>
      <c r="CM48" s="2"/>
      <c r="CN48" s="2" t="s">
        <v>298</v>
      </c>
      <c r="CO48" s="2" t="s">
        <v>302</v>
      </c>
      <c r="CP48" s="1">
        <v>0</v>
      </c>
      <c r="CQ48" s="2"/>
      <c r="CR48" s="2"/>
      <c r="CS48" s="1">
        <v>0</v>
      </c>
      <c r="CT48" s="2"/>
      <c r="CU48" s="2" t="s">
        <v>328</v>
      </c>
      <c r="CV48" s="36">
        <f t="shared" si="0"/>
        <v>0</v>
      </c>
      <c r="CW48" s="1">
        <v>2</v>
      </c>
      <c r="CX48" s="2" t="s">
        <v>329</v>
      </c>
      <c r="CY48" s="2" t="s">
        <v>558</v>
      </c>
      <c r="CZ48" s="2" t="s">
        <v>303</v>
      </c>
      <c r="DA48" s="2" t="s">
        <v>302</v>
      </c>
      <c r="DB48" s="1">
        <v>0</v>
      </c>
      <c r="DC48" s="2"/>
      <c r="DD48" s="2"/>
      <c r="DE48" s="2" t="s">
        <v>305</v>
      </c>
      <c r="DF48" s="2" t="s">
        <v>331</v>
      </c>
      <c r="DG48" s="1">
        <v>0</v>
      </c>
      <c r="DH48" s="2"/>
      <c r="DI48" s="2"/>
      <c r="DJ48" s="1">
        <v>0</v>
      </c>
      <c r="DK48" s="2"/>
      <c r="DL48" s="2" t="s">
        <v>292</v>
      </c>
      <c r="DM48" s="1">
        <v>1</v>
      </c>
      <c r="DN48" s="2" t="s">
        <v>559</v>
      </c>
      <c r="DO48" s="2"/>
      <c r="DP48" s="2" t="s">
        <v>303</v>
      </c>
      <c r="DQ48" s="2" t="s">
        <v>331</v>
      </c>
      <c r="DR48" s="1">
        <v>0</v>
      </c>
      <c r="DS48" s="2"/>
      <c r="DT48" s="2"/>
      <c r="DU48" s="2" t="s">
        <v>298</v>
      </c>
      <c r="DV48" s="2"/>
      <c r="DW48" s="1">
        <v>0</v>
      </c>
      <c r="DX48" s="2"/>
      <c r="DY48" s="2"/>
      <c r="DZ48" s="2"/>
      <c r="EA48" s="2"/>
      <c r="EB48" s="2" t="s">
        <v>328</v>
      </c>
      <c r="EC48" s="1">
        <v>1</v>
      </c>
      <c r="ED48" s="2" t="s">
        <v>560</v>
      </c>
      <c r="EE48" s="2" t="s">
        <v>303</v>
      </c>
      <c r="EF48" s="2" t="s">
        <v>331</v>
      </c>
      <c r="EG48" s="1">
        <v>0</v>
      </c>
      <c r="EH48" s="2"/>
      <c r="EI48" s="2"/>
      <c r="EJ48" s="2" t="s">
        <v>305</v>
      </c>
      <c r="EK48" s="2" t="s">
        <v>302</v>
      </c>
      <c r="EL48" s="1">
        <v>0</v>
      </c>
      <c r="EM48" s="2"/>
      <c r="EN48" s="2"/>
      <c r="EO48" s="2" t="s">
        <v>561</v>
      </c>
      <c r="EP48" s="1">
        <v>0</v>
      </c>
      <c r="EQ48" s="2"/>
      <c r="ER48" s="2" t="s">
        <v>299</v>
      </c>
      <c r="ES48" s="1">
        <v>0</v>
      </c>
      <c r="ET48" s="2"/>
      <c r="EU48" s="2"/>
      <c r="EV48" s="2"/>
      <c r="EW48" s="2"/>
      <c r="EX48" s="2"/>
      <c r="EY48" s="2"/>
      <c r="EZ48" s="2"/>
      <c r="FA48" s="2"/>
      <c r="FB48" s="1">
        <v>1</v>
      </c>
      <c r="FC48" s="2" t="s">
        <v>562</v>
      </c>
      <c r="FD48" s="2"/>
      <c r="FE48" s="2"/>
      <c r="FG48" s="2" t="s">
        <v>335</v>
      </c>
      <c r="FH48" s="2" t="s">
        <v>563</v>
      </c>
      <c r="FI48" s="2" t="s">
        <v>564</v>
      </c>
      <c r="FJ48" s="1">
        <v>-1</v>
      </c>
      <c r="FK48" s="1">
        <v>-1</v>
      </c>
      <c r="FL48" s="1">
        <v>-1</v>
      </c>
      <c r="FM48" s="1">
        <v>-1</v>
      </c>
      <c r="FN48" s="1">
        <v>-1</v>
      </c>
      <c r="FO48" s="1">
        <v>-1</v>
      </c>
      <c r="FP48" s="1">
        <v>-1</v>
      </c>
      <c r="FQ48" s="1">
        <v>-1</v>
      </c>
      <c r="FR48" s="1">
        <v>-1</v>
      </c>
      <c r="FS48" s="1">
        <v>-1</v>
      </c>
      <c r="FT48" s="1">
        <v>-1</v>
      </c>
      <c r="FU48" s="1">
        <v>-1</v>
      </c>
      <c r="FV48" s="1">
        <v>-1</v>
      </c>
      <c r="FW48" s="1">
        <v>-1</v>
      </c>
      <c r="FX48" s="1">
        <v>-1</v>
      </c>
      <c r="FY48" s="1">
        <v>-15</v>
      </c>
      <c r="FZ48" s="3"/>
      <c r="GA48" s="3"/>
      <c r="GB48" s="2" t="s">
        <v>319</v>
      </c>
      <c r="GC48" s="2" t="s">
        <v>320</v>
      </c>
      <c r="GD48" s="2" t="s">
        <v>277</v>
      </c>
      <c r="GE48" s="1">
        <v>15</v>
      </c>
      <c r="GF48" s="1">
        <v>15</v>
      </c>
      <c r="GG48" s="1">
        <v>34</v>
      </c>
      <c r="GH48" s="1">
        <v>10</v>
      </c>
      <c r="GI48" s="4"/>
    </row>
    <row r="49" spans="1:191" s="48" customFormat="1" x14ac:dyDescent="0.25">
      <c r="A49" s="51">
        <v>199</v>
      </c>
      <c r="B49" s="52" t="s">
        <v>347</v>
      </c>
      <c r="C49" s="52" t="s">
        <v>353</v>
      </c>
      <c r="D49" s="52" t="s">
        <v>377</v>
      </c>
      <c r="E49" s="52" t="s">
        <v>281</v>
      </c>
      <c r="F49" s="52" t="s">
        <v>281</v>
      </c>
      <c r="G49" s="52" t="s">
        <v>282</v>
      </c>
      <c r="H49" s="52" t="s">
        <v>282</v>
      </c>
      <c r="I49" s="52" t="s">
        <v>282</v>
      </c>
      <c r="J49" s="52" t="s">
        <v>281</v>
      </c>
      <c r="K49" s="52" t="s">
        <v>282</v>
      </c>
      <c r="L49" s="52" t="s">
        <v>282</v>
      </c>
      <c r="M49" s="52" t="s">
        <v>282</v>
      </c>
      <c r="N49" s="51">
        <v>0</v>
      </c>
      <c r="O49" s="52"/>
      <c r="P49" s="52"/>
      <c r="Q49" s="52" t="s">
        <v>283</v>
      </c>
      <c r="R49" s="52" t="s">
        <v>322</v>
      </c>
      <c r="S49" s="52"/>
      <c r="T49" s="52"/>
      <c r="U49" s="52"/>
      <c r="V49" s="52" t="s">
        <v>346</v>
      </c>
      <c r="W49" s="51">
        <v>0</v>
      </c>
      <c r="X49" s="52"/>
      <c r="Y49" s="52"/>
      <c r="Z49" s="52" t="s">
        <v>303</v>
      </c>
      <c r="AA49" s="52" t="s">
        <v>331</v>
      </c>
      <c r="AB49" s="51">
        <v>0</v>
      </c>
      <c r="AC49" s="52"/>
      <c r="AD49" s="52"/>
      <c r="AE49" s="52" t="s">
        <v>288</v>
      </c>
      <c r="AF49" s="52" t="s">
        <v>331</v>
      </c>
      <c r="AG49" s="51">
        <v>0</v>
      </c>
      <c r="AH49" s="52"/>
      <c r="AI49" s="52"/>
      <c r="AJ49" s="51">
        <v>0</v>
      </c>
      <c r="AK49" s="52"/>
      <c r="AL49" s="52"/>
      <c r="AM49" s="52" t="s">
        <v>366</v>
      </c>
      <c r="AN49" s="51">
        <v>0</v>
      </c>
      <c r="AO49" s="52"/>
      <c r="AP49" s="52"/>
      <c r="AQ49" s="52" t="s">
        <v>294</v>
      </c>
      <c r="AR49" s="52" t="s">
        <v>287</v>
      </c>
      <c r="AS49" s="51">
        <v>0</v>
      </c>
      <c r="AT49" s="52"/>
      <c r="AU49" s="52"/>
      <c r="AV49" s="52" t="s">
        <v>324</v>
      </c>
      <c r="AW49" s="52" t="s">
        <v>287</v>
      </c>
      <c r="AX49" s="51">
        <v>0</v>
      </c>
      <c r="AY49" s="52"/>
      <c r="AZ49" s="52"/>
      <c r="BA49" s="51">
        <v>0</v>
      </c>
      <c r="BB49" s="52"/>
      <c r="BC49" s="52" t="s">
        <v>296</v>
      </c>
      <c r="BD49" s="52" t="s">
        <v>303</v>
      </c>
      <c r="BE49" s="52" t="s">
        <v>297</v>
      </c>
      <c r="BF49" s="51">
        <v>0</v>
      </c>
      <c r="BG49" s="52"/>
      <c r="BH49" s="52"/>
      <c r="BI49" s="52" t="s">
        <v>324</v>
      </c>
      <c r="BJ49" s="52" t="s">
        <v>287</v>
      </c>
      <c r="BK49" s="51">
        <v>0</v>
      </c>
      <c r="BL49" s="52"/>
      <c r="BM49" s="52"/>
      <c r="BN49" s="51">
        <v>0</v>
      </c>
      <c r="BO49" s="52"/>
      <c r="BP49" s="52" t="s">
        <v>296</v>
      </c>
      <c r="BQ49" s="51">
        <v>0</v>
      </c>
      <c r="BR49" s="52"/>
      <c r="BS49" s="52" t="s">
        <v>310</v>
      </c>
      <c r="BT49" s="52" t="s">
        <v>297</v>
      </c>
      <c r="BU49" s="51">
        <v>0</v>
      </c>
      <c r="BV49" s="52"/>
      <c r="BW49" s="52"/>
      <c r="BX49" s="52" t="s">
        <v>324</v>
      </c>
      <c r="BY49" s="52" t="s">
        <v>297</v>
      </c>
      <c r="BZ49" s="51">
        <v>0</v>
      </c>
      <c r="CA49" s="52"/>
      <c r="CB49" s="52"/>
      <c r="CC49" s="51">
        <v>0</v>
      </c>
      <c r="CD49" s="52"/>
      <c r="CE49" s="52" t="s">
        <v>299</v>
      </c>
      <c r="CF49" s="51">
        <v>0</v>
      </c>
      <c r="CG49" s="52"/>
      <c r="CH49" s="52"/>
      <c r="CI49" s="52" t="s">
        <v>303</v>
      </c>
      <c r="CJ49" s="52" t="s">
        <v>302</v>
      </c>
      <c r="CK49" s="51">
        <v>1</v>
      </c>
      <c r="CL49" s="52"/>
      <c r="CM49" s="52" t="s">
        <v>297</v>
      </c>
      <c r="CN49" s="52" t="s">
        <v>305</v>
      </c>
      <c r="CO49" s="52" t="s">
        <v>302</v>
      </c>
      <c r="CP49" s="51">
        <v>0</v>
      </c>
      <c r="CQ49" s="52"/>
      <c r="CR49" s="52"/>
      <c r="CS49" s="51">
        <v>0</v>
      </c>
      <c r="CT49" s="52"/>
      <c r="CU49" s="52" t="s">
        <v>328</v>
      </c>
      <c r="CV49" s="36">
        <f t="shared" si="0"/>
        <v>0</v>
      </c>
      <c r="CW49" s="51">
        <v>0</v>
      </c>
      <c r="CX49" s="52"/>
      <c r="CY49" s="52"/>
      <c r="CZ49" s="52" t="s">
        <v>303</v>
      </c>
      <c r="DA49" s="52" t="s">
        <v>331</v>
      </c>
      <c r="DB49" s="51">
        <v>0</v>
      </c>
      <c r="DC49" s="52"/>
      <c r="DD49" s="52"/>
      <c r="DE49" s="52" t="s">
        <v>298</v>
      </c>
      <c r="DF49" s="52" t="s">
        <v>331</v>
      </c>
      <c r="DG49" s="51">
        <v>0</v>
      </c>
      <c r="DH49" s="52"/>
      <c r="DI49" s="52"/>
      <c r="DJ49" s="51">
        <v>0</v>
      </c>
      <c r="DK49" s="52"/>
      <c r="DL49" s="52" t="s">
        <v>366</v>
      </c>
      <c r="DM49" s="51">
        <v>0</v>
      </c>
      <c r="DN49" s="52"/>
      <c r="DO49" s="52"/>
      <c r="DP49" s="52" t="s">
        <v>286</v>
      </c>
      <c r="DQ49" s="52" t="s">
        <v>331</v>
      </c>
      <c r="DR49" s="51">
        <v>0</v>
      </c>
      <c r="DS49" s="52"/>
      <c r="DT49" s="52"/>
      <c r="DU49" s="52" t="s">
        <v>298</v>
      </c>
      <c r="DV49" s="52" t="s">
        <v>331</v>
      </c>
      <c r="DW49" s="51">
        <v>0</v>
      </c>
      <c r="DX49" s="52"/>
      <c r="DY49" s="52"/>
      <c r="DZ49" s="52"/>
      <c r="EA49" s="52"/>
      <c r="EB49" s="52" t="s">
        <v>366</v>
      </c>
      <c r="EC49" s="51">
        <v>0</v>
      </c>
      <c r="ED49" s="52"/>
      <c r="EE49" s="52" t="s">
        <v>303</v>
      </c>
      <c r="EF49" s="52" t="s">
        <v>331</v>
      </c>
      <c r="EG49" s="51">
        <v>0</v>
      </c>
      <c r="EH49" s="52"/>
      <c r="EI49" s="52"/>
      <c r="EJ49" s="52" t="s">
        <v>288</v>
      </c>
      <c r="EK49" s="52" t="s">
        <v>302</v>
      </c>
      <c r="EL49" s="51">
        <v>0</v>
      </c>
      <c r="EM49" s="52"/>
      <c r="EN49" s="52"/>
      <c r="EO49" s="52"/>
      <c r="EP49" s="51">
        <v>0</v>
      </c>
      <c r="EQ49" s="52"/>
      <c r="ER49" s="52" t="s">
        <v>292</v>
      </c>
      <c r="ES49" s="51">
        <v>0</v>
      </c>
      <c r="ET49" s="52"/>
      <c r="EU49" s="52"/>
      <c r="EV49" s="52"/>
      <c r="EW49" s="52"/>
      <c r="EX49" s="52"/>
      <c r="EY49" s="52"/>
      <c r="EZ49" s="52"/>
      <c r="FA49" s="52"/>
      <c r="FB49" s="51">
        <v>0</v>
      </c>
      <c r="FC49" s="52"/>
      <c r="FD49" s="52"/>
      <c r="FE49" s="52"/>
      <c r="FG49" s="52" t="s">
        <v>317</v>
      </c>
      <c r="FH49" s="52"/>
      <c r="FI49" s="52"/>
      <c r="FJ49" s="51">
        <v>-1</v>
      </c>
      <c r="FK49" s="51">
        <v>-1</v>
      </c>
      <c r="FL49" s="51">
        <v>-1</v>
      </c>
      <c r="FM49" s="51">
        <v>-1</v>
      </c>
      <c r="FN49" s="51">
        <v>-1</v>
      </c>
      <c r="FO49" s="51">
        <v>-1</v>
      </c>
      <c r="FP49" s="51">
        <v>-1</v>
      </c>
      <c r="FQ49" s="51">
        <v>-1</v>
      </c>
      <c r="FR49" s="51">
        <v>-1</v>
      </c>
      <c r="FS49" s="51">
        <v>-1</v>
      </c>
      <c r="FT49" s="51">
        <v>-1</v>
      </c>
      <c r="FU49" s="51">
        <v>-1</v>
      </c>
      <c r="FV49" s="51">
        <v>-1</v>
      </c>
      <c r="FW49" s="51">
        <v>-1</v>
      </c>
      <c r="FX49" s="51">
        <v>-1</v>
      </c>
      <c r="FY49" s="51">
        <v>-15</v>
      </c>
      <c r="FZ49" s="53"/>
      <c r="GA49" s="53"/>
      <c r="GB49" s="52" t="s">
        <v>319</v>
      </c>
      <c r="GC49" s="52" t="s">
        <v>320</v>
      </c>
      <c r="GD49" s="52" t="s">
        <v>277</v>
      </c>
      <c r="GE49" s="51">
        <v>15</v>
      </c>
      <c r="GF49" s="51">
        <v>15</v>
      </c>
      <c r="GG49" s="51">
        <v>50</v>
      </c>
      <c r="GH49" s="51">
        <v>20</v>
      </c>
      <c r="GI49" s="54"/>
    </row>
    <row r="50" spans="1:191" x14ac:dyDescent="0.25">
      <c r="A50" s="1">
        <v>200</v>
      </c>
      <c r="B50" s="19" t="s">
        <v>347</v>
      </c>
      <c r="C50" s="2" t="s">
        <v>353</v>
      </c>
      <c r="D50" s="2" t="s">
        <v>377</v>
      </c>
      <c r="E50" s="2" t="s">
        <v>281</v>
      </c>
      <c r="F50" s="2" t="s">
        <v>282</v>
      </c>
      <c r="G50" s="2" t="s">
        <v>281</v>
      </c>
      <c r="H50" s="2" t="s">
        <v>282</v>
      </c>
      <c r="I50" s="2" t="s">
        <v>282</v>
      </c>
      <c r="J50" s="2" t="s">
        <v>281</v>
      </c>
      <c r="K50" s="2" t="s">
        <v>282</v>
      </c>
      <c r="L50" s="2" t="s">
        <v>282</v>
      </c>
      <c r="M50" s="2" t="s">
        <v>282</v>
      </c>
      <c r="N50" s="1">
        <v>1</v>
      </c>
      <c r="O50" s="2"/>
      <c r="P50" s="2" t="s">
        <v>339</v>
      </c>
      <c r="Q50" s="2" t="s">
        <v>283</v>
      </c>
      <c r="R50" s="2" t="s">
        <v>449</v>
      </c>
      <c r="S50" s="2"/>
      <c r="T50" s="2"/>
      <c r="U50" s="2"/>
      <c r="V50" s="2" t="s">
        <v>482</v>
      </c>
      <c r="W50" s="1">
        <v>0</v>
      </c>
      <c r="X50" s="2"/>
      <c r="Y50" s="2"/>
      <c r="Z50" s="2" t="s">
        <v>294</v>
      </c>
      <c r="AA50" s="2" t="s">
        <v>331</v>
      </c>
      <c r="AB50" s="1">
        <v>1</v>
      </c>
      <c r="AC50" s="2" t="s">
        <v>302</v>
      </c>
      <c r="AD50" s="2"/>
      <c r="AE50" s="2" t="s">
        <v>305</v>
      </c>
      <c r="AF50" s="2" t="s">
        <v>331</v>
      </c>
      <c r="AG50" s="1">
        <v>0</v>
      </c>
      <c r="AH50" s="2"/>
      <c r="AI50" s="2"/>
      <c r="AJ50" s="1">
        <v>0</v>
      </c>
      <c r="AK50" s="2"/>
      <c r="AL50" s="2"/>
      <c r="AM50" s="2" t="s">
        <v>296</v>
      </c>
      <c r="AN50" s="1">
        <v>1</v>
      </c>
      <c r="AO50" s="2" t="s">
        <v>577</v>
      </c>
      <c r="AP50" s="2"/>
      <c r="AQ50" s="2" t="s">
        <v>301</v>
      </c>
      <c r="AR50" s="2" t="s">
        <v>287</v>
      </c>
      <c r="AS50" s="1">
        <v>0</v>
      </c>
      <c r="AT50" s="2"/>
      <c r="AU50" s="2"/>
      <c r="AV50" s="2" t="s">
        <v>324</v>
      </c>
      <c r="AW50" s="2" t="s">
        <v>287</v>
      </c>
      <c r="AX50" s="1">
        <v>1</v>
      </c>
      <c r="AY50" s="2"/>
      <c r="AZ50" s="2" t="s">
        <v>339</v>
      </c>
      <c r="BA50" s="1">
        <v>0</v>
      </c>
      <c r="BB50" s="2"/>
      <c r="BC50" s="2" t="s">
        <v>328</v>
      </c>
      <c r="BD50" s="2" t="s">
        <v>294</v>
      </c>
      <c r="BE50" s="2" t="s">
        <v>297</v>
      </c>
      <c r="BF50" s="1">
        <v>0</v>
      </c>
      <c r="BG50" s="2"/>
      <c r="BH50" s="2"/>
      <c r="BI50" s="2" t="s">
        <v>324</v>
      </c>
      <c r="BJ50" s="2" t="s">
        <v>297</v>
      </c>
      <c r="BK50" s="1">
        <v>0</v>
      </c>
      <c r="BL50" s="2"/>
      <c r="BM50" s="2"/>
      <c r="BN50" s="1">
        <v>0</v>
      </c>
      <c r="BO50" s="2"/>
      <c r="BP50" s="2" t="s">
        <v>296</v>
      </c>
      <c r="BQ50" s="1">
        <v>0</v>
      </c>
      <c r="BR50" s="2"/>
      <c r="BS50" s="2" t="s">
        <v>294</v>
      </c>
      <c r="BT50" s="2" t="s">
        <v>297</v>
      </c>
      <c r="BU50" s="1">
        <v>0</v>
      </c>
      <c r="BV50" s="2"/>
      <c r="BW50" s="2"/>
      <c r="BX50" s="2" t="s">
        <v>288</v>
      </c>
      <c r="BY50" s="2" t="s">
        <v>331</v>
      </c>
      <c r="BZ50" s="1">
        <v>0</v>
      </c>
      <c r="CA50" s="2"/>
      <c r="CB50" s="2"/>
      <c r="CC50" s="1">
        <v>0</v>
      </c>
      <c r="CD50" s="2"/>
      <c r="CE50" s="2" t="s">
        <v>328</v>
      </c>
      <c r="CF50" s="1">
        <v>0</v>
      </c>
      <c r="CG50" s="2"/>
      <c r="CH50" s="2"/>
      <c r="CI50" s="2" t="s">
        <v>294</v>
      </c>
      <c r="CJ50" s="2" t="s">
        <v>297</v>
      </c>
      <c r="CK50" s="1">
        <v>1</v>
      </c>
      <c r="CL50" s="2" t="s">
        <v>302</v>
      </c>
      <c r="CM50" s="2"/>
      <c r="CN50" s="2" t="s">
        <v>288</v>
      </c>
      <c r="CO50" s="2" t="s">
        <v>331</v>
      </c>
      <c r="CP50" s="1">
        <v>1</v>
      </c>
      <c r="CQ50" s="2" t="s">
        <v>302</v>
      </c>
      <c r="CR50" s="2"/>
      <c r="CS50" s="1">
        <v>0</v>
      </c>
      <c r="CT50" s="2"/>
      <c r="CU50" s="2" t="s">
        <v>299</v>
      </c>
      <c r="CV50" s="36">
        <f t="shared" si="0"/>
        <v>0</v>
      </c>
      <c r="CW50" s="1">
        <v>0</v>
      </c>
      <c r="CX50" s="2"/>
      <c r="CY50" s="2"/>
      <c r="CZ50" s="2" t="s">
        <v>301</v>
      </c>
      <c r="DA50" s="2" t="s">
        <v>297</v>
      </c>
      <c r="DB50" s="1">
        <v>0</v>
      </c>
      <c r="DC50" s="2"/>
      <c r="DD50" s="2"/>
      <c r="DE50" s="2" t="s">
        <v>288</v>
      </c>
      <c r="DF50" s="2" t="s">
        <v>297</v>
      </c>
      <c r="DG50" s="1">
        <v>1</v>
      </c>
      <c r="DH50" s="2" t="s">
        <v>302</v>
      </c>
      <c r="DI50" s="2"/>
      <c r="DJ50" s="1">
        <v>0</v>
      </c>
      <c r="DK50" s="2"/>
      <c r="DL50" s="2" t="s">
        <v>299</v>
      </c>
      <c r="DM50" s="1">
        <v>0</v>
      </c>
      <c r="DN50" s="2"/>
      <c r="DO50" s="2"/>
      <c r="DP50" s="2" t="s">
        <v>301</v>
      </c>
      <c r="DQ50" s="2" t="s">
        <v>331</v>
      </c>
      <c r="DR50" s="1">
        <v>0</v>
      </c>
      <c r="DS50" s="2"/>
      <c r="DT50" s="2"/>
      <c r="DU50" s="2" t="s">
        <v>288</v>
      </c>
      <c r="DV50" s="2" t="s">
        <v>331</v>
      </c>
      <c r="DW50" s="1">
        <v>0</v>
      </c>
      <c r="DX50" s="2"/>
      <c r="DY50" s="2"/>
      <c r="DZ50" s="2"/>
      <c r="EA50" s="2"/>
      <c r="EB50" s="2" t="s">
        <v>299</v>
      </c>
      <c r="EC50" s="1">
        <v>0</v>
      </c>
      <c r="ED50" s="2"/>
      <c r="EE50" s="2" t="s">
        <v>301</v>
      </c>
      <c r="EF50" s="2" t="s">
        <v>331</v>
      </c>
      <c r="EG50" s="1">
        <v>0</v>
      </c>
      <c r="EH50" s="2"/>
      <c r="EI50" s="2"/>
      <c r="EJ50" s="2" t="s">
        <v>288</v>
      </c>
      <c r="EK50" s="2" t="s">
        <v>331</v>
      </c>
      <c r="EL50" s="1">
        <v>0</v>
      </c>
      <c r="EM50" s="2"/>
      <c r="EN50" s="2"/>
      <c r="EO50" s="2"/>
      <c r="EP50" s="1">
        <v>0</v>
      </c>
      <c r="EQ50" s="2"/>
      <c r="ER50" s="2" t="s">
        <v>299</v>
      </c>
      <c r="ES50" s="1">
        <v>0</v>
      </c>
      <c r="ET50" s="2"/>
      <c r="EU50" s="2"/>
      <c r="EV50" s="2"/>
      <c r="EW50" s="2"/>
      <c r="EX50" s="2"/>
      <c r="EY50" s="2"/>
      <c r="EZ50" s="2"/>
      <c r="FA50" s="2"/>
      <c r="FB50" s="1">
        <v>0</v>
      </c>
      <c r="FC50" s="2"/>
      <c r="FD50" s="2"/>
      <c r="FE50" s="2"/>
      <c r="FG50" s="2" t="s">
        <v>317</v>
      </c>
      <c r="FH50" s="2"/>
      <c r="FI50" s="2"/>
      <c r="FJ50" s="1">
        <v>-1</v>
      </c>
      <c r="FK50" s="1">
        <v>-1</v>
      </c>
      <c r="FL50" s="1">
        <v>-1</v>
      </c>
      <c r="FM50" s="1">
        <v>-1</v>
      </c>
      <c r="FN50" s="1">
        <v>-1</v>
      </c>
      <c r="FO50" s="1">
        <v>-1</v>
      </c>
      <c r="FP50" s="1">
        <v>-1</v>
      </c>
      <c r="FQ50" s="1">
        <v>-1</v>
      </c>
      <c r="FR50" s="1">
        <v>-1</v>
      </c>
      <c r="FS50" s="1">
        <v>-1</v>
      </c>
      <c r="FT50" s="1">
        <v>-1</v>
      </c>
      <c r="FU50" s="1">
        <v>-1</v>
      </c>
      <c r="FV50" s="1">
        <v>-1</v>
      </c>
      <c r="FW50" s="1">
        <v>-1</v>
      </c>
      <c r="FX50" s="1">
        <v>-1</v>
      </c>
      <c r="FY50" s="1">
        <v>-15</v>
      </c>
      <c r="FZ50" s="3"/>
      <c r="GA50" s="3"/>
      <c r="GB50" s="2" t="s">
        <v>319</v>
      </c>
      <c r="GC50" s="2" t="s">
        <v>320</v>
      </c>
      <c r="GD50" s="2" t="s">
        <v>277</v>
      </c>
      <c r="GE50" s="1">
        <v>15</v>
      </c>
      <c r="GF50" s="1">
        <v>15</v>
      </c>
      <c r="GG50" s="1">
        <v>43</v>
      </c>
      <c r="GH50" s="1">
        <v>18</v>
      </c>
      <c r="GI50" s="4"/>
    </row>
    <row r="51" spans="1:191" s="48" customFormat="1" x14ac:dyDescent="0.25">
      <c r="A51" s="51">
        <v>202</v>
      </c>
      <c r="B51" s="52" t="s">
        <v>347</v>
      </c>
      <c r="C51" s="52" t="s">
        <v>279</v>
      </c>
      <c r="D51" s="52" t="s">
        <v>280</v>
      </c>
      <c r="E51" s="52" t="s">
        <v>281</v>
      </c>
      <c r="F51" s="52" t="s">
        <v>281</v>
      </c>
      <c r="G51" s="52" t="s">
        <v>281</v>
      </c>
      <c r="H51" s="52" t="s">
        <v>282</v>
      </c>
      <c r="I51" s="52" t="s">
        <v>282</v>
      </c>
      <c r="J51" s="52" t="s">
        <v>281</v>
      </c>
      <c r="K51" s="52" t="s">
        <v>282</v>
      </c>
      <c r="L51" s="52" t="s">
        <v>282</v>
      </c>
      <c r="M51" s="52" t="s">
        <v>282</v>
      </c>
      <c r="N51" s="51">
        <v>1</v>
      </c>
      <c r="O51" s="52" t="s">
        <v>404</v>
      </c>
      <c r="P51" s="52"/>
      <c r="Q51" s="52" t="s">
        <v>283</v>
      </c>
      <c r="R51" s="52" t="s">
        <v>378</v>
      </c>
      <c r="S51" s="52"/>
      <c r="T51" s="52"/>
      <c r="U51" s="52"/>
      <c r="V51" s="52" t="s">
        <v>437</v>
      </c>
      <c r="W51" s="51">
        <v>0</v>
      </c>
      <c r="X51" s="52"/>
      <c r="Y51" s="52"/>
      <c r="Z51" s="52" t="s">
        <v>301</v>
      </c>
      <c r="AA51" s="52" t="s">
        <v>297</v>
      </c>
      <c r="AB51" s="51">
        <v>1</v>
      </c>
      <c r="AC51" s="52" t="s">
        <v>302</v>
      </c>
      <c r="AD51" s="52"/>
      <c r="AE51" s="52" t="s">
        <v>305</v>
      </c>
      <c r="AF51" s="52" t="s">
        <v>287</v>
      </c>
      <c r="AG51" s="51">
        <v>0</v>
      </c>
      <c r="AH51" s="52"/>
      <c r="AI51" s="52"/>
      <c r="AJ51" s="51">
        <v>1</v>
      </c>
      <c r="AK51" s="52" t="s">
        <v>578</v>
      </c>
      <c r="AL51" s="52"/>
      <c r="AM51" s="52" t="s">
        <v>328</v>
      </c>
      <c r="AN51" s="51">
        <v>0</v>
      </c>
      <c r="AO51" s="52"/>
      <c r="AP51" s="52"/>
      <c r="AQ51" s="52" t="s">
        <v>301</v>
      </c>
      <c r="AR51" s="52" t="s">
        <v>297</v>
      </c>
      <c r="AS51" s="51">
        <v>1</v>
      </c>
      <c r="AT51" s="52"/>
      <c r="AU51" s="52" t="s">
        <v>406</v>
      </c>
      <c r="AV51" s="52" t="s">
        <v>305</v>
      </c>
      <c r="AW51" s="52" t="s">
        <v>287</v>
      </c>
      <c r="AX51" s="51">
        <v>0</v>
      </c>
      <c r="AY51" s="52"/>
      <c r="AZ51" s="52"/>
      <c r="BA51" s="51">
        <v>1</v>
      </c>
      <c r="BB51" s="52" t="s">
        <v>579</v>
      </c>
      <c r="BC51" s="52" t="s">
        <v>328</v>
      </c>
      <c r="BD51" s="52" t="s">
        <v>310</v>
      </c>
      <c r="BE51" s="52" t="s">
        <v>297</v>
      </c>
      <c r="BF51" s="51">
        <v>1</v>
      </c>
      <c r="BG51" s="52" t="s">
        <v>531</v>
      </c>
      <c r="BH51" s="52"/>
      <c r="BI51" s="52" t="s">
        <v>324</v>
      </c>
      <c r="BJ51" s="52" t="s">
        <v>287</v>
      </c>
      <c r="BK51" s="51">
        <v>0</v>
      </c>
      <c r="BL51" s="52"/>
      <c r="BM51" s="52"/>
      <c r="BN51" s="51">
        <v>1</v>
      </c>
      <c r="BO51" s="52" t="s">
        <v>580</v>
      </c>
      <c r="BP51" s="52" t="s">
        <v>299</v>
      </c>
      <c r="BQ51" s="51">
        <v>0</v>
      </c>
      <c r="BR51" s="52"/>
      <c r="BS51" s="52" t="s">
        <v>301</v>
      </c>
      <c r="BT51" s="52" t="s">
        <v>297</v>
      </c>
      <c r="BU51" s="51">
        <v>0</v>
      </c>
      <c r="BV51" s="52"/>
      <c r="BW51" s="52"/>
      <c r="BX51" s="52" t="s">
        <v>324</v>
      </c>
      <c r="BY51" s="52" t="s">
        <v>287</v>
      </c>
      <c r="BZ51" s="51">
        <v>0</v>
      </c>
      <c r="CA51" s="52"/>
      <c r="CB51" s="52"/>
      <c r="CC51" s="51">
        <v>1</v>
      </c>
      <c r="CD51" s="52" t="s">
        <v>581</v>
      </c>
      <c r="CE51" s="52" t="s">
        <v>328</v>
      </c>
      <c r="CF51" s="51">
        <v>0</v>
      </c>
      <c r="CG51" s="52"/>
      <c r="CH51" s="52"/>
      <c r="CI51" s="52" t="s">
        <v>294</v>
      </c>
      <c r="CJ51" s="52" t="s">
        <v>297</v>
      </c>
      <c r="CK51" s="51">
        <v>1</v>
      </c>
      <c r="CL51" s="52" t="s">
        <v>302</v>
      </c>
      <c r="CM51" s="52"/>
      <c r="CN51" s="52" t="s">
        <v>288</v>
      </c>
      <c r="CO51" s="52" t="s">
        <v>339</v>
      </c>
      <c r="CP51" s="51">
        <v>0</v>
      </c>
      <c r="CQ51" s="52"/>
      <c r="CR51" s="52"/>
      <c r="CS51" s="51">
        <v>0</v>
      </c>
      <c r="CT51" s="52"/>
      <c r="CU51" s="52" t="s">
        <v>328</v>
      </c>
      <c r="CV51" s="36">
        <f t="shared" si="0"/>
        <v>1</v>
      </c>
      <c r="CW51" s="51">
        <v>0</v>
      </c>
      <c r="CX51" s="52"/>
      <c r="CY51" s="52"/>
      <c r="CZ51" s="52" t="s">
        <v>301</v>
      </c>
      <c r="DA51" s="52" t="s">
        <v>287</v>
      </c>
      <c r="DB51" s="51">
        <v>0</v>
      </c>
      <c r="DC51" s="52"/>
      <c r="DD51" s="52"/>
      <c r="DE51" s="52" t="s">
        <v>324</v>
      </c>
      <c r="DF51" s="52" t="s">
        <v>339</v>
      </c>
      <c r="DG51" s="51">
        <v>0</v>
      </c>
      <c r="DH51" s="52"/>
      <c r="DI51" s="52"/>
      <c r="DJ51" s="51">
        <v>1</v>
      </c>
      <c r="DK51" s="52" t="s">
        <v>582</v>
      </c>
      <c r="DL51" s="52" t="s">
        <v>299</v>
      </c>
      <c r="DM51" s="51">
        <v>0</v>
      </c>
      <c r="DN51" s="52"/>
      <c r="DO51" s="52"/>
      <c r="DP51" s="52" t="s">
        <v>303</v>
      </c>
      <c r="DQ51" s="52" t="s">
        <v>331</v>
      </c>
      <c r="DR51" s="51">
        <v>0</v>
      </c>
      <c r="DS51" s="52"/>
      <c r="DT51" s="52"/>
      <c r="DU51" s="52" t="s">
        <v>298</v>
      </c>
      <c r="DV51" s="52"/>
      <c r="DW51" s="51">
        <v>0</v>
      </c>
      <c r="DX51" s="52"/>
      <c r="DY51" s="52"/>
      <c r="DZ51" s="52"/>
      <c r="EA51" s="52" t="s">
        <v>583</v>
      </c>
      <c r="EB51" s="52"/>
      <c r="EC51" s="51">
        <v>0</v>
      </c>
      <c r="ED51" s="52"/>
      <c r="EE51" s="52" t="s">
        <v>301</v>
      </c>
      <c r="EF51" s="52" t="s">
        <v>331</v>
      </c>
      <c r="EG51" s="51">
        <v>0</v>
      </c>
      <c r="EH51" s="52"/>
      <c r="EI51" s="52"/>
      <c r="EJ51" s="52" t="s">
        <v>305</v>
      </c>
      <c r="EK51" s="52" t="s">
        <v>331</v>
      </c>
      <c r="EL51" s="51">
        <v>0</v>
      </c>
      <c r="EM51" s="52"/>
      <c r="EN51" s="52"/>
      <c r="EO51" s="52"/>
      <c r="EP51" s="51">
        <v>0</v>
      </c>
      <c r="EQ51" s="52"/>
      <c r="ER51" s="52" t="s">
        <v>328</v>
      </c>
      <c r="ES51" s="51">
        <v>0</v>
      </c>
      <c r="ET51" s="52"/>
      <c r="EU51" s="52"/>
      <c r="EV51" s="52"/>
      <c r="EW51" s="52"/>
      <c r="EX51" s="52"/>
      <c r="EY51" s="52"/>
      <c r="EZ51" s="52"/>
      <c r="FA51" s="52"/>
      <c r="FB51" s="51">
        <v>0</v>
      </c>
      <c r="FC51" s="52"/>
      <c r="FD51" s="52"/>
      <c r="FE51" s="52"/>
      <c r="FG51" s="52" t="s">
        <v>335</v>
      </c>
      <c r="FH51" s="52" t="s">
        <v>584</v>
      </c>
      <c r="FI51" s="52"/>
      <c r="FJ51" s="51">
        <v>-1</v>
      </c>
      <c r="FK51" s="51">
        <v>-1</v>
      </c>
      <c r="FL51" s="51">
        <v>-1</v>
      </c>
      <c r="FM51" s="51">
        <v>-1</v>
      </c>
      <c r="FN51" s="51">
        <v>-1</v>
      </c>
      <c r="FO51" s="51">
        <v>-1</v>
      </c>
      <c r="FP51" s="51">
        <v>-1</v>
      </c>
      <c r="FQ51" s="51">
        <v>-1</v>
      </c>
      <c r="FR51" s="51">
        <v>-1</v>
      </c>
      <c r="FS51" s="51">
        <v>-1</v>
      </c>
      <c r="FT51" s="51">
        <v>-1</v>
      </c>
      <c r="FU51" s="51">
        <v>-1</v>
      </c>
      <c r="FV51" s="51">
        <v>-1</v>
      </c>
      <c r="FW51" s="51">
        <v>-1</v>
      </c>
      <c r="FX51" s="51">
        <v>-1</v>
      </c>
      <c r="FY51" s="51">
        <v>-15</v>
      </c>
      <c r="FZ51" s="53"/>
      <c r="GA51" s="53"/>
      <c r="GB51" s="52" t="s">
        <v>319</v>
      </c>
      <c r="GC51" s="52" t="s">
        <v>320</v>
      </c>
      <c r="GD51" s="52" t="s">
        <v>277</v>
      </c>
      <c r="GE51" s="51">
        <v>15</v>
      </c>
      <c r="GF51" s="51">
        <v>15</v>
      </c>
      <c r="GG51" s="51">
        <v>41</v>
      </c>
      <c r="GH51" s="51">
        <v>19</v>
      </c>
      <c r="GI51" s="54"/>
    </row>
    <row r="52" spans="1:191" s="40" customFormat="1" x14ac:dyDescent="0.25">
      <c r="A52" s="38">
        <v>204</v>
      </c>
      <c r="B52" s="39" t="s">
        <v>347</v>
      </c>
      <c r="C52" s="39" t="s">
        <v>279</v>
      </c>
      <c r="D52" s="39" t="s">
        <v>377</v>
      </c>
      <c r="E52" s="39" t="s">
        <v>281</v>
      </c>
      <c r="F52" s="39" t="s">
        <v>281</v>
      </c>
      <c r="G52" s="39" t="s">
        <v>282</v>
      </c>
      <c r="H52" s="39" t="s">
        <v>282</v>
      </c>
      <c r="I52" s="39" t="s">
        <v>282</v>
      </c>
      <c r="J52" s="39" t="s">
        <v>281</v>
      </c>
      <c r="K52" s="39" t="s">
        <v>282</v>
      </c>
      <c r="L52" s="39" t="s">
        <v>282</v>
      </c>
      <c r="M52" s="39" t="s">
        <v>282</v>
      </c>
      <c r="N52" s="38">
        <v>0</v>
      </c>
      <c r="O52" s="39"/>
      <c r="P52" s="39"/>
      <c r="Q52" s="39" t="s">
        <v>423</v>
      </c>
      <c r="R52" s="39"/>
      <c r="S52" s="39"/>
      <c r="T52" s="39"/>
      <c r="U52" s="40" t="s">
        <v>424</v>
      </c>
      <c r="V52" s="39" t="s">
        <v>350</v>
      </c>
      <c r="W52" s="38">
        <v>1</v>
      </c>
      <c r="X52" s="39" t="s">
        <v>585</v>
      </c>
      <c r="Y52" s="39"/>
      <c r="Z52" s="39" t="s">
        <v>310</v>
      </c>
      <c r="AA52" s="39" t="s">
        <v>297</v>
      </c>
      <c r="AB52" s="38">
        <v>0</v>
      </c>
      <c r="AC52" s="39"/>
      <c r="AD52" s="39"/>
      <c r="AE52" s="39" t="s">
        <v>288</v>
      </c>
      <c r="AF52" s="39" t="s">
        <v>287</v>
      </c>
      <c r="AG52" s="38">
        <v>0</v>
      </c>
      <c r="AH52" s="39"/>
      <c r="AI52" s="39"/>
      <c r="AJ52" s="38">
        <v>1</v>
      </c>
      <c r="AK52" s="39" t="s">
        <v>586</v>
      </c>
      <c r="AL52" s="39"/>
      <c r="AM52" s="39" t="s">
        <v>328</v>
      </c>
      <c r="AN52" s="38">
        <v>1</v>
      </c>
      <c r="AO52" s="39" t="s">
        <v>405</v>
      </c>
      <c r="AP52" s="39"/>
      <c r="AQ52" s="39" t="s">
        <v>294</v>
      </c>
      <c r="AR52" s="39" t="s">
        <v>287</v>
      </c>
      <c r="AS52" s="38">
        <v>0</v>
      </c>
      <c r="AT52" s="39"/>
      <c r="AU52" s="39"/>
      <c r="AV52" s="39" t="s">
        <v>288</v>
      </c>
      <c r="AW52" s="39" t="s">
        <v>287</v>
      </c>
      <c r="AX52" s="38">
        <v>0</v>
      </c>
      <c r="AY52" s="39"/>
      <c r="AZ52" s="39"/>
      <c r="BA52" s="38">
        <v>0</v>
      </c>
      <c r="BB52" s="39"/>
      <c r="BC52" s="39" t="s">
        <v>328</v>
      </c>
      <c r="BD52" s="39" t="s">
        <v>303</v>
      </c>
      <c r="BE52" s="39" t="s">
        <v>297</v>
      </c>
      <c r="BF52" s="38">
        <v>1</v>
      </c>
      <c r="BG52" s="39" t="s">
        <v>339</v>
      </c>
      <c r="BH52" s="39"/>
      <c r="BI52" s="39" t="s">
        <v>324</v>
      </c>
      <c r="BJ52" s="39" t="s">
        <v>339</v>
      </c>
      <c r="BK52" s="38">
        <v>0</v>
      </c>
      <c r="BL52" s="39"/>
      <c r="BM52" s="39"/>
      <c r="BN52" s="38">
        <v>1</v>
      </c>
      <c r="BO52" s="39" t="s">
        <v>587</v>
      </c>
      <c r="BP52" s="39" t="s">
        <v>296</v>
      </c>
      <c r="BQ52" s="38">
        <v>1</v>
      </c>
      <c r="BR52" s="39" t="s">
        <v>588</v>
      </c>
      <c r="BS52" s="39" t="s">
        <v>303</v>
      </c>
      <c r="BT52" s="39" t="s">
        <v>297</v>
      </c>
      <c r="BU52" s="38">
        <v>0</v>
      </c>
      <c r="BV52" s="39"/>
      <c r="BW52" s="39"/>
      <c r="BX52" s="39" t="s">
        <v>288</v>
      </c>
      <c r="BY52" s="39" t="s">
        <v>287</v>
      </c>
      <c r="BZ52" s="38">
        <v>0</v>
      </c>
      <c r="CA52" s="39"/>
      <c r="CB52" s="39"/>
      <c r="CC52" s="38">
        <v>0</v>
      </c>
      <c r="CD52" s="39"/>
      <c r="CE52" s="39" t="s">
        <v>296</v>
      </c>
      <c r="CF52" s="38">
        <v>1</v>
      </c>
      <c r="CG52" s="39" t="s">
        <v>589</v>
      </c>
      <c r="CH52" s="39"/>
      <c r="CI52" s="39" t="s">
        <v>303</v>
      </c>
      <c r="CJ52" s="39" t="s">
        <v>297</v>
      </c>
      <c r="CK52" s="38">
        <v>1</v>
      </c>
      <c r="CL52" s="39" t="s">
        <v>590</v>
      </c>
      <c r="CM52" s="39"/>
      <c r="CN52" s="39" t="s">
        <v>305</v>
      </c>
      <c r="CO52" s="39" t="s">
        <v>287</v>
      </c>
      <c r="CP52" s="38">
        <v>0</v>
      </c>
      <c r="CQ52" s="39"/>
      <c r="CR52" s="39"/>
      <c r="CS52" s="38">
        <v>0</v>
      </c>
      <c r="CT52" s="39"/>
      <c r="CU52" s="39" t="s">
        <v>296</v>
      </c>
      <c r="CV52" s="36">
        <f t="shared" si="0"/>
        <v>1</v>
      </c>
      <c r="CW52" s="38">
        <v>1</v>
      </c>
      <c r="CX52" s="39" t="s">
        <v>591</v>
      </c>
      <c r="CY52" s="39"/>
      <c r="CZ52" s="39" t="s">
        <v>303</v>
      </c>
      <c r="DA52" s="39" t="s">
        <v>331</v>
      </c>
      <c r="DB52" s="38">
        <v>0</v>
      </c>
      <c r="DC52" s="39"/>
      <c r="DD52" s="39"/>
      <c r="DE52" s="39" t="s">
        <v>298</v>
      </c>
      <c r="DF52" s="39" t="s">
        <v>331</v>
      </c>
      <c r="DG52" s="38">
        <v>0</v>
      </c>
      <c r="DH52" s="39"/>
      <c r="DI52" s="39"/>
      <c r="DJ52" s="38">
        <v>1</v>
      </c>
      <c r="DK52" s="39" t="s">
        <v>406</v>
      </c>
      <c r="DL52" s="39" t="s">
        <v>296</v>
      </c>
      <c r="DM52" s="38">
        <v>1</v>
      </c>
      <c r="DN52" s="39" t="s">
        <v>592</v>
      </c>
      <c r="DO52" s="39"/>
      <c r="DP52" s="39" t="s">
        <v>303</v>
      </c>
      <c r="DQ52" s="39" t="s">
        <v>331</v>
      </c>
      <c r="DR52" s="38">
        <v>0</v>
      </c>
      <c r="DS52" s="39"/>
      <c r="DT52" s="39"/>
      <c r="DU52" s="39" t="s">
        <v>298</v>
      </c>
      <c r="DV52" s="39" t="s">
        <v>331</v>
      </c>
      <c r="DW52" s="38">
        <v>0</v>
      </c>
      <c r="DX52" s="39"/>
      <c r="DY52" s="39"/>
      <c r="DZ52" s="39" t="s">
        <v>593</v>
      </c>
      <c r="EA52" s="39"/>
      <c r="EB52" s="39" t="s">
        <v>296</v>
      </c>
      <c r="EC52" s="38">
        <v>1</v>
      </c>
      <c r="ED52" s="39" t="s">
        <v>594</v>
      </c>
      <c r="EE52" s="39" t="s">
        <v>303</v>
      </c>
      <c r="EF52" s="39" t="s">
        <v>331</v>
      </c>
      <c r="EG52" s="38">
        <v>1</v>
      </c>
      <c r="EH52" s="39" t="s">
        <v>287</v>
      </c>
      <c r="EI52" s="39"/>
      <c r="EJ52" s="39" t="s">
        <v>305</v>
      </c>
      <c r="EK52" s="39"/>
      <c r="EL52" s="38">
        <v>1</v>
      </c>
      <c r="EM52" s="39" t="s">
        <v>467</v>
      </c>
      <c r="EN52" s="39"/>
      <c r="EO52" s="39" t="s">
        <v>593</v>
      </c>
      <c r="EP52" s="38">
        <v>1</v>
      </c>
      <c r="EQ52" s="39" t="s">
        <v>406</v>
      </c>
      <c r="ER52" s="39" t="s">
        <v>296</v>
      </c>
      <c r="ES52" s="38">
        <v>2</v>
      </c>
      <c r="ET52" s="39" t="s">
        <v>595</v>
      </c>
      <c r="EU52" s="39" t="s">
        <v>596</v>
      </c>
      <c r="EV52" s="39"/>
      <c r="EW52" s="39"/>
      <c r="EX52" s="39" t="s">
        <v>597</v>
      </c>
      <c r="EY52" s="39" t="s">
        <v>598</v>
      </c>
      <c r="EZ52" s="39"/>
      <c r="FA52" s="39"/>
      <c r="FB52" s="38">
        <v>1</v>
      </c>
      <c r="FC52" s="39" t="s">
        <v>599</v>
      </c>
      <c r="FD52" s="39"/>
      <c r="FE52" s="39"/>
      <c r="FG52" s="39" t="s">
        <v>317</v>
      </c>
      <c r="FH52" s="39" t="s">
        <v>600</v>
      </c>
      <c r="FI52" s="39"/>
      <c r="FJ52" s="38">
        <v>-1</v>
      </c>
      <c r="FK52" s="38">
        <v>-1</v>
      </c>
      <c r="FL52" s="38">
        <v>-1</v>
      </c>
      <c r="FM52" s="38">
        <v>-1</v>
      </c>
      <c r="FN52" s="38">
        <v>-1</v>
      </c>
      <c r="FO52" s="38">
        <v>-1</v>
      </c>
      <c r="FP52" s="38">
        <v>-1</v>
      </c>
      <c r="FQ52" s="38">
        <v>-1</v>
      </c>
      <c r="FR52" s="38">
        <v>-1</v>
      </c>
      <c r="FS52" s="38">
        <v>-1</v>
      </c>
      <c r="FT52" s="38">
        <v>-1</v>
      </c>
      <c r="FU52" s="38">
        <v>-1</v>
      </c>
      <c r="FV52" s="38">
        <v>-1</v>
      </c>
      <c r="FW52" s="38">
        <v>-1</v>
      </c>
      <c r="FX52" s="38">
        <v>-1</v>
      </c>
      <c r="FY52" s="38">
        <v>-15</v>
      </c>
      <c r="FZ52" s="41"/>
      <c r="GA52" s="41"/>
      <c r="GB52" s="39" t="s">
        <v>319</v>
      </c>
      <c r="GC52" s="39" t="s">
        <v>320</v>
      </c>
      <c r="GD52" s="39" t="s">
        <v>277</v>
      </c>
      <c r="GE52" s="38">
        <v>15</v>
      </c>
      <c r="GF52" s="38">
        <v>15</v>
      </c>
      <c r="GG52" s="38">
        <v>23</v>
      </c>
      <c r="GH52" s="38">
        <v>5</v>
      </c>
      <c r="GI52" s="42"/>
    </row>
    <row r="53" spans="1:191" s="40" customFormat="1" x14ac:dyDescent="0.25">
      <c r="A53" s="38">
        <v>205</v>
      </c>
      <c r="B53" s="39" t="s">
        <v>347</v>
      </c>
      <c r="C53" s="39" t="s">
        <v>353</v>
      </c>
      <c r="D53" s="39" t="s">
        <v>377</v>
      </c>
      <c r="E53" s="39" t="s">
        <v>281</v>
      </c>
      <c r="F53" s="39" t="s">
        <v>281</v>
      </c>
      <c r="G53" s="39" t="s">
        <v>282</v>
      </c>
      <c r="H53" s="39" t="s">
        <v>282</v>
      </c>
      <c r="I53" s="39" t="s">
        <v>282</v>
      </c>
      <c r="J53" s="39" t="s">
        <v>281</v>
      </c>
      <c r="K53" s="39" t="s">
        <v>282</v>
      </c>
      <c r="L53" s="39" t="s">
        <v>282</v>
      </c>
      <c r="M53" s="39" t="s">
        <v>282</v>
      </c>
      <c r="N53" s="38">
        <v>0</v>
      </c>
      <c r="O53" s="39"/>
      <c r="P53" s="39"/>
      <c r="Q53" s="39" t="s">
        <v>423</v>
      </c>
      <c r="R53" s="39"/>
      <c r="S53" s="39"/>
      <c r="T53" s="39"/>
      <c r="U53" s="40" t="s">
        <v>424</v>
      </c>
      <c r="V53" s="39" t="s">
        <v>350</v>
      </c>
      <c r="W53" s="38">
        <v>1</v>
      </c>
      <c r="X53" s="39" t="s">
        <v>585</v>
      </c>
      <c r="Y53" s="39"/>
      <c r="Z53" s="39" t="s">
        <v>294</v>
      </c>
      <c r="AA53" s="39" t="s">
        <v>521</v>
      </c>
      <c r="AB53" s="38">
        <v>0</v>
      </c>
      <c r="AC53" s="39"/>
      <c r="AD53" s="39"/>
      <c r="AE53" s="39" t="s">
        <v>305</v>
      </c>
      <c r="AF53" s="39" t="s">
        <v>302</v>
      </c>
      <c r="AG53" s="38">
        <v>0</v>
      </c>
      <c r="AH53" s="39"/>
      <c r="AI53" s="39"/>
      <c r="AJ53" s="38">
        <v>0</v>
      </c>
      <c r="AK53" s="39"/>
      <c r="AL53" s="39"/>
      <c r="AM53" s="39" t="s">
        <v>299</v>
      </c>
      <c r="AN53" s="38">
        <v>1</v>
      </c>
      <c r="AO53" s="39" t="s">
        <v>405</v>
      </c>
      <c r="AP53" s="39"/>
      <c r="AQ53" s="39" t="s">
        <v>303</v>
      </c>
      <c r="AR53" s="39" t="s">
        <v>287</v>
      </c>
      <c r="AS53" s="38">
        <v>0</v>
      </c>
      <c r="AT53" s="39"/>
      <c r="AU53" s="39"/>
      <c r="AV53" s="39" t="s">
        <v>305</v>
      </c>
      <c r="AW53" s="39" t="s">
        <v>287</v>
      </c>
      <c r="AX53" s="38">
        <v>0</v>
      </c>
      <c r="AY53" s="39"/>
      <c r="AZ53" s="39"/>
      <c r="BA53" s="38">
        <v>0</v>
      </c>
      <c r="BB53" s="39"/>
      <c r="BC53" s="39" t="s">
        <v>299</v>
      </c>
      <c r="BD53" s="39" t="s">
        <v>294</v>
      </c>
      <c r="BE53" s="39" t="s">
        <v>297</v>
      </c>
      <c r="BF53" s="38">
        <v>0</v>
      </c>
      <c r="BG53" s="39"/>
      <c r="BH53" s="39"/>
      <c r="BI53" s="39" t="s">
        <v>324</v>
      </c>
      <c r="BJ53" s="39" t="s">
        <v>297</v>
      </c>
      <c r="BK53" s="38">
        <v>0</v>
      </c>
      <c r="BL53" s="39"/>
      <c r="BM53" s="39"/>
      <c r="BN53" s="38">
        <v>0</v>
      </c>
      <c r="BO53" s="39"/>
      <c r="BP53" s="39" t="s">
        <v>299</v>
      </c>
      <c r="BQ53" s="38">
        <v>1</v>
      </c>
      <c r="BR53" s="39" t="s">
        <v>588</v>
      </c>
      <c r="BS53" s="39" t="s">
        <v>303</v>
      </c>
      <c r="BT53" s="39" t="s">
        <v>297</v>
      </c>
      <c r="BU53" s="38">
        <v>0</v>
      </c>
      <c r="BV53" s="39"/>
      <c r="BW53" s="39"/>
      <c r="BX53" s="39" t="s">
        <v>305</v>
      </c>
      <c r="BY53" s="39" t="s">
        <v>297</v>
      </c>
      <c r="BZ53" s="38">
        <v>0</v>
      </c>
      <c r="CA53" s="39"/>
      <c r="CB53" s="39"/>
      <c r="CC53" s="38">
        <v>0</v>
      </c>
      <c r="CD53" s="39"/>
      <c r="CE53" s="39" t="s">
        <v>299</v>
      </c>
      <c r="CF53" s="38">
        <v>1</v>
      </c>
      <c r="CG53" s="39" t="s">
        <v>601</v>
      </c>
      <c r="CH53" s="39"/>
      <c r="CI53" s="39" t="s">
        <v>294</v>
      </c>
      <c r="CJ53" s="39" t="s">
        <v>297</v>
      </c>
      <c r="CK53" s="38">
        <v>0</v>
      </c>
      <c r="CL53" s="39"/>
      <c r="CM53" s="39"/>
      <c r="CN53" s="39" t="s">
        <v>305</v>
      </c>
      <c r="CO53" s="39" t="s">
        <v>297</v>
      </c>
      <c r="CP53" s="38">
        <v>0</v>
      </c>
      <c r="CQ53" s="39"/>
      <c r="CR53" s="39"/>
      <c r="CS53" s="38">
        <v>0</v>
      </c>
      <c r="CT53" s="39"/>
      <c r="CU53" s="39" t="s">
        <v>299</v>
      </c>
      <c r="CV53" s="36">
        <f t="shared" si="0"/>
        <v>1</v>
      </c>
      <c r="CW53" s="38">
        <v>1</v>
      </c>
      <c r="CX53" s="39" t="s">
        <v>602</v>
      </c>
      <c r="CY53" s="39"/>
      <c r="CZ53" s="39" t="s">
        <v>303</v>
      </c>
      <c r="DA53" s="39" t="s">
        <v>331</v>
      </c>
      <c r="DB53" s="38">
        <v>0</v>
      </c>
      <c r="DC53" s="39"/>
      <c r="DD53" s="39"/>
      <c r="DE53" s="39" t="s">
        <v>298</v>
      </c>
      <c r="DF53" s="39" t="s">
        <v>331</v>
      </c>
      <c r="DG53" s="38">
        <v>0</v>
      </c>
      <c r="DH53" s="39"/>
      <c r="DI53" s="39"/>
      <c r="DJ53" s="38">
        <v>0</v>
      </c>
      <c r="DK53" s="39"/>
      <c r="DL53" s="39" t="s">
        <v>299</v>
      </c>
      <c r="DM53" s="38">
        <v>1</v>
      </c>
      <c r="DN53" s="39" t="s">
        <v>603</v>
      </c>
      <c r="DO53" s="39"/>
      <c r="DP53" s="39" t="s">
        <v>303</v>
      </c>
      <c r="DQ53" s="39" t="s">
        <v>331</v>
      </c>
      <c r="DR53" s="38">
        <v>0</v>
      </c>
      <c r="DS53" s="39"/>
      <c r="DT53" s="39"/>
      <c r="DU53" s="39" t="s">
        <v>298</v>
      </c>
      <c r="DV53" s="39" t="s">
        <v>331</v>
      </c>
      <c r="DW53" s="38">
        <v>0</v>
      </c>
      <c r="DX53" s="39"/>
      <c r="DY53" s="39"/>
      <c r="DZ53" s="39" t="s">
        <v>604</v>
      </c>
      <c r="EA53" s="39"/>
      <c r="EB53" s="39" t="s">
        <v>299</v>
      </c>
      <c r="EC53" s="38">
        <v>1</v>
      </c>
      <c r="ED53" s="39" t="s">
        <v>374</v>
      </c>
      <c r="EE53" s="39" t="s">
        <v>303</v>
      </c>
      <c r="EF53" s="39" t="s">
        <v>331</v>
      </c>
      <c r="EG53" s="38">
        <v>0</v>
      </c>
      <c r="EH53" s="39"/>
      <c r="EI53" s="39"/>
      <c r="EJ53" s="39" t="s">
        <v>305</v>
      </c>
      <c r="EK53" s="39" t="s">
        <v>331</v>
      </c>
      <c r="EL53" s="38">
        <v>0</v>
      </c>
      <c r="EM53" s="39"/>
      <c r="EN53" s="39"/>
      <c r="EO53" s="39" t="s">
        <v>605</v>
      </c>
      <c r="EP53" s="38">
        <v>0</v>
      </c>
      <c r="EQ53" s="39"/>
      <c r="ER53" s="39" t="s">
        <v>299</v>
      </c>
      <c r="ES53" s="38">
        <v>1</v>
      </c>
      <c r="ET53" s="39" t="s">
        <v>606</v>
      </c>
      <c r="EU53" s="39"/>
      <c r="EV53" s="39"/>
      <c r="EW53" s="39"/>
      <c r="EX53" s="39" t="s">
        <v>453</v>
      </c>
      <c r="EY53" s="39" t="s">
        <v>607</v>
      </c>
      <c r="EZ53" s="39"/>
      <c r="FA53" s="39"/>
      <c r="FB53" s="38">
        <v>0</v>
      </c>
      <c r="FC53" s="39"/>
      <c r="FD53" s="39"/>
      <c r="FE53" s="39"/>
      <c r="FG53" s="39" t="s">
        <v>317</v>
      </c>
      <c r="FH53" s="39" t="s">
        <v>608</v>
      </c>
      <c r="FI53" s="39"/>
      <c r="FJ53" s="38">
        <v>-1</v>
      </c>
      <c r="FK53" s="38">
        <v>-1</v>
      </c>
      <c r="FL53" s="38">
        <v>-1</v>
      </c>
      <c r="FM53" s="38">
        <v>-1</v>
      </c>
      <c r="FN53" s="38">
        <v>-1</v>
      </c>
      <c r="FO53" s="38">
        <v>-1</v>
      </c>
      <c r="FP53" s="38">
        <v>-1</v>
      </c>
      <c r="FQ53" s="38">
        <v>-1</v>
      </c>
      <c r="FR53" s="38">
        <v>-1</v>
      </c>
      <c r="FS53" s="38">
        <v>-1</v>
      </c>
      <c r="FT53" s="38">
        <v>-1</v>
      </c>
      <c r="FU53" s="38">
        <v>-1</v>
      </c>
      <c r="FV53" s="38">
        <v>-1</v>
      </c>
      <c r="FW53" s="38">
        <v>-1</v>
      </c>
      <c r="FX53" s="38">
        <v>-1</v>
      </c>
      <c r="FY53" s="38">
        <v>-15</v>
      </c>
      <c r="FZ53" s="41"/>
      <c r="GA53" s="41"/>
      <c r="GB53" s="39" t="s">
        <v>319</v>
      </c>
      <c r="GC53" s="39" t="s">
        <v>320</v>
      </c>
      <c r="GD53" s="39" t="s">
        <v>277</v>
      </c>
      <c r="GE53" s="38">
        <v>15</v>
      </c>
      <c r="GF53" s="38">
        <v>15</v>
      </c>
      <c r="GG53" s="38">
        <v>33</v>
      </c>
      <c r="GH53" s="38">
        <v>7</v>
      </c>
      <c r="GI53" s="42"/>
    </row>
    <row r="54" spans="1:191" s="40" customFormat="1" x14ac:dyDescent="0.25">
      <c r="A54" s="38">
        <v>209</v>
      </c>
      <c r="B54" s="39" t="s">
        <v>347</v>
      </c>
      <c r="C54" s="39" t="s">
        <v>353</v>
      </c>
      <c r="D54" s="39" t="s">
        <v>377</v>
      </c>
      <c r="E54" s="39" t="s">
        <v>281</v>
      </c>
      <c r="F54" s="39" t="s">
        <v>282</v>
      </c>
      <c r="G54" s="39" t="s">
        <v>281</v>
      </c>
      <c r="H54" s="39" t="s">
        <v>282</v>
      </c>
      <c r="I54" s="39" t="s">
        <v>282</v>
      </c>
      <c r="J54" s="39" t="s">
        <v>281</v>
      </c>
      <c r="K54" s="39" t="s">
        <v>282</v>
      </c>
      <c r="L54" s="39" t="s">
        <v>282</v>
      </c>
      <c r="M54" s="39" t="s">
        <v>282</v>
      </c>
      <c r="N54" s="38">
        <v>0</v>
      </c>
      <c r="O54" s="39"/>
      <c r="P54" s="39"/>
      <c r="Q54" s="39" t="s">
        <v>423</v>
      </c>
      <c r="R54" s="39"/>
      <c r="S54" s="39"/>
      <c r="T54" s="39"/>
      <c r="U54" s="40" t="s">
        <v>464</v>
      </c>
      <c r="V54" s="39" t="s">
        <v>350</v>
      </c>
      <c r="W54" s="38">
        <v>1</v>
      </c>
      <c r="X54" s="39" t="s">
        <v>585</v>
      </c>
      <c r="Y54" s="39"/>
      <c r="Z54" s="39" t="s">
        <v>301</v>
      </c>
      <c r="AA54" s="39" t="s">
        <v>297</v>
      </c>
      <c r="AB54" s="38">
        <v>0</v>
      </c>
      <c r="AC54" s="39"/>
      <c r="AD54" s="39"/>
      <c r="AE54" s="39" t="s">
        <v>305</v>
      </c>
      <c r="AF54" s="39" t="s">
        <v>297</v>
      </c>
      <c r="AG54" s="38">
        <v>0</v>
      </c>
      <c r="AH54" s="39"/>
      <c r="AI54" s="39"/>
      <c r="AJ54" s="38">
        <v>1</v>
      </c>
      <c r="AK54" s="39" t="s">
        <v>628</v>
      </c>
      <c r="AL54" s="39"/>
      <c r="AM54" s="39" t="s">
        <v>299</v>
      </c>
      <c r="AN54" s="38">
        <v>1</v>
      </c>
      <c r="AO54" s="39" t="s">
        <v>405</v>
      </c>
      <c r="AP54" s="39"/>
      <c r="AQ54" s="39" t="s">
        <v>303</v>
      </c>
      <c r="AR54" s="39" t="s">
        <v>287</v>
      </c>
      <c r="AS54" s="38">
        <v>0</v>
      </c>
      <c r="AT54" s="39"/>
      <c r="AU54" s="39"/>
      <c r="AV54" s="39" t="s">
        <v>288</v>
      </c>
      <c r="AW54" s="39" t="s">
        <v>287</v>
      </c>
      <c r="AX54" s="38">
        <v>0</v>
      </c>
      <c r="AY54" s="39"/>
      <c r="AZ54" s="39"/>
      <c r="BA54" s="38">
        <v>0</v>
      </c>
      <c r="BB54" s="39"/>
      <c r="BC54" s="39" t="s">
        <v>328</v>
      </c>
      <c r="BD54" s="39" t="s">
        <v>294</v>
      </c>
      <c r="BE54" s="39" t="s">
        <v>297</v>
      </c>
      <c r="BF54" s="38">
        <v>0</v>
      </c>
      <c r="BG54" s="39"/>
      <c r="BH54" s="39"/>
      <c r="BI54" s="39" t="s">
        <v>288</v>
      </c>
      <c r="BJ54" s="39" t="s">
        <v>297</v>
      </c>
      <c r="BK54" s="38">
        <v>0</v>
      </c>
      <c r="BL54" s="39"/>
      <c r="BM54" s="39"/>
      <c r="BN54" s="38">
        <v>0</v>
      </c>
      <c r="BO54" s="39"/>
      <c r="BP54" s="39" t="s">
        <v>328</v>
      </c>
      <c r="BQ54" s="38">
        <v>1</v>
      </c>
      <c r="BR54" s="39" t="s">
        <v>629</v>
      </c>
      <c r="BS54" s="39" t="s">
        <v>294</v>
      </c>
      <c r="BT54" s="39" t="s">
        <v>297</v>
      </c>
      <c r="BU54" s="38">
        <v>0</v>
      </c>
      <c r="BV54" s="39"/>
      <c r="BW54" s="39"/>
      <c r="BX54" s="39" t="s">
        <v>298</v>
      </c>
      <c r="BY54" s="39" t="s">
        <v>297</v>
      </c>
      <c r="BZ54" s="38">
        <v>0</v>
      </c>
      <c r="CA54" s="39"/>
      <c r="CB54" s="39"/>
      <c r="CC54" s="38">
        <v>0</v>
      </c>
      <c r="CD54" s="39"/>
      <c r="CE54" s="39" t="s">
        <v>328</v>
      </c>
      <c r="CF54" s="38">
        <v>1</v>
      </c>
      <c r="CG54" s="39" t="s">
        <v>630</v>
      </c>
      <c r="CH54" s="39"/>
      <c r="CI54" s="39" t="s">
        <v>294</v>
      </c>
      <c r="CJ54" s="39" t="s">
        <v>297</v>
      </c>
      <c r="CK54" s="38">
        <v>0</v>
      </c>
      <c r="CL54" s="39"/>
      <c r="CM54" s="39"/>
      <c r="CN54" s="39" t="s">
        <v>305</v>
      </c>
      <c r="CO54" s="39" t="s">
        <v>297</v>
      </c>
      <c r="CP54" s="38">
        <v>0</v>
      </c>
      <c r="CQ54" s="39"/>
      <c r="CR54" s="39"/>
      <c r="CS54" s="38">
        <v>0</v>
      </c>
      <c r="CT54" s="39"/>
      <c r="CU54" s="39" t="s">
        <v>328</v>
      </c>
      <c r="CV54" s="36">
        <f t="shared" si="0"/>
        <v>1</v>
      </c>
      <c r="CW54" s="38">
        <v>1</v>
      </c>
      <c r="CX54" s="39" t="s">
        <v>631</v>
      </c>
      <c r="CY54" s="39"/>
      <c r="CZ54" s="39" t="s">
        <v>294</v>
      </c>
      <c r="DA54" s="39" t="s">
        <v>302</v>
      </c>
      <c r="DB54" s="38">
        <v>0</v>
      </c>
      <c r="DC54" s="39"/>
      <c r="DD54" s="39"/>
      <c r="DE54" s="39" t="s">
        <v>298</v>
      </c>
      <c r="DF54" s="39" t="s">
        <v>302</v>
      </c>
      <c r="DG54" s="38">
        <v>0</v>
      </c>
      <c r="DH54" s="39"/>
      <c r="DI54" s="39"/>
      <c r="DJ54" s="38">
        <v>0</v>
      </c>
      <c r="DK54" s="39"/>
      <c r="DL54" s="39" t="s">
        <v>328</v>
      </c>
      <c r="DM54" s="38">
        <v>1</v>
      </c>
      <c r="DN54" s="39" t="s">
        <v>632</v>
      </c>
      <c r="DO54" s="39"/>
      <c r="DP54" s="39" t="s">
        <v>303</v>
      </c>
      <c r="DQ54" s="39" t="s">
        <v>331</v>
      </c>
      <c r="DR54" s="38">
        <v>0</v>
      </c>
      <c r="DS54" s="39"/>
      <c r="DT54" s="39"/>
      <c r="DU54" s="39" t="s">
        <v>298</v>
      </c>
      <c r="DV54" s="39" t="s">
        <v>331</v>
      </c>
      <c r="DW54" s="38">
        <v>0</v>
      </c>
      <c r="DX54" s="39"/>
      <c r="DY54" s="39"/>
      <c r="DZ54" s="39" t="s">
        <v>633</v>
      </c>
      <c r="EA54" s="39"/>
      <c r="EB54" s="39" t="s">
        <v>299</v>
      </c>
      <c r="EC54" s="38">
        <v>1</v>
      </c>
      <c r="ED54" s="39" t="s">
        <v>374</v>
      </c>
      <c r="EE54" s="39" t="s">
        <v>294</v>
      </c>
      <c r="EF54" s="39" t="s">
        <v>297</v>
      </c>
      <c r="EG54" s="38">
        <v>0</v>
      </c>
      <c r="EH54" s="39"/>
      <c r="EI54" s="39"/>
      <c r="EJ54" s="39" t="s">
        <v>298</v>
      </c>
      <c r="EK54" s="39" t="s">
        <v>297</v>
      </c>
      <c r="EL54" s="38">
        <v>0</v>
      </c>
      <c r="EM54" s="39"/>
      <c r="EN54" s="39"/>
      <c r="EO54" s="39" t="s">
        <v>460</v>
      </c>
      <c r="EP54" s="38">
        <v>0</v>
      </c>
      <c r="EQ54" s="39"/>
      <c r="ER54" s="39"/>
      <c r="ES54" s="38">
        <v>1</v>
      </c>
      <c r="ET54" s="39" t="s">
        <v>404</v>
      </c>
      <c r="EU54" s="39"/>
      <c r="EV54" s="39"/>
      <c r="EW54" s="39"/>
      <c r="EX54" s="39"/>
      <c r="EY54" s="39"/>
      <c r="EZ54" s="39"/>
      <c r="FA54" s="39"/>
      <c r="FB54" s="38">
        <v>0</v>
      </c>
      <c r="FC54" s="39"/>
      <c r="FD54" s="39"/>
      <c r="FE54" s="39"/>
      <c r="FG54" s="39" t="s">
        <v>335</v>
      </c>
      <c r="FH54" s="39" t="s">
        <v>634</v>
      </c>
      <c r="FI54" s="39"/>
      <c r="FJ54" s="38">
        <v>-1</v>
      </c>
      <c r="FK54" s="38">
        <v>-1</v>
      </c>
      <c r="FL54" s="38">
        <v>-1</v>
      </c>
      <c r="FM54" s="38">
        <v>-1</v>
      </c>
      <c r="FN54" s="38">
        <v>-1</v>
      </c>
      <c r="FO54" s="38">
        <v>-1</v>
      </c>
      <c r="FP54" s="38">
        <v>-1</v>
      </c>
      <c r="FQ54" s="38">
        <v>-1</v>
      </c>
      <c r="FR54" s="38">
        <v>-1</v>
      </c>
      <c r="FS54" s="38">
        <v>-1</v>
      </c>
      <c r="FT54" s="38">
        <v>-1</v>
      </c>
      <c r="FU54" s="38">
        <v>-1</v>
      </c>
      <c r="FV54" s="38">
        <v>-1</v>
      </c>
      <c r="FW54" s="38">
        <v>-1</v>
      </c>
      <c r="FX54" s="38">
        <v>-1</v>
      </c>
      <c r="FY54" s="38">
        <v>-15</v>
      </c>
      <c r="FZ54" s="41"/>
      <c r="GA54" s="41"/>
      <c r="GB54" s="39" t="s">
        <v>319</v>
      </c>
      <c r="GC54" s="39" t="s">
        <v>320</v>
      </c>
      <c r="GD54" s="39" t="s">
        <v>277</v>
      </c>
      <c r="GE54" s="38">
        <v>15</v>
      </c>
      <c r="GF54" s="38">
        <v>15</v>
      </c>
      <c r="GG54" s="38">
        <v>35</v>
      </c>
      <c r="GH54" s="38">
        <v>9</v>
      </c>
      <c r="GI54" s="42"/>
    </row>
    <row r="55" spans="1:191" s="49" customFormat="1" x14ac:dyDescent="0.25">
      <c r="A55" s="65">
        <v>211</v>
      </c>
      <c r="B55" s="61" t="s">
        <v>347</v>
      </c>
      <c r="C55" s="61" t="s">
        <v>353</v>
      </c>
      <c r="D55" s="61" t="s">
        <v>377</v>
      </c>
      <c r="E55" s="61" t="s">
        <v>281</v>
      </c>
      <c r="F55" s="61" t="s">
        <v>282</v>
      </c>
      <c r="G55" s="61" t="s">
        <v>281</v>
      </c>
      <c r="H55" s="61" t="s">
        <v>282</v>
      </c>
      <c r="I55" s="61" t="s">
        <v>282</v>
      </c>
      <c r="J55" s="61" t="s">
        <v>281</v>
      </c>
      <c r="K55" s="61" t="s">
        <v>282</v>
      </c>
      <c r="L55" s="61" t="s">
        <v>282</v>
      </c>
      <c r="M55" s="61" t="s">
        <v>282</v>
      </c>
      <c r="N55" s="65">
        <v>0</v>
      </c>
      <c r="O55" s="61"/>
      <c r="P55" s="61"/>
      <c r="Q55" s="61" t="s">
        <v>355</v>
      </c>
      <c r="R55" s="61"/>
      <c r="S55" s="61"/>
      <c r="T55" s="61" t="s">
        <v>284</v>
      </c>
      <c r="U55" s="61"/>
      <c r="V55" s="61" t="s">
        <v>350</v>
      </c>
      <c r="W55" s="65">
        <v>1</v>
      </c>
      <c r="X55" s="61" t="s">
        <v>635</v>
      </c>
      <c r="Y55" s="61"/>
      <c r="Z55" s="61" t="s">
        <v>303</v>
      </c>
      <c r="AA55" s="61" t="s">
        <v>331</v>
      </c>
      <c r="AB55" s="65">
        <v>0</v>
      </c>
      <c r="AC55" s="61"/>
      <c r="AD55" s="61"/>
      <c r="AE55" s="61" t="s">
        <v>305</v>
      </c>
      <c r="AF55" s="61" t="s">
        <v>500</v>
      </c>
      <c r="AG55" s="65">
        <v>0</v>
      </c>
      <c r="AH55" s="61"/>
      <c r="AI55" s="61"/>
      <c r="AJ55" s="65">
        <v>0</v>
      </c>
      <c r="AK55" s="61"/>
      <c r="AL55" s="61"/>
      <c r="AM55" s="61" t="s">
        <v>299</v>
      </c>
      <c r="AN55" s="65">
        <v>1</v>
      </c>
      <c r="AO55" s="61" t="s">
        <v>636</v>
      </c>
      <c r="AP55" s="61"/>
      <c r="AQ55" s="61" t="s">
        <v>294</v>
      </c>
      <c r="AR55" s="61" t="s">
        <v>287</v>
      </c>
      <c r="AS55" s="65">
        <v>1</v>
      </c>
      <c r="AT55" s="61" t="s">
        <v>339</v>
      </c>
      <c r="AU55" s="61"/>
      <c r="AV55" s="61" t="s">
        <v>288</v>
      </c>
      <c r="AW55" s="61" t="s">
        <v>287</v>
      </c>
      <c r="AX55" s="65">
        <v>1</v>
      </c>
      <c r="AY55" s="61" t="s">
        <v>339</v>
      </c>
      <c r="AZ55" s="61"/>
      <c r="BA55" s="65">
        <v>0</v>
      </c>
      <c r="BB55" s="61"/>
      <c r="BC55" s="61" t="s">
        <v>299</v>
      </c>
      <c r="BD55" s="61" t="s">
        <v>303</v>
      </c>
      <c r="BE55" s="61" t="s">
        <v>331</v>
      </c>
      <c r="BF55" s="65">
        <v>0</v>
      </c>
      <c r="BG55" s="61"/>
      <c r="BH55" s="61"/>
      <c r="BI55" s="61" t="s">
        <v>298</v>
      </c>
      <c r="BJ55" s="61" t="s">
        <v>297</v>
      </c>
      <c r="BK55" s="65">
        <v>0</v>
      </c>
      <c r="BL55" s="61"/>
      <c r="BM55" s="61"/>
      <c r="BN55" s="65">
        <v>0</v>
      </c>
      <c r="BO55" s="61"/>
      <c r="BP55" s="61" t="s">
        <v>292</v>
      </c>
      <c r="BQ55" s="65">
        <v>1</v>
      </c>
      <c r="BR55" s="61" t="s">
        <v>637</v>
      </c>
      <c r="BS55" s="61" t="s">
        <v>303</v>
      </c>
      <c r="BT55" s="61" t="s">
        <v>297</v>
      </c>
      <c r="BU55" s="65">
        <v>0</v>
      </c>
      <c r="BV55" s="61"/>
      <c r="BW55" s="61"/>
      <c r="BX55" s="61" t="s">
        <v>288</v>
      </c>
      <c r="BY55" s="61" t="s">
        <v>297</v>
      </c>
      <c r="BZ55" s="65">
        <v>0</v>
      </c>
      <c r="CA55" s="61"/>
      <c r="CB55" s="61"/>
      <c r="CC55" s="65">
        <v>0</v>
      </c>
      <c r="CD55" s="61"/>
      <c r="CE55" s="61" t="s">
        <v>366</v>
      </c>
      <c r="CF55" s="65">
        <v>1</v>
      </c>
      <c r="CG55" s="61" t="s">
        <v>397</v>
      </c>
      <c r="CH55" s="61"/>
      <c r="CI55" s="61" t="s">
        <v>303</v>
      </c>
      <c r="CJ55" s="61" t="s">
        <v>500</v>
      </c>
      <c r="CK55" s="65">
        <v>1</v>
      </c>
      <c r="CL55" s="61" t="s">
        <v>297</v>
      </c>
      <c r="CM55" s="61"/>
      <c r="CN55" s="61" t="s">
        <v>298</v>
      </c>
      <c r="CO55" s="61" t="s">
        <v>500</v>
      </c>
      <c r="CP55" s="65">
        <v>0</v>
      </c>
      <c r="CQ55" s="61"/>
      <c r="CR55" s="61"/>
      <c r="CS55" s="65">
        <v>0</v>
      </c>
      <c r="CT55" s="61"/>
      <c r="CU55" s="61" t="s">
        <v>296</v>
      </c>
      <c r="CV55" s="36">
        <f t="shared" si="0"/>
        <v>0</v>
      </c>
      <c r="CW55" s="65">
        <v>1</v>
      </c>
      <c r="CX55" s="61" t="s">
        <v>372</v>
      </c>
      <c r="CY55" s="61"/>
      <c r="CZ55" s="61" t="s">
        <v>303</v>
      </c>
      <c r="DA55" s="61" t="s">
        <v>297</v>
      </c>
      <c r="DB55" s="65">
        <v>1</v>
      </c>
      <c r="DC55" s="61" t="s">
        <v>638</v>
      </c>
      <c r="DD55" s="61"/>
      <c r="DE55" s="61" t="s">
        <v>305</v>
      </c>
      <c r="DF55" s="61" t="s">
        <v>500</v>
      </c>
      <c r="DG55" s="65">
        <v>0</v>
      </c>
      <c r="DH55" s="61"/>
      <c r="DI55" s="61"/>
      <c r="DJ55" s="65">
        <v>0</v>
      </c>
      <c r="DK55" s="61"/>
      <c r="DL55" s="61" t="s">
        <v>299</v>
      </c>
      <c r="DM55" s="65">
        <v>1</v>
      </c>
      <c r="DN55" s="61" t="s">
        <v>308</v>
      </c>
      <c r="DO55" s="61"/>
      <c r="DP55" s="61" t="s">
        <v>303</v>
      </c>
      <c r="DQ55" s="61" t="s">
        <v>331</v>
      </c>
      <c r="DR55" s="65">
        <v>0</v>
      </c>
      <c r="DS55" s="61"/>
      <c r="DT55" s="61"/>
      <c r="DU55" s="61" t="s">
        <v>298</v>
      </c>
      <c r="DV55" s="61" t="s">
        <v>331</v>
      </c>
      <c r="DW55" s="65">
        <v>0</v>
      </c>
      <c r="DX55" s="61"/>
      <c r="DY55" s="61"/>
      <c r="DZ55" s="61"/>
      <c r="EA55" s="61"/>
      <c r="EB55" s="61" t="s">
        <v>296</v>
      </c>
      <c r="EC55" s="65">
        <v>1</v>
      </c>
      <c r="ED55" s="61" t="s">
        <v>513</v>
      </c>
      <c r="EE55" s="61" t="s">
        <v>303</v>
      </c>
      <c r="EF55" s="61" t="s">
        <v>331</v>
      </c>
      <c r="EG55" s="65">
        <v>0</v>
      </c>
      <c r="EH55" s="61"/>
      <c r="EI55" s="61"/>
      <c r="EJ55" s="61" t="s">
        <v>298</v>
      </c>
      <c r="EK55" s="61" t="s">
        <v>297</v>
      </c>
      <c r="EL55" s="65">
        <v>0</v>
      </c>
      <c r="EM55" s="61"/>
      <c r="EN55" s="61"/>
      <c r="EO55" s="61"/>
      <c r="EP55" s="65">
        <v>0</v>
      </c>
      <c r="EQ55" s="61"/>
      <c r="ER55" s="61" t="s">
        <v>296</v>
      </c>
      <c r="ES55" s="65">
        <v>0</v>
      </c>
      <c r="ET55" s="61"/>
      <c r="EU55" s="61"/>
      <c r="EV55" s="61"/>
      <c r="EW55" s="61"/>
      <c r="EX55" s="61"/>
      <c r="EY55" s="61"/>
      <c r="EZ55" s="61"/>
      <c r="FA55" s="61"/>
      <c r="FB55" s="65">
        <v>0</v>
      </c>
      <c r="FC55" s="61"/>
      <c r="FD55" s="61"/>
      <c r="FE55" s="61"/>
      <c r="FG55" s="61" t="s">
        <v>317</v>
      </c>
      <c r="FH55" s="61" t="s">
        <v>639</v>
      </c>
      <c r="FI55" s="61"/>
      <c r="FJ55" s="65">
        <v>-1</v>
      </c>
      <c r="FK55" s="65">
        <v>-1</v>
      </c>
      <c r="FL55" s="65">
        <v>-1</v>
      </c>
      <c r="FM55" s="65">
        <v>-1</v>
      </c>
      <c r="FN55" s="65">
        <v>-1</v>
      </c>
      <c r="FO55" s="65">
        <v>-1</v>
      </c>
      <c r="FP55" s="65">
        <v>-1</v>
      </c>
      <c r="FQ55" s="65">
        <v>-1</v>
      </c>
      <c r="FR55" s="65">
        <v>-1</v>
      </c>
      <c r="FS55" s="65">
        <v>-1</v>
      </c>
      <c r="FT55" s="65">
        <v>-1</v>
      </c>
      <c r="FU55" s="65">
        <v>-1</v>
      </c>
      <c r="FV55" s="65">
        <v>-1</v>
      </c>
      <c r="FW55" s="65">
        <v>-1</v>
      </c>
      <c r="FX55" s="65">
        <v>-1</v>
      </c>
      <c r="FY55" s="65">
        <v>-15</v>
      </c>
      <c r="FZ55" s="66"/>
      <c r="GA55" s="66"/>
      <c r="GB55" s="61" t="s">
        <v>319</v>
      </c>
      <c r="GC55" s="61" t="s">
        <v>320</v>
      </c>
      <c r="GD55" s="61" t="s">
        <v>277</v>
      </c>
      <c r="GE55" s="65">
        <v>15</v>
      </c>
      <c r="GF55" s="65">
        <v>15</v>
      </c>
      <c r="GG55" s="65">
        <v>34</v>
      </c>
      <c r="GH55" s="65">
        <v>9</v>
      </c>
      <c r="GI55" s="67"/>
    </row>
    <row r="56" spans="1:191" s="49" customFormat="1" x14ac:dyDescent="0.25">
      <c r="A56" s="65">
        <v>219</v>
      </c>
      <c r="B56" s="61" t="s">
        <v>347</v>
      </c>
      <c r="C56" s="61" t="s">
        <v>279</v>
      </c>
      <c r="D56" s="61" t="s">
        <v>377</v>
      </c>
      <c r="E56" s="61" t="s">
        <v>281</v>
      </c>
      <c r="F56" s="61" t="s">
        <v>282</v>
      </c>
      <c r="G56" s="61" t="s">
        <v>282</v>
      </c>
      <c r="H56" s="61" t="s">
        <v>282</v>
      </c>
      <c r="I56" s="61" t="s">
        <v>282</v>
      </c>
      <c r="J56" s="61" t="s">
        <v>281</v>
      </c>
      <c r="K56" s="61" t="s">
        <v>282</v>
      </c>
      <c r="L56" s="61" t="s">
        <v>281</v>
      </c>
      <c r="M56" s="61" t="s">
        <v>282</v>
      </c>
      <c r="N56" s="65">
        <v>0</v>
      </c>
      <c r="O56" s="61"/>
      <c r="P56" s="61"/>
      <c r="Q56" s="61" t="s">
        <v>355</v>
      </c>
      <c r="R56" s="61"/>
      <c r="S56" s="61"/>
      <c r="T56" s="61" t="s">
        <v>322</v>
      </c>
      <c r="U56" s="61"/>
      <c r="V56" s="61" t="s">
        <v>350</v>
      </c>
      <c r="W56" s="65">
        <v>1</v>
      </c>
      <c r="X56" s="61" t="s">
        <v>374</v>
      </c>
      <c r="Y56" s="61"/>
      <c r="Z56" s="61" t="s">
        <v>303</v>
      </c>
      <c r="AA56" s="61" t="s">
        <v>331</v>
      </c>
      <c r="AB56" s="65">
        <v>0</v>
      </c>
      <c r="AC56" s="61"/>
      <c r="AD56" s="61"/>
      <c r="AE56" s="61" t="s">
        <v>305</v>
      </c>
      <c r="AF56" s="61" t="s">
        <v>331</v>
      </c>
      <c r="AG56" s="65">
        <v>0</v>
      </c>
      <c r="AH56" s="61"/>
      <c r="AI56" s="61"/>
      <c r="AJ56" s="65">
        <v>0</v>
      </c>
      <c r="AK56" s="61"/>
      <c r="AL56" s="61"/>
      <c r="AM56" s="61" t="s">
        <v>292</v>
      </c>
      <c r="AN56" s="65">
        <v>0</v>
      </c>
      <c r="AO56" s="61"/>
      <c r="AP56" s="61"/>
      <c r="AQ56" s="61"/>
      <c r="AR56" s="61"/>
      <c r="AS56" s="65">
        <v>0</v>
      </c>
      <c r="AT56" s="61"/>
      <c r="AU56" s="61"/>
      <c r="AV56" s="61"/>
      <c r="AW56" s="61"/>
      <c r="AX56" s="65">
        <v>0</v>
      </c>
      <c r="AY56" s="61"/>
      <c r="AZ56" s="61"/>
      <c r="BA56" s="65">
        <v>0</v>
      </c>
      <c r="BB56" s="61"/>
      <c r="BC56" s="61"/>
      <c r="BD56" s="61" t="s">
        <v>301</v>
      </c>
      <c r="BE56" s="61" t="s">
        <v>339</v>
      </c>
      <c r="BF56" s="65">
        <v>0</v>
      </c>
      <c r="BG56" s="61"/>
      <c r="BH56" s="61"/>
      <c r="BI56" s="61" t="s">
        <v>324</v>
      </c>
      <c r="BJ56" s="61" t="s">
        <v>339</v>
      </c>
      <c r="BK56" s="65">
        <v>0</v>
      </c>
      <c r="BL56" s="61"/>
      <c r="BM56" s="61"/>
      <c r="BN56" s="65">
        <v>0</v>
      </c>
      <c r="BO56" s="61"/>
      <c r="BP56" s="61" t="s">
        <v>292</v>
      </c>
      <c r="BQ56" s="65">
        <v>1</v>
      </c>
      <c r="BR56" s="61" t="s">
        <v>663</v>
      </c>
      <c r="BS56" s="61" t="s">
        <v>294</v>
      </c>
      <c r="BT56" s="61" t="s">
        <v>297</v>
      </c>
      <c r="BU56" s="65">
        <v>0</v>
      </c>
      <c r="BV56" s="61"/>
      <c r="BW56" s="61"/>
      <c r="BX56" s="61" t="s">
        <v>305</v>
      </c>
      <c r="BY56" s="61" t="s">
        <v>302</v>
      </c>
      <c r="BZ56" s="65">
        <v>0</v>
      </c>
      <c r="CA56" s="61"/>
      <c r="CB56" s="61"/>
      <c r="CC56" s="65">
        <v>0</v>
      </c>
      <c r="CD56" s="61"/>
      <c r="CE56" s="61" t="s">
        <v>328</v>
      </c>
      <c r="CF56" s="65">
        <v>1</v>
      </c>
      <c r="CG56" s="61" t="s">
        <v>664</v>
      </c>
      <c r="CH56" s="61"/>
      <c r="CI56" s="61" t="s">
        <v>294</v>
      </c>
      <c r="CJ56" s="61" t="s">
        <v>297</v>
      </c>
      <c r="CK56" s="65">
        <v>0</v>
      </c>
      <c r="CL56" s="61"/>
      <c r="CM56" s="61"/>
      <c r="CN56" s="61" t="s">
        <v>288</v>
      </c>
      <c r="CO56" s="61" t="s">
        <v>297</v>
      </c>
      <c r="CP56" s="65">
        <v>0</v>
      </c>
      <c r="CQ56" s="61"/>
      <c r="CR56" s="61"/>
      <c r="CS56" s="65">
        <v>0</v>
      </c>
      <c r="CT56" s="61"/>
      <c r="CU56" s="61" t="s">
        <v>292</v>
      </c>
      <c r="CV56" s="36">
        <f t="shared" si="0"/>
        <v>0</v>
      </c>
      <c r="CW56" s="65">
        <v>0</v>
      </c>
      <c r="CX56" s="61"/>
      <c r="CY56" s="61"/>
      <c r="CZ56" s="61"/>
      <c r="DA56" s="61"/>
      <c r="DB56" s="65">
        <v>0</v>
      </c>
      <c r="DC56" s="61"/>
      <c r="DD56" s="61"/>
      <c r="DE56" s="61"/>
      <c r="DF56" s="61"/>
      <c r="DG56" s="65">
        <v>0</v>
      </c>
      <c r="DH56" s="61"/>
      <c r="DI56" s="61"/>
      <c r="DJ56" s="65">
        <v>0</v>
      </c>
      <c r="DK56" s="61"/>
      <c r="DL56" s="61"/>
      <c r="DM56" s="65">
        <v>1</v>
      </c>
      <c r="DN56" s="61" t="s">
        <v>411</v>
      </c>
      <c r="DO56" s="61"/>
      <c r="DP56" s="61" t="s">
        <v>294</v>
      </c>
      <c r="DQ56" s="61" t="s">
        <v>331</v>
      </c>
      <c r="DR56" s="65">
        <v>0</v>
      </c>
      <c r="DS56" s="61"/>
      <c r="DT56" s="61"/>
      <c r="DU56" s="61" t="s">
        <v>305</v>
      </c>
      <c r="DV56" s="61" t="s">
        <v>331</v>
      </c>
      <c r="DW56" s="65">
        <v>0</v>
      </c>
      <c r="DX56" s="61"/>
      <c r="DY56" s="61"/>
      <c r="DZ56" s="61"/>
      <c r="EA56" s="61"/>
      <c r="EB56" s="61" t="s">
        <v>292</v>
      </c>
      <c r="EC56" s="65">
        <v>1</v>
      </c>
      <c r="ED56" s="61" t="s">
        <v>384</v>
      </c>
      <c r="EE56" s="61" t="s">
        <v>301</v>
      </c>
      <c r="EF56" s="61" t="s">
        <v>297</v>
      </c>
      <c r="EG56" s="65">
        <v>0</v>
      </c>
      <c r="EH56" s="61"/>
      <c r="EI56" s="61"/>
      <c r="EJ56" s="61" t="s">
        <v>288</v>
      </c>
      <c r="EK56" s="61" t="s">
        <v>297</v>
      </c>
      <c r="EL56" s="65">
        <v>0</v>
      </c>
      <c r="EM56" s="61"/>
      <c r="EN56" s="61"/>
      <c r="EO56" s="61"/>
      <c r="EP56" s="65">
        <v>0</v>
      </c>
      <c r="EQ56" s="61"/>
      <c r="ER56" s="61" t="s">
        <v>328</v>
      </c>
      <c r="ES56" s="65">
        <v>0</v>
      </c>
      <c r="ET56" s="61"/>
      <c r="EU56" s="61"/>
      <c r="EV56" s="61"/>
      <c r="EW56" s="61"/>
      <c r="EX56" s="61"/>
      <c r="EY56" s="61"/>
      <c r="EZ56" s="61"/>
      <c r="FA56" s="61"/>
      <c r="FB56" s="65">
        <v>0</v>
      </c>
      <c r="FC56" s="61"/>
      <c r="FD56" s="61"/>
      <c r="FE56" s="61"/>
      <c r="FG56" s="61" t="s">
        <v>351</v>
      </c>
      <c r="FH56" s="61" t="s">
        <v>665</v>
      </c>
      <c r="FI56" s="61"/>
      <c r="FJ56" s="65">
        <v>-1</v>
      </c>
      <c r="FK56" s="65">
        <v>-1</v>
      </c>
      <c r="FL56" s="65">
        <v>-1</v>
      </c>
      <c r="FM56" s="65">
        <v>-1</v>
      </c>
      <c r="FN56" s="65">
        <v>-1</v>
      </c>
      <c r="FO56" s="65">
        <v>-1</v>
      </c>
      <c r="FP56" s="65">
        <v>-1</v>
      </c>
      <c r="FQ56" s="65">
        <v>-1</v>
      </c>
      <c r="FR56" s="65">
        <v>-1</v>
      </c>
      <c r="FS56" s="65">
        <v>-1</v>
      </c>
      <c r="FT56" s="65">
        <v>-1</v>
      </c>
      <c r="FU56" s="65">
        <v>-1</v>
      </c>
      <c r="FV56" s="65">
        <v>-1</v>
      </c>
      <c r="FW56" s="65">
        <v>-1</v>
      </c>
      <c r="FX56" s="65">
        <v>-1</v>
      </c>
      <c r="FY56" s="65">
        <v>-15</v>
      </c>
      <c r="FZ56" s="66"/>
      <c r="GA56" s="66"/>
      <c r="GB56" s="61"/>
      <c r="GC56" s="61" t="s">
        <v>320</v>
      </c>
      <c r="GD56" s="61" t="s">
        <v>277</v>
      </c>
      <c r="GE56" s="65">
        <v>15</v>
      </c>
      <c r="GF56" s="65">
        <v>15</v>
      </c>
      <c r="GG56" s="65">
        <v>53</v>
      </c>
      <c r="GH56" s="65">
        <v>29</v>
      </c>
      <c r="GI56" s="67"/>
    </row>
    <row r="57" spans="1:191" s="17" customFormat="1" ht="13.8" thickBot="1" x14ac:dyDescent="0.3">
      <c r="A57" s="13">
        <v>241</v>
      </c>
      <c r="B57" s="21" t="s">
        <v>347</v>
      </c>
      <c r="C57" s="14" t="s">
        <v>353</v>
      </c>
      <c r="D57" s="14" t="s">
        <v>422</v>
      </c>
      <c r="E57" s="14" t="s">
        <v>281</v>
      </c>
      <c r="F57" s="14" t="s">
        <v>282</v>
      </c>
      <c r="G57" s="14" t="s">
        <v>282</v>
      </c>
      <c r="H57" s="14" t="s">
        <v>282</v>
      </c>
      <c r="I57" s="14" t="s">
        <v>282</v>
      </c>
      <c r="J57" s="14" t="s">
        <v>281</v>
      </c>
      <c r="K57" s="14" t="s">
        <v>282</v>
      </c>
      <c r="L57" s="14" t="s">
        <v>282</v>
      </c>
      <c r="M57" s="14" t="s">
        <v>282</v>
      </c>
      <c r="N57" s="13">
        <v>0</v>
      </c>
      <c r="O57" s="14"/>
      <c r="P57" s="14"/>
      <c r="Q57" s="14" t="s">
        <v>355</v>
      </c>
      <c r="R57" s="14"/>
      <c r="S57" s="14"/>
      <c r="T57" s="14" t="s">
        <v>710</v>
      </c>
      <c r="U57" s="14"/>
      <c r="V57" s="14" t="s">
        <v>350</v>
      </c>
      <c r="W57" s="13">
        <v>1</v>
      </c>
      <c r="X57" s="14" t="s">
        <v>711</v>
      </c>
      <c r="Y57" s="14"/>
      <c r="Z57" s="14" t="s">
        <v>294</v>
      </c>
      <c r="AA57" s="14" t="s">
        <v>331</v>
      </c>
      <c r="AB57" s="13">
        <v>0</v>
      </c>
      <c r="AC57" s="14"/>
      <c r="AD57" s="14"/>
      <c r="AE57" s="14" t="s">
        <v>305</v>
      </c>
      <c r="AF57" s="14" t="s">
        <v>331</v>
      </c>
      <c r="AG57" s="13">
        <v>0</v>
      </c>
      <c r="AH57" s="14"/>
      <c r="AI57" s="14"/>
      <c r="AJ57" s="13">
        <v>1</v>
      </c>
      <c r="AK57" s="14" t="s">
        <v>712</v>
      </c>
      <c r="AL57" s="14"/>
      <c r="AM57" s="14" t="s">
        <v>366</v>
      </c>
      <c r="AN57" s="13">
        <v>1</v>
      </c>
      <c r="AO57" s="14" t="s">
        <v>293</v>
      </c>
      <c r="AP57" s="14"/>
      <c r="AQ57" s="14" t="s">
        <v>301</v>
      </c>
      <c r="AR57" s="14" t="s">
        <v>297</v>
      </c>
      <c r="AS57" s="13">
        <v>0</v>
      </c>
      <c r="AT57" s="14"/>
      <c r="AU57" s="14"/>
      <c r="AV57" s="14" t="s">
        <v>288</v>
      </c>
      <c r="AW57" s="14" t="s">
        <v>302</v>
      </c>
      <c r="AX57" s="13">
        <v>0</v>
      </c>
      <c r="AY57" s="14"/>
      <c r="AZ57" s="14"/>
      <c r="BA57" s="13">
        <v>1</v>
      </c>
      <c r="BB57" s="14" t="s">
        <v>713</v>
      </c>
      <c r="BC57" s="14" t="s">
        <v>292</v>
      </c>
      <c r="BD57" s="14" t="s">
        <v>303</v>
      </c>
      <c r="BE57" s="14" t="s">
        <v>331</v>
      </c>
      <c r="BF57" s="13">
        <v>1</v>
      </c>
      <c r="BG57" s="14" t="s">
        <v>714</v>
      </c>
      <c r="BH57" s="14"/>
      <c r="BI57" s="14" t="s">
        <v>298</v>
      </c>
      <c r="BJ57" s="14" t="s">
        <v>331</v>
      </c>
      <c r="BK57" s="13">
        <v>0</v>
      </c>
      <c r="BL57" s="14"/>
      <c r="BM57" s="14"/>
      <c r="BN57" s="13">
        <v>0</v>
      </c>
      <c r="BO57" s="14"/>
      <c r="BP57" s="14" t="s">
        <v>296</v>
      </c>
      <c r="BQ57" s="13">
        <v>1</v>
      </c>
      <c r="BR57" s="14" t="s">
        <v>405</v>
      </c>
      <c r="BS57" s="14" t="s">
        <v>294</v>
      </c>
      <c r="BT57" s="14" t="s">
        <v>297</v>
      </c>
      <c r="BU57" s="13">
        <v>0</v>
      </c>
      <c r="BV57" s="14"/>
      <c r="BW57" s="14"/>
      <c r="BX57" s="14" t="s">
        <v>288</v>
      </c>
      <c r="BY57" s="14" t="s">
        <v>302</v>
      </c>
      <c r="BZ57" s="13">
        <v>0</v>
      </c>
      <c r="CA57" s="14"/>
      <c r="CB57" s="14"/>
      <c r="CC57" s="13">
        <v>0</v>
      </c>
      <c r="CD57" s="14"/>
      <c r="CE57" s="14" t="s">
        <v>299</v>
      </c>
      <c r="CF57" s="13">
        <v>1</v>
      </c>
      <c r="CG57" s="14" t="s">
        <v>359</v>
      </c>
      <c r="CH57" s="14"/>
      <c r="CI57" s="14" t="s">
        <v>294</v>
      </c>
      <c r="CJ57" s="14" t="s">
        <v>297</v>
      </c>
      <c r="CK57" s="13">
        <v>0</v>
      </c>
      <c r="CL57" s="14"/>
      <c r="CM57" s="14"/>
      <c r="CN57" s="14" t="s">
        <v>305</v>
      </c>
      <c r="CO57" s="14" t="s">
        <v>331</v>
      </c>
      <c r="CP57" s="13">
        <v>0</v>
      </c>
      <c r="CQ57" s="14"/>
      <c r="CR57" s="14"/>
      <c r="CS57" s="13">
        <v>1</v>
      </c>
      <c r="CT57" s="14" t="s">
        <v>715</v>
      </c>
      <c r="CU57" s="14" t="s">
        <v>296</v>
      </c>
      <c r="CV57" s="93">
        <f t="shared" si="0"/>
        <v>0</v>
      </c>
      <c r="CW57" s="13">
        <v>0</v>
      </c>
      <c r="CX57" s="14"/>
      <c r="CY57" s="14"/>
      <c r="CZ57" s="14"/>
      <c r="DA57" s="14"/>
      <c r="DB57" s="13">
        <v>0</v>
      </c>
      <c r="DC57" s="14"/>
      <c r="DD57" s="14"/>
      <c r="DE57" s="14"/>
      <c r="DF57" s="14"/>
      <c r="DG57" s="13">
        <v>0</v>
      </c>
      <c r="DH57" s="14"/>
      <c r="DI57" s="14"/>
      <c r="DJ57" s="13">
        <v>0</v>
      </c>
      <c r="DK57" s="14"/>
      <c r="DL57" s="14"/>
      <c r="DM57" s="13">
        <v>1</v>
      </c>
      <c r="DN57" s="14" t="s">
        <v>512</v>
      </c>
      <c r="DO57" s="14"/>
      <c r="DP57" s="14" t="s">
        <v>303</v>
      </c>
      <c r="DQ57" s="14" t="s">
        <v>331</v>
      </c>
      <c r="DR57" s="13">
        <v>0</v>
      </c>
      <c r="DS57" s="14"/>
      <c r="DT57" s="14"/>
      <c r="DU57" s="14" t="s">
        <v>298</v>
      </c>
      <c r="DV57" s="14" t="s">
        <v>331</v>
      </c>
      <c r="DW57" s="13">
        <v>0</v>
      </c>
      <c r="DX57" s="14"/>
      <c r="DY57" s="14"/>
      <c r="DZ57" s="14" t="s">
        <v>716</v>
      </c>
      <c r="EA57" s="14"/>
      <c r="EB57" s="14" t="s">
        <v>366</v>
      </c>
      <c r="EC57" s="13">
        <v>1</v>
      </c>
      <c r="ED57" s="14" t="s">
        <v>374</v>
      </c>
      <c r="EE57" s="14" t="s">
        <v>294</v>
      </c>
      <c r="EF57" s="14" t="s">
        <v>331</v>
      </c>
      <c r="EG57" s="13">
        <v>0</v>
      </c>
      <c r="EH57" s="14"/>
      <c r="EI57" s="14"/>
      <c r="EJ57" s="14" t="s">
        <v>305</v>
      </c>
      <c r="EK57" s="14" t="s">
        <v>331</v>
      </c>
      <c r="EL57" s="13">
        <v>0</v>
      </c>
      <c r="EM57" s="14"/>
      <c r="EN57" s="14"/>
      <c r="EO57" s="14"/>
      <c r="EP57" s="13">
        <v>1</v>
      </c>
      <c r="EQ57" s="14" t="s">
        <v>717</v>
      </c>
      <c r="ER57" s="14" t="s">
        <v>366</v>
      </c>
      <c r="ES57" s="13">
        <v>1</v>
      </c>
      <c r="ET57" s="14" t="s">
        <v>718</v>
      </c>
      <c r="EU57" s="14"/>
      <c r="EV57" s="14"/>
      <c r="EW57" s="14"/>
      <c r="EX57" s="14" t="s">
        <v>397</v>
      </c>
      <c r="EY57" s="14" t="s">
        <v>719</v>
      </c>
      <c r="EZ57" s="14"/>
      <c r="FA57" s="14"/>
      <c r="FB57" s="13">
        <v>1</v>
      </c>
      <c r="FC57" s="14" t="s">
        <v>720</v>
      </c>
      <c r="FD57" s="14"/>
      <c r="FE57" s="14"/>
      <c r="FG57" s="14" t="s">
        <v>335</v>
      </c>
      <c r="FH57" s="14" t="s">
        <v>721</v>
      </c>
      <c r="FI57" s="14"/>
      <c r="FJ57" s="13">
        <v>-1</v>
      </c>
      <c r="FK57" s="13">
        <v>-1</v>
      </c>
      <c r="FL57" s="13">
        <v>-1</v>
      </c>
      <c r="FM57" s="13">
        <v>-1</v>
      </c>
      <c r="FN57" s="13">
        <v>-1</v>
      </c>
      <c r="FO57" s="13">
        <v>-1</v>
      </c>
      <c r="FP57" s="13">
        <v>-1</v>
      </c>
      <c r="FQ57" s="13">
        <v>-1</v>
      </c>
      <c r="FR57" s="13">
        <v>-1</v>
      </c>
      <c r="FS57" s="13">
        <v>-1</v>
      </c>
      <c r="FT57" s="13">
        <v>-1</v>
      </c>
      <c r="FU57" s="13">
        <v>-1</v>
      </c>
      <c r="FV57" s="13">
        <v>-1</v>
      </c>
      <c r="FW57" s="13">
        <v>-1</v>
      </c>
      <c r="FX57" s="13">
        <v>-1</v>
      </c>
      <c r="FY57" s="13">
        <v>-15</v>
      </c>
      <c r="FZ57" s="15"/>
      <c r="GA57" s="15"/>
      <c r="GB57" s="14" t="s">
        <v>319</v>
      </c>
      <c r="GC57" s="14" t="s">
        <v>320</v>
      </c>
      <c r="GD57" s="14" t="s">
        <v>277</v>
      </c>
      <c r="GE57" s="13">
        <v>15</v>
      </c>
      <c r="GF57" s="13">
        <v>15</v>
      </c>
      <c r="GG57" s="13">
        <v>34</v>
      </c>
      <c r="GH57" s="13">
        <v>14</v>
      </c>
      <c r="GI57" s="16"/>
    </row>
    <row r="58" spans="1:191" x14ac:dyDescent="0.25">
      <c r="A58" s="1">
        <v>134</v>
      </c>
      <c r="B58" s="18" t="s">
        <v>376</v>
      </c>
      <c r="C58" s="2" t="s">
        <v>279</v>
      </c>
      <c r="D58" s="2" t="s">
        <v>377</v>
      </c>
      <c r="E58" s="2" t="s">
        <v>281</v>
      </c>
      <c r="F58" s="2" t="s">
        <v>282</v>
      </c>
      <c r="G58" s="2" t="s">
        <v>281</v>
      </c>
      <c r="H58" s="2" t="s">
        <v>282</v>
      </c>
      <c r="I58" s="2" t="s">
        <v>282</v>
      </c>
      <c r="J58" s="2" t="s">
        <v>281</v>
      </c>
      <c r="K58" s="2" t="s">
        <v>282</v>
      </c>
      <c r="L58" s="2" t="s">
        <v>282</v>
      </c>
      <c r="M58" s="2" t="s">
        <v>282</v>
      </c>
      <c r="N58" s="1">
        <v>0</v>
      </c>
      <c r="O58" s="2"/>
      <c r="P58" s="2"/>
      <c r="Q58" s="2" t="s">
        <v>337</v>
      </c>
      <c r="R58" s="2"/>
      <c r="S58" s="2" t="s">
        <v>338</v>
      </c>
      <c r="T58" s="2"/>
      <c r="U58" s="2"/>
      <c r="V58" s="2" t="s">
        <v>350</v>
      </c>
      <c r="W58" s="1">
        <v>0</v>
      </c>
      <c r="X58" s="2"/>
      <c r="Y58" s="2"/>
      <c r="Z58" s="2" t="s">
        <v>303</v>
      </c>
      <c r="AA58" s="2" t="s">
        <v>331</v>
      </c>
      <c r="AB58" s="1">
        <v>0</v>
      </c>
      <c r="AC58" s="2"/>
      <c r="AD58" s="2"/>
      <c r="AE58" s="2" t="s">
        <v>298</v>
      </c>
      <c r="AF58" s="2" t="s">
        <v>331</v>
      </c>
      <c r="AG58" s="1">
        <v>0</v>
      </c>
      <c r="AH58" s="2"/>
      <c r="AI58" s="2"/>
      <c r="AJ58" s="1">
        <v>0</v>
      </c>
      <c r="AK58" s="2"/>
      <c r="AL58" s="2"/>
      <c r="AM58" s="2" t="s">
        <v>296</v>
      </c>
      <c r="AN58" s="1">
        <v>0</v>
      </c>
      <c r="AO58" s="2"/>
      <c r="AP58" s="2"/>
      <c r="AQ58" s="2" t="s">
        <v>294</v>
      </c>
      <c r="AR58" s="2" t="s">
        <v>331</v>
      </c>
      <c r="AS58" s="1">
        <v>0</v>
      </c>
      <c r="AT58" s="2"/>
      <c r="AU58" s="2"/>
      <c r="AV58" s="2" t="s">
        <v>298</v>
      </c>
      <c r="AW58" s="2" t="s">
        <v>331</v>
      </c>
      <c r="AX58" s="1">
        <v>0</v>
      </c>
      <c r="AY58" s="2"/>
      <c r="AZ58" s="2"/>
      <c r="BA58" s="1">
        <v>0</v>
      </c>
      <c r="BB58" s="2"/>
      <c r="BC58" s="2" t="s">
        <v>299</v>
      </c>
      <c r="BD58" s="2"/>
      <c r="BE58" s="2"/>
      <c r="BF58" s="1">
        <v>0</v>
      </c>
      <c r="BG58" s="2"/>
      <c r="BH58" s="2"/>
      <c r="BI58" s="2"/>
      <c r="BJ58" s="2"/>
      <c r="BK58" s="1">
        <v>0</v>
      </c>
      <c r="BL58" s="2"/>
      <c r="BM58" s="2"/>
      <c r="BN58" s="1">
        <v>0</v>
      </c>
      <c r="BO58" s="2"/>
      <c r="BP58" s="2"/>
      <c r="BQ58" s="1">
        <v>0</v>
      </c>
      <c r="BR58" s="2"/>
      <c r="BS58" s="2" t="s">
        <v>294</v>
      </c>
      <c r="BT58" s="2" t="s">
        <v>302</v>
      </c>
      <c r="BU58" s="1">
        <v>0</v>
      </c>
      <c r="BV58" s="2"/>
      <c r="BW58" s="2"/>
      <c r="BX58" s="2" t="s">
        <v>298</v>
      </c>
      <c r="BY58" s="2" t="s">
        <v>302</v>
      </c>
      <c r="BZ58" s="1">
        <v>0</v>
      </c>
      <c r="CA58" s="2"/>
      <c r="CB58" s="2"/>
      <c r="CC58" s="1">
        <v>0</v>
      </c>
      <c r="CD58" s="2"/>
      <c r="CE58" s="2" t="s">
        <v>299</v>
      </c>
      <c r="CF58" s="1">
        <v>0</v>
      </c>
      <c r="CG58" s="2"/>
      <c r="CH58" s="2"/>
      <c r="CI58" s="2" t="s">
        <v>310</v>
      </c>
      <c r="CJ58" s="2" t="s">
        <v>297</v>
      </c>
      <c r="CK58" s="1">
        <v>0</v>
      </c>
      <c r="CL58" s="2"/>
      <c r="CM58" s="2"/>
      <c r="CN58" s="2" t="s">
        <v>305</v>
      </c>
      <c r="CO58" s="2" t="s">
        <v>297</v>
      </c>
      <c r="CP58" s="1">
        <v>0</v>
      </c>
      <c r="CQ58" s="2"/>
      <c r="CR58" s="2"/>
      <c r="CS58" s="1">
        <v>0</v>
      </c>
      <c r="CT58" s="2"/>
      <c r="CU58" s="2" t="s">
        <v>296</v>
      </c>
      <c r="CV58" s="36">
        <f t="shared" si="0"/>
        <v>0</v>
      </c>
      <c r="CW58" s="1">
        <v>0</v>
      </c>
      <c r="CX58" s="2"/>
      <c r="CY58" s="2"/>
      <c r="CZ58" s="2" t="s">
        <v>301</v>
      </c>
      <c r="DA58" s="2" t="s">
        <v>302</v>
      </c>
      <c r="DB58" s="1">
        <v>0</v>
      </c>
      <c r="DC58" s="2"/>
      <c r="DD58" s="2"/>
      <c r="DE58" s="2" t="s">
        <v>305</v>
      </c>
      <c r="DF58" s="2" t="s">
        <v>302</v>
      </c>
      <c r="DG58" s="1">
        <v>0</v>
      </c>
      <c r="DH58" s="2"/>
      <c r="DI58" s="2"/>
      <c r="DJ58" s="1">
        <v>0</v>
      </c>
      <c r="DK58" s="2"/>
      <c r="DL58" s="2" t="s">
        <v>299</v>
      </c>
      <c r="DM58" s="1">
        <v>0</v>
      </c>
      <c r="DN58" s="2"/>
      <c r="DO58" s="2"/>
      <c r="DP58" s="2" t="s">
        <v>294</v>
      </c>
      <c r="DQ58" s="2" t="s">
        <v>331</v>
      </c>
      <c r="DR58" s="1">
        <v>0</v>
      </c>
      <c r="DS58" s="2"/>
      <c r="DT58" s="2"/>
      <c r="DU58" s="2" t="s">
        <v>305</v>
      </c>
      <c r="DV58" s="2" t="s">
        <v>302</v>
      </c>
      <c r="DW58" s="1">
        <v>0</v>
      </c>
      <c r="DX58" s="2"/>
      <c r="DY58" s="2"/>
      <c r="DZ58" s="2"/>
      <c r="EA58" s="2"/>
      <c r="EB58" s="2" t="s">
        <v>296</v>
      </c>
      <c r="EC58" s="1">
        <v>0</v>
      </c>
      <c r="ED58" s="2"/>
      <c r="EE58" s="2" t="s">
        <v>303</v>
      </c>
      <c r="EF58" s="2" t="s">
        <v>331</v>
      </c>
      <c r="EG58" s="1">
        <v>0</v>
      </c>
      <c r="EH58" s="2"/>
      <c r="EI58" s="2"/>
      <c r="EJ58" s="2" t="s">
        <v>305</v>
      </c>
      <c r="EK58" s="2" t="s">
        <v>331</v>
      </c>
      <c r="EL58" s="1">
        <v>0</v>
      </c>
      <c r="EM58" s="2"/>
      <c r="EN58" s="2"/>
      <c r="EO58" s="2"/>
      <c r="EP58" s="1">
        <v>0</v>
      </c>
      <c r="EQ58" s="2"/>
      <c r="ER58" s="2" t="s">
        <v>296</v>
      </c>
      <c r="ES58" s="1">
        <v>0</v>
      </c>
      <c r="ET58" s="2"/>
      <c r="EU58" s="2"/>
      <c r="EV58" s="2"/>
      <c r="EW58" s="2"/>
      <c r="EX58" s="2"/>
      <c r="EY58" s="2"/>
      <c r="EZ58" s="2"/>
      <c r="FA58" s="2"/>
      <c r="FB58" s="1">
        <v>0</v>
      </c>
      <c r="FC58" s="2"/>
      <c r="FD58" s="2"/>
      <c r="FE58" s="2"/>
      <c r="FG58" s="2" t="s">
        <v>317</v>
      </c>
      <c r="FH58" s="2"/>
      <c r="FI58" s="2"/>
      <c r="FJ58" s="1">
        <v>-1</v>
      </c>
      <c r="FK58" s="1">
        <v>-1</v>
      </c>
      <c r="FL58" s="1">
        <v>-1</v>
      </c>
      <c r="FM58" s="1">
        <v>-1</v>
      </c>
      <c r="FN58" s="1">
        <v>-1</v>
      </c>
      <c r="FO58" s="1">
        <v>-1</v>
      </c>
      <c r="FP58" s="1">
        <v>-1</v>
      </c>
      <c r="FQ58" s="1">
        <v>-1</v>
      </c>
      <c r="FR58" s="1">
        <v>-1</v>
      </c>
      <c r="FS58" s="1">
        <v>-1</v>
      </c>
      <c r="FT58" s="1">
        <v>-1</v>
      </c>
      <c r="FU58" s="1">
        <v>-1</v>
      </c>
      <c r="FV58" s="1">
        <v>-1</v>
      </c>
      <c r="FW58" s="1">
        <v>-1</v>
      </c>
      <c r="FX58" s="1">
        <v>-1</v>
      </c>
      <c r="FY58" s="1">
        <v>-15</v>
      </c>
      <c r="FZ58" s="3"/>
      <c r="GA58" s="3"/>
      <c r="GB58" s="2"/>
      <c r="GC58" s="2" t="s">
        <v>320</v>
      </c>
      <c r="GD58" s="2" t="s">
        <v>277</v>
      </c>
      <c r="GE58" s="1">
        <v>15</v>
      </c>
      <c r="GF58" s="1">
        <v>15</v>
      </c>
      <c r="GG58" s="1">
        <v>56</v>
      </c>
      <c r="GH58" s="1">
        <v>28</v>
      </c>
      <c r="GI58" s="4"/>
    </row>
    <row r="59" spans="1:191" x14ac:dyDescent="0.25">
      <c r="A59" s="1">
        <v>147</v>
      </c>
      <c r="B59" s="18" t="s">
        <v>376</v>
      </c>
      <c r="C59" s="2" t="s">
        <v>353</v>
      </c>
      <c r="D59" s="2" t="s">
        <v>377</v>
      </c>
      <c r="E59" s="2" t="s">
        <v>281</v>
      </c>
      <c r="F59" s="2" t="s">
        <v>282</v>
      </c>
      <c r="G59" s="2" t="s">
        <v>281</v>
      </c>
      <c r="H59" s="2" t="s">
        <v>282</v>
      </c>
      <c r="I59" s="2" t="s">
        <v>282</v>
      </c>
      <c r="J59" s="2" t="s">
        <v>281</v>
      </c>
      <c r="K59" s="2" t="s">
        <v>282</v>
      </c>
      <c r="L59" s="2" t="s">
        <v>282</v>
      </c>
      <c r="M59" s="2" t="s">
        <v>282</v>
      </c>
      <c r="N59" s="1">
        <v>1</v>
      </c>
      <c r="O59" s="2" t="s">
        <v>402</v>
      </c>
      <c r="P59" s="2"/>
      <c r="Q59" s="2" t="s">
        <v>337</v>
      </c>
      <c r="R59" s="2"/>
      <c r="S59" s="2" t="s">
        <v>403</v>
      </c>
      <c r="T59" s="2"/>
      <c r="U59" s="2"/>
      <c r="V59" s="2" t="s">
        <v>350</v>
      </c>
      <c r="W59" s="1">
        <v>1</v>
      </c>
      <c r="X59" s="2" t="s">
        <v>374</v>
      </c>
      <c r="Y59" s="2"/>
      <c r="Z59" s="2" t="s">
        <v>303</v>
      </c>
      <c r="AA59" s="2" t="s">
        <v>331</v>
      </c>
      <c r="AB59" s="1">
        <v>0</v>
      </c>
      <c r="AC59" s="2"/>
      <c r="AD59" s="2"/>
      <c r="AE59" s="2" t="s">
        <v>298</v>
      </c>
      <c r="AF59" s="2" t="s">
        <v>331</v>
      </c>
      <c r="AG59" s="1">
        <v>0</v>
      </c>
      <c r="AH59" s="2"/>
      <c r="AI59" s="2"/>
      <c r="AJ59" s="1">
        <v>1</v>
      </c>
      <c r="AK59" s="2" t="s">
        <v>404</v>
      </c>
      <c r="AL59" s="2"/>
      <c r="AM59" s="2" t="s">
        <v>299</v>
      </c>
      <c r="AN59" s="1">
        <v>1</v>
      </c>
      <c r="AO59" s="2" t="s">
        <v>405</v>
      </c>
      <c r="AP59" s="2"/>
      <c r="AQ59" s="2" t="s">
        <v>294</v>
      </c>
      <c r="AR59" s="2" t="s">
        <v>297</v>
      </c>
      <c r="AS59" s="1">
        <v>1</v>
      </c>
      <c r="AT59" s="2" t="s">
        <v>287</v>
      </c>
      <c r="AU59" s="2"/>
      <c r="AV59" s="2" t="s">
        <v>288</v>
      </c>
      <c r="AW59" s="2" t="s">
        <v>339</v>
      </c>
      <c r="AX59" s="1">
        <v>1</v>
      </c>
      <c r="AY59" s="2" t="s">
        <v>287</v>
      </c>
      <c r="AZ59" s="2"/>
      <c r="BA59" s="1">
        <v>1</v>
      </c>
      <c r="BB59" s="2" t="s">
        <v>406</v>
      </c>
      <c r="BC59" s="2" t="s">
        <v>299</v>
      </c>
      <c r="BD59" s="2" t="s">
        <v>294</v>
      </c>
      <c r="BE59" s="2" t="s">
        <v>297</v>
      </c>
      <c r="BF59" s="1">
        <v>1</v>
      </c>
      <c r="BG59" s="2" t="s">
        <v>339</v>
      </c>
      <c r="BH59" s="2"/>
      <c r="BI59" s="2" t="s">
        <v>324</v>
      </c>
      <c r="BJ59" s="2" t="s">
        <v>297</v>
      </c>
      <c r="BK59" s="1">
        <v>1</v>
      </c>
      <c r="BL59" s="2" t="s">
        <v>339</v>
      </c>
      <c r="BM59" s="2"/>
      <c r="BN59" s="1">
        <v>1</v>
      </c>
      <c r="BO59" s="2" t="s">
        <v>407</v>
      </c>
      <c r="BP59" s="2" t="s">
        <v>296</v>
      </c>
      <c r="BQ59" s="1">
        <v>0</v>
      </c>
      <c r="BR59" s="2"/>
      <c r="BS59" s="2" t="s">
        <v>301</v>
      </c>
      <c r="BT59" s="2" t="s">
        <v>297</v>
      </c>
      <c r="BU59" s="1">
        <v>1</v>
      </c>
      <c r="BV59" s="2" t="s">
        <v>406</v>
      </c>
      <c r="BW59" s="2"/>
      <c r="BX59" s="2" t="s">
        <v>324</v>
      </c>
      <c r="BY59" s="2" t="s">
        <v>297</v>
      </c>
      <c r="BZ59" s="1">
        <v>1</v>
      </c>
      <c r="CA59" s="2" t="s">
        <v>302</v>
      </c>
      <c r="CB59" s="2"/>
      <c r="CC59" s="1">
        <v>1</v>
      </c>
      <c r="CD59" s="2" t="s">
        <v>408</v>
      </c>
      <c r="CE59" s="2" t="s">
        <v>299</v>
      </c>
      <c r="CF59" s="1">
        <v>1</v>
      </c>
      <c r="CG59" s="2" t="s">
        <v>409</v>
      </c>
      <c r="CH59" s="2"/>
      <c r="CI59" s="2" t="s">
        <v>294</v>
      </c>
      <c r="CJ59" s="2" t="s">
        <v>297</v>
      </c>
      <c r="CK59" s="1">
        <v>1</v>
      </c>
      <c r="CL59" s="2" t="s">
        <v>302</v>
      </c>
      <c r="CM59" s="2"/>
      <c r="CN59" s="2" t="s">
        <v>324</v>
      </c>
      <c r="CO59" s="2" t="s">
        <v>297</v>
      </c>
      <c r="CP59" s="1">
        <v>1</v>
      </c>
      <c r="CQ59" s="2" t="s">
        <v>387</v>
      </c>
      <c r="CR59" s="2"/>
      <c r="CS59" s="1">
        <v>1</v>
      </c>
      <c r="CT59" s="2" t="s">
        <v>406</v>
      </c>
      <c r="CU59" s="2" t="s">
        <v>299</v>
      </c>
      <c r="CV59" s="36">
        <f t="shared" si="0"/>
        <v>1</v>
      </c>
      <c r="CW59" s="1">
        <v>1</v>
      </c>
      <c r="CX59" s="2" t="s">
        <v>410</v>
      </c>
      <c r="CY59" s="2"/>
      <c r="CZ59" s="2" t="s">
        <v>294</v>
      </c>
      <c r="DA59" s="2" t="s">
        <v>302</v>
      </c>
      <c r="DB59" s="1">
        <v>1</v>
      </c>
      <c r="DC59" s="2"/>
      <c r="DD59" s="2" t="s">
        <v>387</v>
      </c>
      <c r="DE59" s="2" t="s">
        <v>305</v>
      </c>
      <c r="DF59" s="2" t="s">
        <v>302</v>
      </c>
      <c r="DG59" s="1">
        <v>1</v>
      </c>
      <c r="DH59" s="2" t="s">
        <v>387</v>
      </c>
      <c r="DI59" s="2"/>
      <c r="DJ59" s="1">
        <v>1</v>
      </c>
      <c r="DK59" s="2" t="s">
        <v>406</v>
      </c>
      <c r="DL59" s="2" t="s">
        <v>299</v>
      </c>
      <c r="DM59" s="1">
        <v>1</v>
      </c>
      <c r="DN59" s="2" t="s">
        <v>411</v>
      </c>
      <c r="DO59" s="2"/>
      <c r="DP59" s="2" t="s">
        <v>303</v>
      </c>
      <c r="DQ59" s="2" t="s">
        <v>331</v>
      </c>
      <c r="DR59" s="1">
        <v>1</v>
      </c>
      <c r="DS59" s="2" t="s">
        <v>406</v>
      </c>
      <c r="DT59" s="2"/>
      <c r="DU59" s="2" t="s">
        <v>298</v>
      </c>
      <c r="DV59" s="2" t="s">
        <v>331</v>
      </c>
      <c r="DW59" s="1">
        <v>1</v>
      </c>
      <c r="DX59" s="2" t="s">
        <v>302</v>
      </c>
      <c r="DY59" s="2"/>
      <c r="DZ59" s="2" t="s">
        <v>412</v>
      </c>
      <c r="EA59" s="2" t="s">
        <v>406</v>
      </c>
      <c r="EB59" s="2" t="s">
        <v>299</v>
      </c>
      <c r="EC59" s="1">
        <v>1</v>
      </c>
      <c r="ED59" s="2" t="s">
        <v>374</v>
      </c>
      <c r="EE59" s="2" t="s">
        <v>303</v>
      </c>
      <c r="EF59" s="2" t="s">
        <v>331</v>
      </c>
      <c r="EG59" s="1">
        <v>1</v>
      </c>
      <c r="EH59" s="2" t="s">
        <v>302</v>
      </c>
      <c r="EI59" s="2"/>
      <c r="EJ59" s="2" t="s">
        <v>298</v>
      </c>
      <c r="EK59" s="2" t="s">
        <v>331</v>
      </c>
      <c r="EL59" s="1">
        <v>1</v>
      </c>
      <c r="EM59" s="2" t="s">
        <v>302</v>
      </c>
      <c r="EN59" s="2"/>
      <c r="EO59" s="2" t="s">
        <v>413</v>
      </c>
      <c r="EP59" s="1">
        <v>1</v>
      </c>
      <c r="EQ59" s="2" t="s">
        <v>406</v>
      </c>
      <c r="ER59" s="2" t="s">
        <v>299</v>
      </c>
      <c r="ES59" s="1">
        <v>1</v>
      </c>
      <c r="ET59" s="2" t="s">
        <v>404</v>
      </c>
      <c r="EU59" s="2"/>
      <c r="EV59" s="2"/>
      <c r="EW59" s="2"/>
      <c r="EX59" s="2" t="s">
        <v>414</v>
      </c>
      <c r="EY59" s="2" t="s">
        <v>415</v>
      </c>
      <c r="EZ59" s="2" t="s">
        <v>339</v>
      </c>
      <c r="FA59" s="2" t="s">
        <v>416</v>
      </c>
      <c r="FB59" s="1">
        <v>2</v>
      </c>
      <c r="FC59" s="2" t="s">
        <v>417</v>
      </c>
      <c r="FD59" s="2" t="s">
        <v>418</v>
      </c>
      <c r="FE59" s="2"/>
      <c r="FG59" s="2" t="s">
        <v>317</v>
      </c>
      <c r="FH59" s="2" t="s">
        <v>419</v>
      </c>
      <c r="FI59" s="2" t="s">
        <v>420</v>
      </c>
      <c r="FJ59" s="1">
        <v>-1</v>
      </c>
      <c r="FK59" s="1">
        <v>-1</v>
      </c>
      <c r="FL59" s="1">
        <v>-1</v>
      </c>
      <c r="FM59" s="1">
        <v>-1</v>
      </c>
      <c r="FN59" s="1">
        <v>-1</v>
      </c>
      <c r="FO59" s="1">
        <v>-1</v>
      </c>
      <c r="FP59" s="1">
        <v>-1</v>
      </c>
      <c r="FQ59" s="1">
        <v>-1</v>
      </c>
      <c r="FR59" s="1">
        <v>-1</v>
      </c>
      <c r="FS59" s="1">
        <v>-1</v>
      </c>
      <c r="FT59" s="1">
        <v>-1</v>
      </c>
      <c r="FU59" s="1">
        <v>-1</v>
      </c>
      <c r="FV59" s="1">
        <v>-1</v>
      </c>
      <c r="FW59" s="1">
        <v>-1</v>
      </c>
      <c r="FX59" s="1">
        <v>-1</v>
      </c>
      <c r="FY59" s="1">
        <v>-15</v>
      </c>
      <c r="FZ59" s="3"/>
      <c r="GA59" s="3"/>
      <c r="GB59" s="2" t="s">
        <v>319</v>
      </c>
      <c r="GC59" s="2" t="s">
        <v>320</v>
      </c>
      <c r="GD59" s="2" t="s">
        <v>277</v>
      </c>
      <c r="GE59" s="1">
        <v>15</v>
      </c>
      <c r="GF59" s="1">
        <v>15</v>
      </c>
      <c r="GG59" s="1">
        <v>4</v>
      </c>
      <c r="GH59" s="1">
        <v>1</v>
      </c>
      <c r="GI59" s="4"/>
    </row>
    <row r="60" spans="1:191" s="50" customFormat="1" x14ac:dyDescent="0.25">
      <c r="A60" s="55">
        <v>215</v>
      </c>
      <c r="B60" s="56" t="s">
        <v>376</v>
      </c>
      <c r="C60" s="56" t="s">
        <v>353</v>
      </c>
      <c r="D60" s="56" t="s">
        <v>422</v>
      </c>
      <c r="E60" s="56" t="s">
        <v>282</v>
      </c>
      <c r="F60" s="56" t="s">
        <v>282</v>
      </c>
      <c r="G60" s="56" t="s">
        <v>281</v>
      </c>
      <c r="H60" s="56" t="s">
        <v>282</v>
      </c>
      <c r="I60" s="56" t="s">
        <v>282</v>
      </c>
      <c r="J60" s="56" t="s">
        <v>281</v>
      </c>
      <c r="K60" s="56" t="s">
        <v>282</v>
      </c>
      <c r="L60" s="56" t="s">
        <v>282</v>
      </c>
      <c r="M60" s="56" t="s">
        <v>282</v>
      </c>
      <c r="N60" s="55">
        <v>0</v>
      </c>
      <c r="O60" s="56"/>
      <c r="P60" s="56"/>
      <c r="Q60" s="56" t="s">
        <v>337</v>
      </c>
      <c r="R60" s="56"/>
      <c r="S60" s="50" t="s">
        <v>424</v>
      </c>
      <c r="T60" s="56"/>
      <c r="U60" s="56"/>
      <c r="V60" s="56" t="s">
        <v>350</v>
      </c>
      <c r="W60" s="55">
        <v>2</v>
      </c>
      <c r="X60" s="56" t="s">
        <v>453</v>
      </c>
      <c r="Y60" s="56" t="s">
        <v>365</v>
      </c>
      <c r="Z60" s="56" t="s">
        <v>303</v>
      </c>
      <c r="AA60" s="56" t="s">
        <v>302</v>
      </c>
      <c r="AB60" s="55">
        <v>0</v>
      </c>
      <c r="AC60" s="56"/>
      <c r="AD60" s="56"/>
      <c r="AE60" s="56" t="s">
        <v>305</v>
      </c>
      <c r="AF60" s="56" t="s">
        <v>287</v>
      </c>
      <c r="AG60" s="55">
        <v>0</v>
      </c>
      <c r="AH60" s="56"/>
      <c r="AI60" s="56"/>
      <c r="AJ60" s="55">
        <v>0</v>
      </c>
      <c r="AK60" s="56"/>
      <c r="AL60" s="56"/>
      <c r="AM60" s="56" t="s">
        <v>299</v>
      </c>
      <c r="AN60" s="55">
        <v>1</v>
      </c>
      <c r="AO60" s="56" t="s">
        <v>643</v>
      </c>
      <c r="AP60" s="56"/>
      <c r="AQ60" s="56" t="s">
        <v>301</v>
      </c>
      <c r="AR60" s="56" t="s">
        <v>287</v>
      </c>
      <c r="AS60" s="55">
        <v>0</v>
      </c>
      <c r="AT60" s="56"/>
      <c r="AU60" s="56"/>
      <c r="AV60" s="56" t="s">
        <v>324</v>
      </c>
      <c r="AW60" s="56" t="s">
        <v>287</v>
      </c>
      <c r="AX60" s="55">
        <v>0</v>
      </c>
      <c r="AY60" s="56"/>
      <c r="AZ60" s="56"/>
      <c r="BA60" s="55">
        <v>1</v>
      </c>
      <c r="BB60" s="56" t="s">
        <v>644</v>
      </c>
      <c r="BC60" s="56" t="s">
        <v>296</v>
      </c>
      <c r="BD60" s="56"/>
      <c r="BE60" s="56"/>
      <c r="BF60" s="55">
        <v>0</v>
      </c>
      <c r="BG60" s="56"/>
      <c r="BH60" s="56"/>
      <c r="BI60" s="56"/>
      <c r="BJ60" s="56"/>
      <c r="BK60" s="55">
        <v>0</v>
      </c>
      <c r="BL60" s="56"/>
      <c r="BM60" s="56"/>
      <c r="BN60" s="55">
        <v>0</v>
      </c>
      <c r="BO60" s="56"/>
      <c r="BP60" s="56"/>
      <c r="BQ60" s="55">
        <v>1</v>
      </c>
      <c r="BR60" s="56" t="s">
        <v>645</v>
      </c>
      <c r="BS60" s="56" t="s">
        <v>310</v>
      </c>
      <c r="BT60" s="56" t="s">
        <v>297</v>
      </c>
      <c r="BU60" s="55">
        <v>0</v>
      </c>
      <c r="BV60" s="56"/>
      <c r="BW60" s="56"/>
      <c r="BX60" s="56" t="s">
        <v>324</v>
      </c>
      <c r="BY60" s="56" t="s">
        <v>339</v>
      </c>
      <c r="BZ60" s="55">
        <v>0</v>
      </c>
      <c r="CA60" s="56"/>
      <c r="CB60" s="56"/>
      <c r="CC60" s="55">
        <v>1</v>
      </c>
      <c r="CD60" s="56" t="s">
        <v>646</v>
      </c>
      <c r="CE60" s="56" t="s">
        <v>296</v>
      </c>
      <c r="CF60" s="55">
        <v>1</v>
      </c>
      <c r="CG60" s="56" t="s">
        <v>647</v>
      </c>
      <c r="CH60" s="56"/>
      <c r="CI60" s="56" t="s">
        <v>303</v>
      </c>
      <c r="CJ60" s="56" t="s">
        <v>297</v>
      </c>
      <c r="CK60" s="55">
        <v>0</v>
      </c>
      <c r="CL60" s="56"/>
      <c r="CM60" s="56"/>
      <c r="CN60" s="56" t="s">
        <v>305</v>
      </c>
      <c r="CO60" s="56" t="s">
        <v>500</v>
      </c>
      <c r="CP60" s="55">
        <v>0</v>
      </c>
      <c r="CQ60" s="56"/>
      <c r="CR60" s="56"/>
      <c r="CS60" s="55">
        <v>0</v>
      </c>
      <c r="CT60" s="56"/>
      <c r="CU60" s="56" t="s">
        <v>296</v>
      </c>
      <c r="CV60" s="36">
        <f t="shared" si="0"/>
        <v>1</v>
      </c>
      <c r="CW60" s="55">
        <v>1</v>
      </c>
      <c r="CX60" s="56" t="s">
        <v>648</v>
      </c>
      <c r="CY60" s="56"/>
      <c r="CZ60" s="56" t="s">
        <v>303</v>
      </c>
      <c r="DA60" s="56" t="s">
        <v>302</v>
      </c>
      <c r="DB60" s="55">
        <v>0</v>
      </c>
      <c r="DC60" s="56"/>
      <c r="DD60" s="56"/>
      <c r="DE60" s="56" t="s">
        <v>305</v>
      </c>
      <c r="DF60" s="56" t="s">
        <v>302</v>
      </c>
      <c r="DG60" s="55">
        <v>0</v>
      </c>
      <c r="DH60" s="56"/>
      <c r="DI60" s="56"/>
      <c r="DJ60" s="55">
        <v>0</v>
      </c>
      <c r="DK60" s="56"/>
      <c r="DL60" s="56" t="s">
        <v>299</v>
      </c>
      <c r="DM60" s="55">
        <v>1</v>
      </c>
      <c r="DN60" s="56" t="s">
        <v>362</v>
      </c>
      <c r="DO60" s="56"/>
      <c r="DP60" s="56" t="s">
        <v>303</v>
      </c>
      <c r="DQ60" s="56" t="s">
        <v>331</v>
      </c>
      <c r="DR60" s="55">
        <v>0</v>
      </c>
      <c r="DS60" s="56"/>
      <c r="DT60" s="56"/>
      <c r="DU60" s="56" t="s">
        <v>298</v>
      </c>
      <c r="DV60" s="56" t="s">
        <v>331</v>
      </c>
      <c r="DW60" s="55">
        <v>0</v>
      </c>
      <c r="DX60" s="56"/>
      <c r="DY60" s="56"/>
      <c r="DZ60" s="56" t="s">
        <v>649</v>
      </c>
      <c r="EA60" s="56"/>
      <c r="EB60" s="56" t="s">
        <v>296</v>
      </c>
      <c r="EC60" s="55">
        <v>1</v>
      </c>
      <c r="ED60" s="56" t="s">
        <v>650</v>
      </c>
      <c r="EE60" s="56" t="s">
        <v>303</v>
      </c>
      <c r="EF60" s="56" t="s">
        <v>331</v>
      </c>
      <c r="EG60" s="55">
        <v>0</v>
      </c>
      <c r="EH60" s="56"/>
      <c r="EI60" s="56"/>
      <c r="EJ60" s="56" t="s">
        <v>305</v>
      </c>
      <c r="EK60" s="56" t="s">
        <v>331</v>
      </c>
      <c r="EL60" s="55">
        <v>0</v>
      </c>
      <c r="EM60" s="56"/>
      <c r="EN60" s="56"/>
      <c r="EO60" s="56" t="s">
        <v>651</v>
      </c>
      <c r="EP60" s="55">
        <v>0</v>
      </c>
      <c r="EQ60" s="56"/>
      <c r="ER60" s="56" t="s">
        <v>296</v>
      </c>
      <c r="ES60" s="55">
        <v>0</v>
      </c>
      <c r="ET60" s="56"/>
      <c r="EU60" s="56"/>
      <c r="EV60" s="56"/>
      <c r="EW60" s="56"/>
      <c r="EX60" s="56"/>
      <c r="EY60" s="56"/>
      <c r="EZ60" s="56"/>
      <c r="FA60" s="56"/>
      <c r="FB60" s="55">
        <v>0</v>
      </c>
      <c r="FC60" s="56"/>
      <c r="FD60" s="56"/>
      <c r="FE60" s="56"/>
      <c r="FG60" s="56" t="s">
        <v>351</v>
      </c>
      <c r="FH60" s="56"/>
      <c r="FI60" s="56"/>
      <c r="FJ60" s="55">
        <v>-1</v>
      </c>
      <c r="FK60" s="55">
        <v>-1</v>
      </c>
      <c r="FL60" s="55">
        <v>-1</v>
      </c>
      <c r="FM60" s="55">
        <v>-1</v>
      </c>
      <c r="FN60" s="55">
        <v>-1</v>
      </c>
      <c r="FO60" s="55">
        <v>-1</v>
      </c>
      <c r="FP60" s="55">
        <v>-1</v>
      </c>
      <c r="FQ60" s="55">
        <v>-1</v>
      </c>
      <c r="FR60" s="55">
        <v>-1</v>
      </c>
      <c r="FS60" s="55">
        <v>-1</v>
      </c>
      <c r="FT60" s="55">
        <v>-1</v>
      </c>
      <c r="FU60" s="55">
        <v>-1</v>
      </c>
      <c r="FV60" s="55">
        <v>-1</v>
      </c>
      <c r="FW60" s="55">
        <v>-1</v>
      </c>
      <c r="FX60" s="55">
        <v>-1</v>
      </c>
      <c r="FY60" s="55">
        <v>-15</v>
      </c>
      <c r="FZ60" s="57"/>
      <c r="GA60" s="57"/>
      <c r="GB60" s="56" t="s">
        <v>319</v>
      </c>
      <c r="GC60" s="56" t="s">
        <v>320</v>
      </c>
      <c r="GD60" s="56" t="s">
        <v>277</v>
      </c>
      <c r="GE60" s="55">
        <v>15</v>
      </c>
      <c r="GF60" s="55">
        <v>15</v>
      </c>
      <c r="GG60" s="55">
        <v>40</v>
      </c>
      <c r="GH60" s="55">
        <v>16</v>
      </c>
      <c r="GI60" s="58"/>
    </row>
    <row r="61" spans="1:191" s="10" customFormat="1" x14ac:dyDescent="0.25">
      <c r="A61" s="32">
        <v>216</v>
      </c>
      <c r="B61" s="11" t="s">
        <v>376</v>
      </c>
      <c r="C61" s="11" t="s">
        <v>279</v>
      </c>
      <c r="D61" s="11" t="s">
        <v>320</v>
      </c>
      <c r="E61" s="11" t="s">
        <v>282</v>
      </c>
      <c r="F61" s="11" t="s">
        <v>282</v>
      </c>
      <c r="G61" s="11" t="s">
        <v>282</v>
      </c>
      <c r="H61" s="11" t="s">
        <v>282</v>
      </c>
      <c r="I61" s="11" t="s">
        <v>282</v>
      </c>
      <c r="J61" s="11" t="s">
        <v>281</v>
      </c>
      <c r="K61" s="11" t="s">
        <v>282</v>
      </c>
      <c r="L61" s="11" t="s">
        <v>282</v>
      </c>
      <c r="M61" s="11" t="s">
        <v>282</v>
      </c>
      <c r="N61" s="32">
        <v>0</v>
      </c>
      <c r="O61" s="11"/>
      <c r="P61" s="11"/>
      <c r="Q61" s="11" t="s">
        <v>423</v>
      </c>
      <c r="R61" s="11"/>
      <c r="S61" s="11"/>
      <c r="T61" s="11"/>
      <c r="U61" s="10" t="s">
        <v>652</v>
      </c>
      <c r="V61" s="11" t="s">
        <v>437</v>
      </c>
      <c r="W61" s="32">
        <v>0</v>
      </c>
      <c r="X61" s="11"/>
      <c r="Y61" s="11"/>
      <c r="Z61" s="11"/>
      <c r="AA61" s="11"/>
      <c r="AB61" s="32">
        <v>0</v>
      </c>
      <c r="AC61" s="11"/>
      <c r="AD61" s="11"/>
      <c r="AE61" s="11"/>
      <c r="AF61" s="11"/>
      <c r="AG61" s="32">
        <v>0</v>
      </c>
      <c r="AH61" s="11"/>
      <c r="AI61" s="11"/>
      <c r="AJ61" s="32">
        <v>0</v>
      </c>
      <c r="AK61" s="11"/>
      <c r="AL61" s="11"/>
      <c r="AM61" s="11"/>
      <c r="AN61" s="32">
        <v>0</v>
      </c>
      <c r="AO61" s="11"/>
      <c r="AP61" s="11"/>
      <c r="AQ61" s="11"/>
      <c r="AR61" s="11"/>
      <c r="AS61" s="32">
        <v>0</v>
      </c>
      <c r="AT61" s="11"/>
      <c r="AU61" s="11"/>
      <c r="AV61" s="11"/>
      <c r="AW61" s="11"/>
      <c r="AX61" s="32">
        <v>0</v>
      </c>
      <c r="AY61" s="11"/>
      <c r="AZ61" s="11"/>
      <c r="BA61" s="32">
        <v>0</v>
      </c>
      <c r="BB61" s="11"/>
      <c r="BC61" s="11"/>
      <c r="BD61" s="11" t="s">
        <v>294</v>
      </c>
      <c r="BE61" s="11" t="s">
        <v>297</v>
      </c>
      <c r="BF61" s="32">
        <v>0</v>
      </c>
      <c r="BG61" s="11"/>
      <c r="BH61" s="11"/>
      <c r="BI61" s="11" t="s">
        <v>324</v>
      </c>
      <c r="BJ61" s="11" t="s">
        <v>297</v>
      </c>
      <c r="BK61" s="32">
        <v>0</v>
      </c>
      <c r="BL61" s="11"/>
      <c r="BM61" s="11"/>
      <c r="BN61" s="32">
        <v>1</v>
      </c>
      <c r="BO61" s="11" t="s">
        <v>653</v>
      </c>
      <c r="BP61" s="11" t="s">
        <v>299</v>
      </c>
      <c r="BQ61" s="32">
        <v>1</v>
      </c>
      <c r="BR61" s="11" t="s">
        <v>654</v>
      </c>
      <c r="BS61" s="11" t="s">
        <v>294</v>
      </c>
      <c r="BT61" s="11" t="s">
        <v>297</v>
      </c>
      <c r="BU61" s="32">
        <v>0</v>
      </c>
      <c r="BV61" s="11"/>
      <c r="BW61" s="11"/>
      <c r="BX61" s="11" t="s">
        <v>324</v>
      </c>
      <c r="BY61" s="11" t="s">
        <v>287</v>
      </c>
      <c r="BZ61" s="32">
        <v>0</v>
      </c>
      <c r="CA61" s="11"/>
      <c r="CB61" s="11"/>
      <c r="CC61" s="32">
        <v>0</v>
      </c>
      <c r="CD61" s="11"/>
      <c r="CE61" s="11" t="s">
        <v>296</v>
      </c>
      <c r="CF61" s="32">
        <v>1</v>
      </c>
      <c r="CG61" s="11" t="s">
        <v>359</v>
      </c>
      <c r="CH61" s="11"/>
      <c r="CI61" s="11" t="s">
        <v>303</v>
      </c>
      <c r="CJ61" s="11" t="s">
        <v>297</v>
      </c>
      <c r="CK61" s="32">
        <v>0</v>
      </c>
      <c r="CL61" s="11"/>
      <c r="CM61" s="11"/>
      <c r="CN61" s="11" t="s">
        <v>305</v>
      </c>
      <c r="CO61" s="11" t="s">
        <v>297</v>
      </c>
      <c r="CP61" s="32">
        <v>0</v>
      </c>
      <c r="CQ61" s="11"/>
      <c r="CR61" s="11"/>
      <c r="CS61" s="32">
        <v>0</v>
      </c>
      <c r="CT61" s="11"/>
      <c r="CU61" s="11" t="s">
        <v>299</v>
      </c>
      <c r="CV61" s="36">
        <f t="shared" si="0"/>
        <v>0</v>
      </c>
      <c r="CW61" s="32">
        <v>1</v>
      </c>
      <c r="CX61" s="11" t="s">
        <v>655</v>
      </c>
      <c r="CY61" s="11"/>
      <c r="CZ61" s="11" t="s">
        <v>303</v>
      </c>
      <c r="DA61" s="11" t="s">
        <v>297</v>
      </c>
      <c r="DB61" s="32">
        <v>0</v>
      </c>
      <c r="DC61" s="11"/>
      <c r="DD61" s="11"/>
      <c r="DE61" s="11" t="s">
        <v>298</v>
      </c>
      <c r="DF61" s="11" t="s">
        <v>297</v>
      </c>
      <c r="DG61" s="32">
        <v>0</v>
      </c>
      <c r="DH61" s="11"/>
      <c r="DI61" s="11"/>
      <c r="DJ61" s="32">
        <v>0</v>
      </c>
      <c r="DK61" s="11"/>
      <c r="DL61" s="11" t="s">
        <v>296</v>
      </c>
      <c r="DM61" s="32">
        <v>1</v>
      </c>
      <c r="DN61" s="11" t="s">
        <v>603</v>
      </c>
      <c r="DO61" s="11"/>
      <c r="DP61" s="11" t="s">
        <v>303</v>
      </c>
      <c r="DQ61" s="11" t="s">
        <v>331</v>
      </c>
      <c r="DR61" s="32">
        <v>0</v>
      </c>
      <c r="DS61" s="11"/>
      <c r="DT61" s="11"/>
      <c r="DU61" s="11" t="s">
        <v>298</v>
      </c>
      <c r="DV61" s="11" t="s">
        <v>331</v>
      </c>
      <c r="DW61" s="32">
        <v>0</v>
      </c>
      <c r="DX61" s="11"/>
      <c r="DY61" s="11"/>
      <c r="DZ61" s="11" t="s">
        <v>656</v>
      </c>
      <c r="EA61" s="11"/>
      <c r="EB61" s="11" t="s">
        <v>296</v>
      </c>
      <c r="EC61" s="32">
        <v>1</v>
      </c>
      <c r="ED61" s="11" t="s">
        <v>374</v>
      </c>
      <c r="EE61" s="11" t="s">
        <v>303</v>
      </c>
      <c r="EF61" s="11" t="s">
        <v>331</v>
      </c>
      <c r="EG61" s="32">
        <v>0</v>
      </c>
      <c r="EH61" s="11"/>
      <c r="EI61" s="11"/>
      <c r="EJ61" s="11" t="s">
        <v>305</v>
      </c>
      <c r="EK61" s="11" t="s">
        <v>331</v>
      </c>
      <c r="EL61" s="32">
        <v>0</v>
      </c>
      <c r="EM61" s="11"/>
      <c r="EN61" s="11"/>
      <c r="EO61" s="11"/>
      <c r="EP61" s="32">
        <v>0</v>
      </c>
      <c r="EQ61" s="11"/>
      <c r="ER61" s="11" t="s">
        <v>299</v>
      </c>
      <c r="ES61" s="32">
        <v>0</v>
      </c>
      <c r="ET61" s="11"/>
      <c r="EU61" s="11"/>
      <c r="EV61" s="11"/>
      <c r="EW61" s="11"/>
      <c r="EX61" s="11" t="s">
        <v>370</v>
      </c>
      <c r="EY61" s="11" t="s">
        <v>657</v>
      </c>
      <c r="EZ61" s="11"/>
      <c r="FA61" s="11"/>
      <c r="FB61" s="32">
        <v>0</v>
      </c>
      <c r="FC61" s="11"/>
      <c r="FD61" s="11"/>
      <c r="FE61" s="11"/>
      <c r="FG61" s="11" t="s">
        <v>351</v>
      </c>
      <c r="FH61" s="11" t="s">
        <v>658</v>
      </c>
      <c r="FI61" s="11"/>
      <c r="FJ61" s="32">
        <v>-1</v>
      </c>
      <c r="FK61" s="32">
        <v>-1</v>
      </c>
      <c r="FL61" s="32">
        <v>-1</v>
      </c>
      <c r="FM61" s="32">
        <v>-1</v>
      </c>
      <c r="FN61" s="32">
        <v>-1</v>
      </c>
      <c r="FO61" s="32">
        <v>-1</v>
      </c>
      <c r="FP61" s="32">
        <v>-1</v>
      </c>
      <c r="FQ61" s="32">
        <v>-1</v>
      </c>
      <c r="FR61" s="32">
        <v>-1</v>
      </c>
      <c r="FS61" s="32">
        <v>-1</v>
      </c>
      <c r="FT61" s="32">
        <v>-1</v>
      </c>
      <c r="FU61" s="32">
        <v>-1</v>
      </c>
      <c r="FV61" s="32">
        <v>-1</v>
      </c>
      <c r="FW61" s="32">
        <v>-1</v>
      </c>
      <c r="FX61" s="32">
        <v>-1</v>
      </c>
      <c r="FY61" s="32">
        <v>-15</v>
      </c>
      <c r="FZ61" s="33"/>
      <c r="GA61" s="33"/>
      <c r="GB61" s="11" t="s">
        <v>319</v>
      </c>
      <c r="GC61" s="11" t="s">
        <v>320</v>
      </c>
      <c r="GD61" s="11" t="s">
        <v>277</v>
      </c>
      <c r="GE61" s="32">
        <v>15</v>
      </c>
      <c r="GF61" s="32">
        <v>15</v>
      </c>
      <c r="GG61" s="32">
        <v>48</v>
      </c>
      <c r="GH61" s="32">
        <v>27</v>
      </c>
      <c r="GI61" s="34"/>
    </row>
    <row r="62" spans="1:191" s="10" customFormat="1" x14ac:dyDescent="0.25">
      <c r="A62" s="32">
        <v>217</v>
      </c>
      <c r="B62" s="11" t="s">
        <v>376</v>
      </c>
      <c r="C62" s="11" t="s">
        <v>353</v>
      </c>
      <c r="D62" s="11" t="s">
        <v>320</v>
      </c>
      <c r="E62" s="11" t="s">
        <v>282</v>
      </c>
      <c r="F62" s="11" t="s">
        <v>282</v>
      </c>
      <c r="G62" s="11" t="s">
        <v>282</v>
      </c>
      <c r="H62" s="11" t="s">
        <v>282</v>
      </c>
      <c r="I62" s="11" t="s">
        <v>282</v>
      </c>
      <c r="J62" s="11" t="s">
        <v>281</v>
      </c>
      <c r="K62" s="11" t="s">
        <v>282</v>
      </c>
      <c r="L62" s="11" t="s">
        <v>282</v>
      </c>
      <c r="M62" s="11" t="s">
        <v>282</v>
      </c>
      <c r="N62" s="32">
        <v>0</v>
      </c>
      <c r="O62" s="11"/>
      <c r="P62" s="11"/>
      <c r="Q62" s="11" t="s">
        <v>423</v>
      </c>
      <c r="R62" s="11"/>
      <c r="S62" s="11"/>
      <c r="T62" s="11"/>
      <c r="U62" s="10" t="s">
        <v>652</v>
      </c>
      <c r="V62" s="11" t="s">
        <v>437</v>
      </c>
      <c r="W62" s="32">
        <v>1</v>
      </c>
      <c r="X62" s="11" t="s">
        <v>374</v>
      </c>
      <c r="Y62" s="11"/>
      <c r="Z62" s="11" t="s">
        <v>294</v>
      </c>
      <c r="AA62" s="11" t="s">
        <v>302</v>
      </c>
      <c r="AB62" s="32">
        <v>0</v>
      </c>
      <c r="AC62" s="11"/>
      <c r="AD62" s="11"/>
      <c r="AE62" s="11" t="s">
        <v>305</v>
      </c>
      <c r="AF62" s="11" t="s">
        <v>302</v>
      </c>
      <c r="AG62" s="32">
        <v>0</v>
      </c>
      <c r="AH62" s="11"/>
      <c r="AI62" s="11"/>
      <c r="AJ62" s="32">
        <v>0</v>
      </c>
      <c r="AK62" s="11"/>
      <c r="AL62" s="11"/>
      <c r="AM62" s="11" t="s">
        <v>299</v>
      </c>
      <c r="AN62" s="32">
        <v>0</v>
      </c>
      <c r="AO62" s="11"/>
      <c r="AP62" s="11"/>
      <c r="AQ62" s="11" t="s">
        <v>301</v>
      </c>
      <c r="AR62" s="11" t="s">
        <v>297</v>
      </c>
      <c r="AS62" s="32">
        <v>0</v>
      </c>
      <c r="AT62" s="11"/>
      <c r="AU62" s="11"/>
      <c r="AV62" s="11" t="s">
        <v>288</v>
      </c>
      <c r="AW62" s="11" t="s">
        <v>302</v>
      </c>
      <c r="AX62" s="32">
        <v>0</v>
      </c>
      <c r="AY62" s="11"/>
      <c r="AZ62" s="11"/>
      <c r="BA62" s="32">
        <v>0</v>
      </c>
      <c r="BB62" s="11"/>
      <c r="BC62" s="11" t="s">
        <v>299</v>
      </c>
      <c r="BD62" s="11" t="s">
        <v>294</v>
      </c>
      <c r="BE62" s="11" t="s">
        <v>297</v>
      </c>
      <c r="BF62" s="32">
        <v>0</v>
      </c>
      <c r="BG62" s="11"/>
      <c r="BH62" s="11"/>
      <c r="BI62" s="11" t="s">
        <v>324</v>
      </c>
      <c r="BJ62" s="11" t="s">
        <v>339</v>
      </c>
      <c r="BK62" s="32">
        <v>0</v>
      </c>
      <c r="BL62" s="11"/>
      <c r="BM62" s="11"/>
      <c r="BN62" s="32">
        <v>1</v>
      </c>
      <c r="BO62" s="11" t="s">
        <v>653</v>
      </c>
      <c r="BP62" s="11" t="s">
        <v>299</v>
      </c>
      <c r="BQ62" s="32">
        <v>1</v>
      </c>
      <c r="BR62" s="11" t="s">
        <v>659</v>
      </c>
      <c r="BS62" s="11" t="s">
        <v>294</v>
      </c>
      <c r="BT62" s="11" t="s">
        <v>297</v>
      </c>
      <c r="BU62" s="32">
        <v>0</v>
      </c>
      <c r="BV62" s="11"/>
      <c r="BW62" s="11"/>
      <c r="BX62" s="11" t="s">
        <v>288</v>
      </c>
      <c r="BY62" s="11" t="s">
        <v>287</v>
      </c>
      <c r="BZ62" s="32">
        <v>0</v>
      </c>
      <c r="CA62" s="11"/>
      <c r="CB62" s="11"/>
      <c r="CC62" s="32">
        <v>0</v>
      </c>
      <c r="CD62" s="11"/>
      <c r="CE62" s="11" t="s">
        <v>296</v>
      </c>
      <c r="CF62" s="32">
        <v>1</v>
      </c>
      <c r="CG62" s="11" t="s">
        <v>359</v>
      </c>
      <c r="CH62" s="11"/>
      <c r="CI62" s="11" t="s">
        <v>303</v>
      </c>
      <c r="CJ62" s="11" t="s">
        <v>297</v>
      </c>
      <c r="CK62" s="32">
        <v>0</v>
      </c>
      <c r="CL62" s="11"/>
      <c r="CM62" s="11"/>
      <c r="CN62" s="11" t="s">
        <v>305</v>
      </c>
      <c r="CO62" s="11" t="s">
        <v>287</v>
      </c>
      <c r="CP62" s="32">
        <v>0</v>
      </c>
      <c r="CQ62" s="11"/>
      <c r="CR62" s="11"/>
      <c r="CS62" s="32">
        <v>0</v>
      </c>
      <c r="CT62" s="11"/>
      <c r="CU62" s="11" t="s">
        <v>299</v>
      </c>
      <c r="CV62" s="36">
        <f t="shared" si="0"/>
        <v>0</v>
      </c>
      <c r="CW62" s="32">
        <v>1</v>
      </c>
      <c r="CX62" s="11" t="s">
        <v>660</v>
      </c>
      <c r="CY62" s="11"/>
      <c r="CZ62" s="11" t="s">
        <v>310</v>
      </c>
      <c r="DA62" s="11" t="s">
        <v>297</v>
      </c>
      <c r="DB62" s="32">
        <v>0</v>
      </c>
      <c r="DC62" s="11"/>
      <c r="DD62" s="11"/>
      <c r="DE62" s="11" t="s">
        <v>324</v>
      </c>
      <c r="DF62" s="11" t="s">
        <v>287</v>
      </c>
      <c r="DG62" s="32">
        <v>0</v>
      </c>
      <c r="DH62" s="11"/>
      <c r="DI62" s="11"/>
      <c r="DJ62" s="32">
        <v>0</v>
      </c>
      <c r="DK62" s="11"/>
      <c r="DL62" s="11" t="s">
        <v>296</v>
      </c>
      <c r="DM62" s="32">
        <v>1</v>
      </c>
      <c r="DN62" s="11" t="s">
        <v>603</v>
      </c>
      <c r="DO62" s="11"/>
      <c r="DP62" s="11" t="s">
        <v>303</v>
      </c>
      <c r="DQ62" s="11" t="s">
        <v>331</v>
      </c>
      <c r="DR62" s="32">
        <v>0</v>
      </c>
      <c r="DS62" s="11"/>
      <c r="DT62" s="11"/>
      <c r="DU62" s="11" t="s">
        <v>298</v>
      </c>
      <c r="DV62" s="11" t="s">
        <v>331</v>
      </c>
      <c r="DW62" s="32">
        <v>0</v>
      </c>
      <c r="DX62" s="11"/>
      <c r="DY62" s="11"/>
      <c r="DZ62" s="11" t="s">
        <v>656</v>
      </c>
      <c r="EA62" s="11"/>
      <c r="EB62" s="11" t="s">
        <v>296</v>
      </c>
      <c r="EC62" s="32">
        <v>1</v>
      </c>
      <c r="ED62" s="11" t="s">
        <v>374</v>
      </c>
      <c r="EE62" s="11" t="s">
        <v>303</v>
      </c>
      <c r="EF62" s="11" t="s">
        <v>331</v>
      </c>
      <c r="EG62" s="32">
        <v>0</v>
      </c>
      <c r="EH62" s="11"/>
      <c r="EI62" s="11"/>
      <c r="EJ62" s="11" t="s">
        <v>305</v>
      </c>
      <c r="EK62" s="11" t="s">
        <v>331</v>
      </c>
      <c r="EL62" s="32">
        <v>0</v>
      </c>
      <c r="EM62" s="11"/>
      <c r="EN62" s="11"/>
      <c r="EO62" s="11"/>
      <c r="EP62" s="32">
        <v>0</v>
      </c>
      <c r="EQ62" s="11"/>
      <c r="ER62" s="11" t="s">
        <v>299</v>
      </c>
      <c r="ES62" s="32">
        <v>0</v>
      </c>
      <c r="ET62" s="11"/>
      <c r="EU62" s="11"/>
      <c r="EV62" s="11"/>
      <c r="EW62" s="11"/>
      <c r="EX62" s="11" t="s">
        <v>397</v>
      </c>
      <c r="EY62" s="11" t="s">
        <v>661</v>
      </c>
      <c r="EZ62" s="11"/>
      <c r="FA62" s="11"/>
      <c r="FB62" s="32">
        <v>0</v>
      </c>
      <c r="FC62" s="11"/>
      <c r="FD62" s="11"/>
      <c r="FE62" s="11"/>
      <c r="FG62" s="11" t="s">
        <v>351</v>
      </c>
      <c r="FH62" s="11" t="s">
        <v>662</v>
      </c>
      <c r="FI62" s="11"/>
      <c r="FJ62" s="32">
        <v>-1</v>
      </c>
      <c r="FK62" s="32">
        <v>-1</v>
      </c>
      <c r="FL62" s="32">
        <v>-1</v>
      </c>
      <c r="FM62" s="32">
        <v>-1</v>
      </c>
      <c r="FN62" s="32">
        <v>-1</v>
      </c>
      <c r="FO62" s="32">
        <v>-1</v>
      </c>
      <c r="FP62" s="32">
        <v>-1</v>
      </c>
      <c r="FQ62" s="32">
        <v>-1</v>
      </c>
      <c r="FR62" s="32">
        <v>-1</v>
      </c>
      <c r="FS62" s="32">
        <v>-1</v>
      </c>
      <c r="FT62" s="32">
        <v>-1</v>
      </c>
      <c r="FU62" s="32">
        <v>-1</v>
      </c>
      <c r="FV62" s="32">
        <v>-1</v>
      </c>
      <c r="FW62" s="32">
        <v>-1</v>
      </c>
      <c r="FX62" s="32">
        <v>-1</v>
      </c>
      <c r="FY62" s="32">
        <v>-15</v>
      </c>
      <c r="FZ62" s="33"/>
      <c r="GA62" s="33"/>
      <c r="GB62" s="11" t="s">
        <v>319</v>
      </c>
      <c r="GC62" s="11" t="s">
        <v>320</v>
      </c>
      <c r="GD62" s="11" t="s">
        <v>277</v>
      </c>
      <c r="GE62" s="32">
        <v>15</v>
      </c>
      <c r="GF62" s="32">
        <v>15</v>
      </c>
      <c r="GG62" s="32">
        <v>36</v>
      </c>
      <c r="GH62" s="32">
        <v>9</v>
      </c>
      <c r="GI62" s="34"/>
    </row>
    <row r="63" spans="1:191" s="10" customFormat="1" x14ac:dyDescent="0.25">
      <c r="A63" s="32">
        <v>221</v>
      </c>
      <c r="B63" s="11" t="s">
        <v>376</v>
      </c>
      <c r="C63" s="11" t="s">
        <v>353</v>
      </c>
      <c r="D63" s="11" t="s">
        <v>422</v>
      </c>
      <c r="E63" s="11" t="s">
        <v>282</v>
      </c>
      <c r="F63" s="11" t="s">
        <v>281</v>
      </c>
      <c r="G63" s="11" t="s">
        <v>282</v>
      </c>
      <c r="H63" s="11" t="s">
        <v>282</v>
      </c>
      <c r="I63" s="11" t="s">
        <v>282</v>
      </c>
      <c r="J63" s="11" t="s">
        <v>281</v>
      </c>
      <c r="K63" s="11" t="s">
        <v>282</v>
      </c>
      <c r="L63" s="11" t="s">
        <v>282</v>
      </c>
      <c r="M63" s="11" t="s">
        <v>282</v>
      </c>
      <c r="N63" s="32">
        <v>0</v>
      </c>
      <c r="O63" s="11"/>
      <c r="P63" s="11"/>
      <c r="Q63" s="11" t="s">
        <v>423</v>
      </c>
      <c r="R63" s="11"/>
      <c r="S63" s="11"/>
      <c r="T63" s="11"/>
      <c r="U63" s="10" t="s">
        <v>463</v>
      </c>
      <c r="V63" s="11" t="s">
        <v>437</v>
      </c>
      <c r="W63" s="32">
        <v>1</v>
      </c>
      <c r="X63" s="11" t="s">
        <v>585</v>
      </c>
      <c r="Y63" s="11"/>
      <c r="Z63" s="11" t="s">
        <v>310</v>
      </c>
      <c r="AA63" s="11" t="s">
        <v>297</v>
      </c>
      <c r="AB63" s="32">
        <v>0</v>
      </c>
      <c r="AC63" s="11"/>
      <c r="AD63" s="11"/>
      <c r="AE63" s="11" t="s">
        <v>288</v>
      </c>
      <c r="AF63" s="11" t="s">
        <v>302</v>
      </c>
      <c r="AG63" s="32">
        <v>0</v>
      </c>
      <c r="AH63" s="11"/>
      <c r="AI63" s="11"/>
      <c r="AJ63" s="32">
        <v>1</v>
      </c>
      <c r="AK63" s="11" t="s">
        <v>666</v>
      </c>
      <c r="AL63" s="11"/>
      <c r="AM63" s="11" t="s">
        <v>292</v>
      </c>
      <c r="AN63" s="32">
        <v>0</v>
      </c>
      <c r="AO63" s="11"/>
      <c r="AP63" s="11"/>
      <c r="AQ63" s="11"/>
      <c r="AR63" s="11"/>
      <c r="AS63" s="32">
        <v>0</v>
      </c>
      <c r="AT63" s="11"/>
      <c r="AU63" s="11"/>
      <c r="AV63" s="11"/>
      <c r="AW63" s="11"/>
      <c r="AX63" s="32">
        <v>0</v>
      </c>
      <c r="AY63" s="11"/>
      <c r="AZ63" s="11"/>
      <c r="BA63" s="32">
        <v>0</v>
      </c>
      <c r="BB63" s="11"/>
      <c r="BC63" s="11"/>
      <c r="BD63" s="11"/>
      <c r="BE63" s="11"/>
      <c r="BF63" s="32">
        <v>0</v>
      </c>
      <c r="BG63" s="11"/>
      <c r="BH63" s="11"/>
      <c r="BI63" s="11"/>
      <c r="BJ63" s="11"/>
      <c r="BK63" s="32">
        <v>0</v>
      </c>
      <c r="BL63" s="11"/>
      <c r="BM63" s="11"/>
      <c r="BN63" s="32">
        <v>0</v>
      </c>
      <c r="BO63" s="11"/>
      <c r="BP63" s="11"/>
      <c r="BQ63" s="32">
        <v>0</v>
      </c>
      <c r="BR63" s="11"/>
      <c r="BS63" s="11" t="s">
        <v>303</v>
      </c>
      <c r="BT63" s="11" t="s">
        <v>302</v>
      </c>
      <c r="BU63" s="32">
        <v>0</v>
      </c>
      <c r="BV63" s="11"/>
      <c r="BW63" s="11"/>
      <c r="BX63" s="11" t="s">
        <v>288</v>
      </c>
      <c r="BY63" s="11" t="s">
        <v>302</v>
      </c>
      <c r="BZ63" s="32">
        <v>0</v>
      </c>
      <c r="CA63" s="11"/>
      <c r="CB63" s="11"/>
      <c r="CC63" s="32">
        <v>0</v>
      </c>
      <c r="CD63" s="11"/>
      <c r="CE63" s="11" t="s">
        <v>296</v>
      </c>
      <c r="CF63" s="32">
        <v>1</v>
      </c>
      <c r="CG63" s="11" t="s">
        <v>359</v>
      </c>
      <c r="CH63" s="11"/>
      <c r="CI63" s="11" t="s">
        <v>294</v>
      </c>
      <c r="CJ63" s="11" t="s">
        <v>297</v>
      </c>
      <c r="CK63" s="32">
        <v>0</v>
      </c>
      <c r="CL63" s="11"/>
      <c r="CM63" s="11"/>
      <c r="CN63" s="11" t="s">
        <v>288</v>
      </c>
      <c r="CO63" s="11" t="s">
        <v>297</v>
      </c>
      <c r="CP63" s="32">
        <v>0</v>
      </c>
      <c r="CQ63" s="11"/>
      <c r="CR63" s="11"/>
      <c r="CS63" s="32">
        <v>0</v>
      </c>
      <c r="CT63" s="11"/>
      <c r="CU63" s="11" t="s">
        <v>296</v>
      </c>
      <c r="CV63" s="36">
        <f t="shared" si="0"/>
        <v>1</v>
      </c>
      <c r="CW63" s="32">
        <v>0</v>
      </c>
      <c r="CX63" s="11"/>
      <c r="CY63" s="11"/>
      <c r="CZ63" s="11"/>
      <c r="DA63" s="11"/>
      <c r="DB63" s="32">
        <v>0</v>
      </c>
      <c r="DC63" s="11"/>
      <c r="DD63" s="11"/>
      <c r="DE63" s="11"/>
      <c r="DF63" s="11"/>
      <c r="DG63" s="32">
        <v>0</v>
      </c>
      <c r="DH63" s="11"/>
      <c r="DI63" s="11"/>
      <c r="DJ63" s="32">
        <v>0</v>
      </c>
      <c r="DK63" s="11"/>
      <c r="DL63" s="11"/>
      <c r="DM63" s="32">
        <v>1</v>
      </c>
      <c r="DN63" s="11" t="s">
        <v>603</v>
      </c>
      <c r="DO63" s="11"/>
      <c r="DP63" s="11" t="s">
        <v>303</v>
      </c>
      <c r="DQ63" s="11" t="s">
        <v>331</v>
      </c>
      <c r="DR63" s="32">
        <v>0</v>
      </c>
      <c r="DS63" s="11"/>
      <c r="DT63" s="11"/>
      <c r="DU63" s="11" t="s">
        <v>305</v>
      </c>
      <c r="DV63" s="11" t="s">
        <v>331</v>
      </c>
      <c r="DW63" s="32">
        <v>0</v>
      </c>
      <c r="DX63" s="11"/>
      <c r="DY63" s="11"/>
      <c r="DZ63" s="11"/>
      <c r="EA63" s="11"/>
      <c r="EB63" s="11" t="s">
        <v>296</v>
      </c>
      <c r="EC63" s="32">
        <v>1</v>
      </c>
      <c r="ED63" s="11" t="s">
        <v>374</v>
      </c>
      <c r="EE63" s="11" t="s">
        <v>303</v>
      </c>
      <c r="EF63" s="11" t="s">
        <v>297</v>
      </c>
      <c r="EG63" s="32">
        <v>0</v>
      </c>
      <c r="EH63" s="11"/>
      <c r="EI63" s="11"/>
      <c r="EJ63" s="11" t="s">
        <v>288</v>
      </c>
      <c r="EK63" s="11" t="s">
        <v>297</v>
      </c>
      <c r="EL63" s="32">
        <v>0</v>
      </c>
      <c r="EM63" s="11"/>
      <c r="EN63" s="11"/>
      <c r="EO63" s="11" t="s">
        <v>412</v>
      </c>
      <c r="EP63" s="32">
        <v>0</v>
      </c>
      <c r="EQ63" s="11"/>
      <c r="ER63" s="11" t="s">
        <v>296</v>
      </c>
      <c r="ES63" s="32">
        <v>0</v>
      </c>
      <c r="ET63" s="11"/>
      <c r="EU63" s="11"/>
      <c r="EV63" s="11"/>
      <c r="EW63" s="11"/>
      <c r="EX63" s="11"/>
      <c r="EY63" s="11" t="s">
        <v>667</v>
      </c>
      <c r="EZ63" s="11"/>
      <c r="FA63" s="11"/>
      <c r="FB63" s="32">
        <v>0</v>
      </c>
      <c r="FC63" s="11"/>
      <c r="FD63" s="11"/>
      <c r="FE63" s="11"/>
      <c r="FG63" s="11" t="s">
        <v>351</v>
      </c>
      <c r="FH63" s="11"/>
      <c r="FI63" s="11"/>
      <c r="FJ63" s="32">
        <v>-1</v>
      </c>
      <c r="FK63" s="32">
        <v>-1</v>
      </c>
      <c r="FL63" s="32">
        <v>-1</v>
      </c>
      <c r="FM63" s="32">
        <v>-1</v>
      </c>
      <c r="FN63" s="32">
        <v>-1</v>
      </c>
      <c r="FO63" s="32">
        <v>-1</v>
      </c>
      <c r="FP63" s="32">
        <v>-1</v>
      </c>
      <c r="FQ63" s="32">
        <v>-1</v>
      </c>
      <c r="FR63" s="32">
        <v>-1</v>
      </c>
      <c r="FS63" s="32">
        <v>-1</v>
      </c>
      <c r="FT63" s="32">
        <v>-1</v>
      </c>
      <c r="FU63" s="32">
        <v>-1</v>
      </c>
      <c r="FV63" s="32">
        <v>-1</v>
      </c>
      <c r="FW63" s="32">
        <v>-1</v>
      </c>
      <c r="FX63" s="32">
        <v>-1</v>
      </c>
      <c r="FY63" s="32">
        <v>-15</v>
      </c>
      <c r="FZ63" s="33"/>
      <c r="GA63" s="33"/>
      <c r="GB63" s="11"/>
      <c r="GC63" s="11" t="s">
        <v>320</v>
      </c>
      <c r="GD63" s="11" t="s">
        <v>277</v>
      </c>
      <c r="GE63" s="32">
        <v>15</v>
      </c>
      <c r="GF63" s="32">
        <v>15</v>
      </c>
      <c r="GG63" s="32">
        <v>58</v>
      </c>
      <c r="GH63" s="32">
        <v>36</v>
      </c>
      <c r="GI63" s="34"/>
    </row>
    <row r="64" spans="1:191" s="40" customFormat="1" x14ac:dyDescent="0.25">
      <c r="A64" s="38">
        <v>223</v>
      </c>
      <c r="B64" s="39" t="s">
        <v>376</v>
      </c>
      <c r="C64" s="39" t="s">
        <v>279</v>
      </c>
      <c r="D64" s="39" t="s">
        <v>422</v>
      </c>
      <c r="E64" s="39" t="s">
        <v>282</v>
      </c>
      <c r="F64" s="39" t="s">
        <v>281</v>
      </c>
      <c r="G64" s="39" t="s">
        <v>282</v>
      </c>
      <c r="H64" s="39" t="s">
        <v>282</v>
      </c>
      <c r="I64" s="39" t="s">
        <v>282</v>
      </c>
      <c r="J64" s="39" t="s">
        <v>281</v>
      </c>
      <c r="K64" s="39" t="s">
        <v>282</v>
      </c>
      <c r="L64" s="39" t="s">
        <v>282</v>
      </c>
      <c r="M64" s="39" t="s">
        <v>282</v>
      </c>
      <c r="N64" s="38">
        <v>0</v>
      </c>
      <c r="O64" s="39"/>
      <c r="P64" s="39"/>
      <c r="Q64" s="39" t="s">
        <v>423</v>
      </c>
      <c r="R64" s="39"/>
      <c r="S64" s="39"/>
      <c r="T64" s="39"/>
      <c r="U64" s="40" t="s">
        <v>424</v>
      </c>
      <c r="V64" s="39" t="s">
        <v>437</v>
      </c>
      <c r="W64" s="38">
        <v>1</v>
      </c>
      <c r="X64" s="39" t="s">
        <v>365</v>
      </c>
      <c r="Y64" s="39"/>
      <c r="Z64" s="39" t="s">
        <v>303</v>
      </c>
      <c r="AA64" s="39" t="s">
        <v>297</v>
      </c>
      <c r="AB64" s="38">
        <v>0</v>
      </c>
      <c r="AC64" s="39"/>
      <c r="AD64" s="39"/>
      <c r="AE64" s="39" t="s">
        <v>305</v>
      </c>
      <c r="AF64" s="39" t="s">
        <v>302</v>
      </c>
      <c r="AG64" s="38">
        <v>0</v>
      </c>
      <c r="AH64" s="39"/>
      <c r="AI64" s="39"/>
      <c r="AJ64" s="38">
        <v>0</v>
      </c>
      <c r="AK64" s="39"/>
      <c r="AL64" s="39"/>
      <c r="AM64" s="39" t="s">
        <v>299</v>
      </c>
      <c r="AN64" s="38">
        <v>0</v>
      </c>
      <c r="AO64" s="39"/>
      <c r="AP64" s="39"/>
      <c r="AQ64" s="39"/>
      <c r="AR64" s="39"/>
      <c r="AS64" s="38">
        <v>0</v>
      </c>
      <c r="AT64" s="39"/>
      <c r="AU64" s="39"/>
      <c r="AV64" s="39"/>
      <c r="AW64" s="39"/>
      <c r="AX64" s="38">
        <v>0</v>
      </c>
      <c r="AY64" s="39"/>
      <c r="AZ64" s="39"/>
      <c r="BA64" s="38">
        <v>0</v>
      </c>
      <c r="BB64" s="39"/>
      <c r="BC64" s="39"/>
      <c r="BD64" s="39"/>
      <c r="BE64" s="39"/>
      <c r="BF64" s="38">
        <v>0</v>
      </c>
      <c r="BG64" s="39"/>
      <c r="BH64" s="39"/>
      <c r="BI64" s="39"/>
      <c r="BJ64" s="39"/>
      <c r="BK64" s="38">
        <v>0</v>
      </c>
      <c r="BL64" s="39"/>
      <c r="BM64" s="39"/>
      <c r="BN64" s="38">
        <v>0</v>
      </c>
      <c r="BO64" s="39"/>
      <c r="BP64" s="39"/>
      <c r="BQ64" s="38">
        <v>1</v>
      </c>
      <c r="BR64" s="39" t="s">
        <v>668</v>
      </c>
      <c r="BS64" s="39" t="s">
        <v>303</v>
      </c>
      <c r="BT64" s="39" t="s">
        <v>302</v>
      </c>
      <c r="BU64" s="38">
        <v>0</v>
      </c>
      <c r="BV64" s="39"/>
      <c r="BW64" s="39"/>
      <c r="BX64" s="39" t="s">
        <v>305</v>
      </c>
      <c r="BY64" s="39" t="s">
        <v>302</v>
      </c>
      <c r="BZ64" s="38">
        <v>0</v>
      </c>
      <c r="CA64" s="39"/>
      <c r="CB64" s="39"/>
      <c r="CC64" s="38">
        <v>0</v>
      </c>
      <c r="CD64" s="39"/>
      <c r="CE64" s="39" t="s">
        <v>296</v>
      </c>
      <c r="CF64" s="38">
        <v>1</v>
      </c>
      <c r="CG64" s="39" t="s">
        <v>669</v>
      </c>
      <c r="CH64" s="39"/>
      <c r="CI64" s="39" t="s">
        <v>303</v>
      </c>
      <c r="CJ64" s="39" t="s">
        <v>297</v>
      </c>
      <c r="CK64" s="38">
        <v>0</v>
      </c>
      <c r="CL64" s="39"/>
      <c r="CM64" s="39"/>
      <c r="CN64" s="39" t="s">
        <v>288</v>
      </c>
      <c r="CO64" s="39" t="s">
        <v>297</v>
      </c>
      <c r="CP64" s="38">
        <v>0</v>
      </c>
      <c r="CQ64" s="39"/>
      <c r="CR64" s="39"/>
      <c r="CS64" s="38">
        <v>0</v>
      </c>
      <c r="CT64" s="39"/>
      <c r="CU64" s="39" t="s">
        <v>296</v>
      </c>
      <c r="CV64" s="36">
        <f t="shared" si="0"/>
        <v>1</v>
      </c>
      <c r="CW64" s="38">
        <v>1</v>
      </c>
      <c r="CX64" s="39" t="s">
        <v>372</v>
      </c>
      <c r="CY64" s="39"/>
      <c r="CZ64" s="39" t="s">
        <v>303</v>
      </c>
      <c r="DA64" s="39" t="s">
        <v>297</v>
      </c>
      <c r="DB64" s="38">
        <v>0</v>
      </c>
      <c r="DC64" s="39"/>
      <c r="DD64" s="39"/>
      <c r="DE64" s="39" t="s">
        <v>288</v>
      </c>
      <c r="DF64" s="39" t="s">
        <v>297</v>
      </c>
      <c r="DG64" s="38">
        <v>0</v>
      </c>
      <c r="DH64" s="39"/>
      <c r="DI64" s="39"/>
      <c r="DJ64" s="38">
        <v>0</v>
      </c>
      <c r="DK64" s="39"/>
      <c r="DL64" s="39" t="s">
        <v>328</v>
      </c>
      <c r="DM64" s="38">
        <v>1</v>
      </c>
      <c r="DN64" s="39" t="s">
        <v>603</v>
      </c>
      <c r="DO64" s="39"/>
      <c r="DP64" s="39" t="s">
        <v>303</v>
      </c>
      <c r="DQ64" s="39" t="s">
        <v>331</v>
      </c>
      <c r="DR64" s="38">
        <v>0</v>
      </c>
      <c r="DS64" s="39"/>
      <c r="DT64" s="39"/>
      <c r="DU64" s="39" t="s">
        <v>305</v>
      </c>
      <c r="DV64" s="39" t="s">
        <v>331</v>
      </c>
      <c r="DW64" s="38">
        <v>0</v>
      </c>
      <c r="DX64" s="39"/>
      <c r="DY64" s="39"/>
      <c r="DZ64" s="39"/>
      <c r="EA64" s="39"/>
      <c r="EB64" s="39" t="s">
        <v>296</v>
      </c>
      <c r="EC64" s="38">
        <v>1</v>
      </c>
      <c r="ED64" s="39" t="s">
        <v>374</v>
      </c>
      <c r="EE64" s="39" t="s">
        <v>303</v>
      </c>
      <c r="EF64" s="39" t="s">
        <v>302</v>
      </c>
      <c r="EG64" s="38">
        <v>0</v>
      </c>
      <c r="EH64" s="39"/>
      <c r="EI64" s="39"/>
      <c r="EJ64" s="39" t="s">
        <v>305</v>
      </c>
      <c r="EK64" s="39" t="s">
        <v>331</v>
      </c>
      <c r="EL64" s="38">
        <v>0</v>
      </c>
      <c r="EM64" s="39"/>
      <c r="EN64" s="39"/>
      <c r="EO64" s="39"/>
      <c r="EP64" s="38">
        <v>0</v>
      </c>
      <c r="EQ64" s="39"/>
      <c r="ER64" s="39" t="s">
        <v>296</v>
      </c>
      <c r="ES64" s="38">
        <v>0</v>
      </c>
      <c r="ET64" s="39"/>
      <c r="EU64" s="39"/>
      <c r="EV64" s="39"/>
      <c r="EW64" s="39"/>
      <c r="EX64" s="39" t="s">
        <v>670</v>
      </c>
      <c r="EY64" s="39"/>
      <c r="EZ64" s="39"/>
      <c r="FA64" s="39"/>
      <c r="FB64" s="38">
        <v>0</v>
      </c>
      <c r="FC64" s="39"/>
      <c r="FD64" s="39"/>
      <c r="FE64" s="39"/>
      <c r="FG64" s="39" t="s">
        <v>351</v>
      </c>
      <c r="FH64" s="39"/>
      <c r="FI64" s="39"/>
      <c r="FJ64" s="38">
        <v>-1</v>
      </c>
      <c r="FK64" s="38">
        <v>-1</v>
      </c>
      <c r="FL64" s="38">
        <v>-1</v>
      </c>
      <c r="FM64" s="38">
        <v>-1</v>
      </c>
      <c r="FN64" s="38">
        <v>-1</v>
      </c>
      <c r="FO64" s="38">
        <v>-1</v>
      </c>
      <c r="FP64" s="38">
        <v>-1</v>
      </c>
      <c r="FQ64" s="38">
        <v>-1</v>
      </c>
      <c r="FR64" s="38">
        <v>-1</v>
      </c>
      <c r="FS64" s="38">
        <v>-1</v>
      </c>
      <c r="FT64" s="38">
        <v>-1</v>
      </c>
      <c r="FU64" s="38">
        <v>-1</v>
      </c>
      <c r="FV64" s="38">
        <v>-1</v>
      </c>
      <c r="FW64" s="38">
        <v>-1</v>
      </c>
      <c r="FX64" s="38">
        <v>-1</v>
      </c>
      <c r="FY64" s="38">
        <v>-15</v>
      </c>
      <c r="FZ64" s="41"/>
      <c r="GA64" s="41"/>
      <c r="GB64" s="39"/>
      <c r="GC64" s="39" t="s">
        <v>320</v>
      </c>
      <c r="GD64" s="39" t="s">
        <v>277</v>
      </c>
      <c r="GE64" s="38">
        <v>15</v>
      </c>
      <c r="GF64" s="38">
        <v>15</v>
      </c>
      <c r="GG64" s="38">
        <v>51</v>
      </c>
      <c r="GH64" s="38">
        <v>27</v>
      </c>
      <c r="GI64" s="42"/>
    </row>
    <row r="65" spans="1:191" s="40" customFormat="1" x14ac:dyDescent="0.25">
      <c r="A65" s="38">
        <v>225</v>
      </c>
      <c r="B65" s="39" t="s">
        <v>376</v>
      </c>
      <c r="C65" s="39" t="s">
        <v>353</v>
      </c>
      <c r="D65" s="39" t="s">
        <v>320</v>
      </c>
      <c r="E65" s="39" t="s">
        <v>282</v>
      </c>
      <c r="F65" s="39" t="s">
        <v>281</v>
      </c>
      <c r="G65" s="39" t="s">
        <v>282</v>
      </c>
      <c r="H65" s="39" t="s">
        <v>282</v>
      </c>
      <c r="I65" s="39" t="s">
        <v>282</v>
      </c>
      <c r="J65" s="39" t="s">
        <v>282</v>
      </c>
      <c r="K65" s="39" t="s">
        <v>282</v>
      </c>
      <c r="L65" s="39" t="s">
        <v>282</v>
      </c>
      <c r="M65" s="39" t="s">
        <v>282</v>
      </c>
      <c r="N65" s="38">
        <v>0</v>
      </c>
      <c r="O65" s="39"/>
      <c r="P65" s="39"/>
      <c r="Q65" s="39" t="s">
        <v>423</v>
      </c>
      <c r="R65" s="39"/>
      <c r="S65" s="39"/>
      <c r="T65" s="39"/>
      <c r="U65" s="40" t="s">
        <v>424</v>
      </c>
      <c r="V65" s="39" t="s">
        <v>437</v>
      </c>
      <c r="W65" s="38">
        <v>1</v>
      </c>
      <c r="X65" s="39" t="s">
        <v>365</v>
      </c>
      <c r="Y65" s="39"/>
      <c r="Z65" s="39" t="s">
        <v>303</v>
      </c>
      <c r="AA65" s="39" t="s">
        <v>297</v>
      </c>
      <c r="AB65" s="38">
        <v>0</v>
      </c>
      <c r="AC65" s="39"/>
      <c r="AD65" s="39"/>
      <c r="AE65" s="39" t="s">
        <v>305</v>
      </c>
      <c r="AF65" s="39" t="s">
        <v>302</v>
      </c>
      <c r="AG65" s="38">
        <v>0</v>
      </c>
      <c r="AH65" s="39"/>
      <c r="AI65" s="39"/>
      <c r="AJ65" s="38">
        <v>0</v>
      </c>
      <c r="AK65" s="39"/>
      <c r="AL65" s="39"/>
      <c r="AM65" s="39" t="s">
        <v>328</v>
      </c>
      <c r="AN65" s="38">
        <v>0</v>
      </c>
      <c r="AO65" s="39"/>
      <c r="AP65" s="39"/>
      <c r="AQ65" s="39" t="s">
        <v>301</v>
      </c>
      <c r="AR65" s="39" t="s">
        <v>287</v>
      </c>
      <c r="AS65" s="38">
        <v>0</v>
      </c>
      <c r="AT65" s="39"/>
      <c r="AU65" s="39"/>
      <c r="AV65" s="39" t="s">
        <v>324</v>
      </c>
      <c r="AW65" s="39" t="s">
        <v>302</v>
      </c>
      <c r="AX65" s="38">
        <v>0</v>
      </c>
      <c r="AY65" s="39"/>
      <c r="AZ65" s="39"/>
      <c r="BA65" s="38">
        <v>1</v>
      </c>
      <c r="BB65" s="39" t="s">
        <v>671</v>
      </c>
      <c r="BC65" s="39" t="s">
        <v>292</v>
      </c>
      <c r="BD65" s="39"/>
      <c r="BE65" s="39"/>
      <c r="BF65" s="38">
        <v>0</v>
      </c>
      <c r="BG65" s="39"/>
      <c r="BH65" s="39"/>
      <c r="BI65" s="39"/>
      <c r="BJ65" s="39"/>
      <c r="BK65" s="38">
        <v>0</v>
      </c>
      <c r="BL65" s="39"/>
      <c r="BM65" s="39"/>
      <c r="BN65" s="38">
        <v>0</v>
      </c>
      <c r="BO65" s="39"/>
      <c r="BP65" s="39"/>
      <c r="BQ65" s="38">
        <v>1</v>
      </c>
      <c r="BR65" s="39" t="s">
        <v>672</v>
      </c>
      <c r="BS65" s="39" t="s">
        <v>303</v>
      </c>
      <c r="BT65" s="39" t="s">
        <v>302</v>
      </c>
      <c r="BU65" s="38">
        <v>0</v>
      </c>
      <c r="BV65" s="39"/>
      <c r="BW65" s="39"/>
      <c r="BX65" s="39" t="s">
        <v>288</v>
      </c>
      <c r="BY65" s="39" t="s">
        <v>302</v>
      </c>
      <c r="BZ65" s="38">
        <v>0</v>
      </c>
      <c r="CA65" s="39"/>
      <c r="CB65" s="39"/>
      <c r="CC65" s="38">
        <v>0</v>
      </c>
      <c r="CD65" s="39"/>
      <c r="CE65" s="39" t="s">
        <v>296</v>
      </c>
      <c r="CF65" s="38">
        <v>1</v>
      </c>
      <c r="CG65" s="39" t="s">
        <v>673</v>
      </c>
      <c r="CH65" s="39"/>
      <c r="CI65" s="39" t="s">
        <v>303</v>
      </c>
      <c r="CJ65" s="39" t="s">
        <v>297</v>
      </c>
      <c r="CK65" s="38">
        <v>0</v>
      </c>
      <c r="CL65" s="39"/>
      <c r="CM65" s="39"/>
      <c r="CN65" s="39" t="s">
        <v>288</v>
      </c>
      <c r="CO65" s="39" t="s">
        <v>297</v>
      </c>
      <c r="CP65" s="38">
        <v>0</v>
      </c>
      <c r="CQ65" s="39"/>
      <c r="CR65" s="39"/>
      <c r="CS65" s="38">
        <v>0</v>
      </c>
      <c r="CT65" s="39"/>
      <c r="CU65" s="39" t="s">
        <v>296</v>
      </c>
      <c r="CV65" s="36">
        <f t="shared" si="0"/>
        <v>1</v>
      </c>
      <c r="CW65" s="38">
        <v>0</v>
      </c>
      <c r="CX65" s="39"/>
      <c r="CY65" s="39"/>
      <c r="CZ65" s="39"/>
      <c r="DA65" s="39"/>
      <c r="DB65" s="38">
        <v>0</v>
      </c>
      <c r="DC65" s="39"/>
      <c r="DD65" s="39"/>
      <c r="DE65" s="39"/>
      <c r="DF65" s="39"/>
      <c r="DG65" s="38">
        <v>0</v>
      </c>
      <c r="DH65" s="39"/>
      <c r="DI65" s="39"/>
      <c r="DJ65" s="38">
        <v>0</v>
      </c>
      <c r="DK65" s="39"/>
      <c r="DL65" s="39"/>
      <c r="DM65" s="38">
        <v>1</v>
      </c>
      <c r="DN65" s="39" t="s">
        <v>603</v>
      </c>
      <c r="DO65" s="39"/>
      <c r="DP65" s="39" t="s">
        <v>303</v>
      </c>
      <c r="DQ65" s="39" t="s">
        <v>331</v>
      </c>
      <c r="DR65" s="38">
        <v>0</v>
      </c>
      <c r="DS65" s="39"/>
      <c r="DT65" s="39"/>
      <c r="DU65" s="39" t="s">
        <v>305</v>
      </c>
      <c r="DV65" s="39" t="s">
        <v>331</v>
      </c>
      <c r="DW65" s="38">
        <v>0</v>
      </c>
      <c r="DX65" s="39"/>
      <c r="DY65" s="39"/>
      <c r="DZ65" s="39"/>
      <c r="EA65" s="39"/>
      <c r="EB65" s="39" t="s">
        <v>296</v>
      </c>
      <c r="EC65" s="38">
        <v>1</v>
      </c>
      <c r="ED65" s="39" t="s">
        <v>374</v>
      </c>
      <c r="EE65" s="39" t="s">
        <v>303</v>
      </c>
      <c r="EF65" s="39" t="s">
        <v>297</v>
      </c>
      <c r="EG65" s="38">
        <v>0</v>
      </c>
      <c r="EH65" s="39"/>
      <c r="EI65" s="39"/>
      <c r="EJ65" s="39" t="s">
        <v>305</v>
      </c>
      <c r="EK65" s="39" t="s">
        <v>297</v>
      </c>
      <c r="EL65" s="38">
        <v>0</v>
      </c>
      <c r="EM65" s="39"/>
      <c r="EN65" s="39"/>
      <c r="EO65" s="39"/>
      <c r="EP65" s="38">
        <v>0</v>
      </c>
      <c r="EQ65" s="39"/>
      <c r="ER65" s="39" t="s">
        <v>296</v>
      </c>
      <c r="ES65" s="38">
        <v>0</v>
      </c>
      <c r="ET65" s="39"/>
      <c r="EU65" s="39"/>
      <c r="EV65" s="39"/>
      <c r="EW65" s="39"/>
      <c r="EX65" s="39"/>
      <c r="EY65" s="39"/>
      <c r="EZ65" s="39"/>
      <c r="FA65" s="39"/>
      <c r="FB65" s="38">
        <v>0</v>
      </c>
      <c r="FC65" s="39"/>
      <c r="FD65" s="39"/>
      <c r="FE65" s="39"/>
      <c r="FG65" s="39" t="s">
        <v>351</v>
      </c>
      <c r="FH65" s="39"/>
      <c r="FI65" s="39"/>
      <c r="FJ65" s="38">
        <v>-1</v>
      </c>
      <c r="FK65" s="38">
        <v>-1</v>
      </c>
      <c r="FL65" s="38">
        <v>-1</v>
      </c>
      <c r="FM65" s="38">
        <v>-1</v>
      </c>
      <c r="FN65" s="38">
        <v>-1</v>
      </c>
      <c r="FO65" s="38">
        <v>-1</v>
      </c>
      <c r="FP65" s="38">
        <v>-1</v>
      </c>
      <c r="FQ65" s="38">
        <v>-1</v>
      </c>
      <c r="FR65" s="38">
        <v>-1</v>
      </c>
      <c r="FS65" s="38">
        <v>-1</v>
      </c>
      <c r="FT65" s="38">
        <v>-1</v>
      </c>
      <c r="FU65" s="38">
        <v>-1</v>
      </c>
      <c r="FV65" s="38">
        <v>-1</v>
      </c>
      <c r="FW65" s="38">
        <v>-1</v>
      </c>
      <c r="FX65" s="38">
        <v>-1</v>
      </c>
      <c r="FY65" s="38">
        <v>-15</v>
      </c>
      <c r="FZ65" s="41"/>
      <c r="GA65" s="41"/>
      <c r="GB65" s="39"/>
      <c r="GC65" s="39" t="s">
        <v>320</v>
      </c>
      <c r="GD65" s="39" t="s">
        <v>277</v>
      </c>
      <c r="GE65" s="38">
        <v>15</v>
      </c>
      <c r="GF65" s="38">
        <v>15</v>
      </c>
      <c r="GG65" s="38">
        <v>53</v>
      </c>
      <c r="GH65" s="38">
        <v>28</v>
      </c>
      <c r="GI65" s="42"/>
    </row>
    <row r="66" spans="1:191" s="10" customFormat="1" x14ac:dyDescent="0.25">
      <c r="A66" s="32">
        <v>227</v>
      </c>
      <c r="B66" s="11" t="s">
        <v>376</v>
      </c>
      <c r="C66" s="11" t="s">
        <v>279</v>
      </c>
      <c r="D66" s="11" t="s">
        <v>320</v>
      </c>
      <c r="E66" s="11" t="s">
        <v>282</v>
      </c>
      <c r="F66" s="11" t="s">
        <v>282</v>
      </c>
      <c r="G66" s="11" t="s">
        <v>282</v>
      </c>
      <c r="H66" s="11" t="s">
        <v>282</v>
      </c>
      <c r="I66" s="11" t="s">
        <v>282</v>
      </c>
      <c r="J66" s="11" t="s">
        <v>281</v>
      </c>
      <c r="K66" s="11" t="s">
        <v>282</v>
      </c>
      <c r="L66" s="11" t="s">
        <v>282</v>
      </c>
      <c r="M66" s="11" t="s">
        <v>282</v>
      </c>
      <c r="N66" s="32">
        <v>0</v>
      </c>
      <c r="O66" s="11"/>
      <c r="P66" s="11"/>
      <c r="Q66" s="11" t="s">
        <v>423</v>
      </c>
      <c r="R66" s="11"/>
      <c r="S66" s="11"/>
      <c r="T66" s="11"/>
      <c r="U66" s="10" t="s">
        <v>463</v>
      </c>
      <c r="V66" s="11" t="s">
        <v>350</v>
      </c>
      <c r="W66" s="32">
        <v>0</v>
      </c>
      <c r="X66" s="11"/>
      <c r="Y66" s="11"/>
      <c r="Z66" s="11"/>
      <c r="AA66" s="11"/>
      <c r="AB66" s="32">
        <v>0</v>
      </c>
      <c r="AC66" s="11"/>
      <c r="AD66" s="11"/>
      <c r="AE66" s="11"/>
      <c r="AF66" s="11"/>
      <c r="AG66" s="32">
        <v>0</v>
      </c>
      <c r="AH66" s="11"/>
      <c r="AI66" s="11"/>
      <c r="AJ66" s="32">
        <v>0</v>
      </c>
      <c r="AK66" s="11"/>
      <c r="AL66" s="11"/>
      <c r="AM66" s="11"/>
      <c r="AN66" s="32">
        <v>0</v>
      </c>
      <c r="AO66" s="11"/>
      <c r="AP66" s="11"/>
      <c r="AQ66" s="11"/>
      <c r="AR66" s="11"/>
      <c r="AS66" s="32">
        <v>0</v>
      </c>
      <c r="AT66" s="11"/>
      <c r="AU66" s="11"/>
      <c r="AV66" s="11"/>
      <c r="AW66" s="11"/>
      <c r="AX66" s="32">
        <v>0</v>
      </c>
      <c r="AY66" s="11"/>
      <c r="AZ66" s="11"/>
      <c r="BA66" s="32">
        <v>0</v>
      </c>
      <c r="BB66" s="11"/>
      <c r="BC66" s="11"/>
      <c r="BD66" s="11"/>
      <c r="BE66" s="11"/>
      <c r="BF66" s="32">
        <v>0</v>
      </c>
      <c r="BG66" s="11"/>
      <c r="BH66" s="11"/>
      <c r="BI66" s="11"/>
      <c r="BJ66" s="11"/>
      <c r="BK66" s="32">
        <v>0</v>
      </c>
      <c r="BL66" s="11"/>
      <c r="BM66" s="11"/>
      <c r="BN66" s="32">
        <v>0</v>
      </c>
      <c r="BO66" s="11"/>
      <c r="BP66" s="11"/>
      <c r="BQ66" s="32">
        <v>1</v>
      </c>
      <c r="BR66" s="11" t="s">
        <v>674</v>
      </c>
      <c r="BS66" s="11" t="s">
        <v>303</v>
      </c>
      <c r="BT66" s="11" t="s">
        <v>297</v>
      </c>
      <c r="BU66" s="32">
        <v>0</v>
      </c>
      <c r="BV66" s="11"/>
      <c r="BW66" s="11"/>
      <c r="BX66" s="11" t="s">
        <v>288</v>
      </c>
      <c r="BY66" s="11" t="s">
        <v>297</v>
      </c>
      <c r="BZ66" s="32">
        <v>0</v>
      </c>
      <c r="CA66" s="11"/>
      <c r="CB66" s="11"/>
      <c r="CC66" s="32">
        <v>0</v>
      </c>
      <c r="CD66" s="11"/>
      <c r="CE66" s="11" t="s">
        <v>296</v>
      </c>
      <c r="CF66" s="32">
        <v>1</v>
      </c>
      <c r="CG66" s="11" t="s">
        <v>673</v>
      </c>
      <c r="CH66" s="11"/>
      <c r="CI66" s="11" t="s">
        <v>303</v>
      </c>
      <c r="CJ66" s="11" t="s">
        <v>297</v>
      </c>
      <c r="CK66" s="32">
        <v>0</v>
      </c>
      <c r="CL66" s="11"/>
      <c r="CM66" s="11"/>
      <c r="CN66" s="11" t="s">
        <v>288</v>
      </c>
      <c r="CO66" s="11" t="s">
        <v>297</v>
      </c>
      <c r="CP66" s="32">
        <v>0</v>
      </c>
      <c r="CQ66" s="11"/>
      <c r="CR66" s="11"/>
      <c r="CS66" s="32">
        <v>0</v>
      </c>
      <c r="CT66" s="11"/>
      <c r="CU66" s="11" t="s">
        <v>296</v>
      </c>
      <c r="CV66" s="36">
        <f t="shared" si="0"/>
        <v>1</v>
      </c>
      <c r="CW66" s="32">
        <v>0</v>
      </c>
      <c r="CX66" s="11"/>
      <c r="CY66" s="11"/>
      <c r="CZ66" s="11"/>
      <c r="DA66" s="11"/>
      <c r="DB66" s="32">
        <v>0</v>
      </c>
      <c r="DC66" s="11"/>
      <c r="DD66" s="11"/>
      <c r="DE66" s="11"/>
      <c r="DF66" s="11"/>
      <c r="DG66" s="32">
        <v>0</v>
      </c>
      <c r="DH66" s="11"/>
      <c r="DI66" s="11"/>
      <c r="DJ66" s="32">
        <v>0</v>
      </c>
      <c r="DK66" s="11"/>
      <c r="DL66" s="11"/>
      <c r="DM66" s="32">
        <v>1</v>
      </c>
      <c r="DN66" s="11" t="s">
        <v>603</v>
      </c>
      <c r="DO66" s="11"/>
      <c r="DP66" s="11" t="s">
        <v>303</v>
      </c>
      <c r="DQ66" s="11" t="s">
        <v>297</v>
      </c>
      <c r="DR66" s="32">
        <v>0</v>
      </c>
      <c r="DS66" s="11"/>
      <c r="DT66" s="11"/>
      <c r="DU66" s="11" t="s">
        <v>298</v>
      </c>
      <c r="DV66" s="11" t="s">
        <v>297</v>
      </c>
      <c r="DW66" s="32">
        <v>0</v>
      </c>
      <c r="DX66" s="11"/>
      <c r="DY66" s="11"/>
      <c r="DZ66" s="11"/>
      <c r="EA66" s="11"/>
      <c r="EB66" s="11" t="s">
        <v>296</v>
      </c>
      <c r="EC66" s="32">
        <v>1</v>
      </c>
      <c r="ED66" s="11" t="s">
        <v>374</v>
      </c>
      <c r="EE66" s="11" t="s">
        <v>303</v>
      </c>
      <c r="EF66" s="11" t="s">
        <v>297</v>
      </c>
      <c r="EG66" s="32">
        <v>0</v>
      </c>
      <c r="EH66" s="11"/>
      <c r="EI66" s="11"/>
      <c r="EJ66" s="11" t="s">
        <v>305</v>
      </c>
      <c r="EK66" s="11" t="s">
        <v>297</v>
      </c>
      <c r="EL66" s="32">
        <v>0</v>
      </c>
      <c r="EM66" s="11"/>
      <c r="EN66" s="11"/>
      <c r="EO66" s="11"/>
      <c r="EP66" s="32">
        <v>0</v>
      </c>
      <c r="EQ66" s="11"/>
      <c r="ER66" s="11" t="s">
        <v>296</v>
      </c>
      <c r="ES66" s="32">
        <v>0</v>
      </c>
      <c r="ET66" s="11"/>
      <c r="EU66" s="11"/>
      <c r="EV66" s="11"/>
      <c r="EW66" s="11"/>
      <c r="EX66" s="11"/>
      <c r="EY66" s="11"/>
      <c r="EZ66" s="11"/>
      <c r="FA66" s="11"/>
      <c r="FB66" s="32">
        <v>0</v>
      </c>
      <c r="FC66" s="11"/>
      <c r="FD66" s="11"/>
      <c r="FE66" s="11"/>
      <c r="FG66" s="11" t="s">
        <v>351</v>
      </c>
      <c r="FH66" s="11"/>
      <c r="FI66" s="11" t="s">
        <v>675</v>
      </c>
      <c r="FJ66" s="32">
        <v>-1</v>
      </c>
      <c r="FK66" s="32">
        <v>-1</v>
      </c>
      <c r="FL66" s="32">
        <v>-1</v>
      </c>
      <c r="FM66" s="32">
        <v>-1</v>
      </c>
      <c r="FN66" s="32">
        <v>-1</v>
      </c>
      <c r="FO66" s="32">
        <v>-1</v>
      </c>
      <c r="FP66" s="32">
        <v>-1</v>
      </c>
      <c r="FQ66" s="32">
        <v>-1</v>
      </c>
      <c r="FR66" s="32">
        <v>-1</v>
      </c>
      <c r="FS66" s="32">
        <v>-1</v>
      </c>
      <c r="FT66" s="32">
        <v>-1</v>
      </c>
      <c r="FU66" s="32">
        <v>-1</v>
      </c>
      <c r="FV66" s="32">
        <v>-1</v>
      </c>
      <c r="FW66" s="32">
        <v>-1</v>
      </c>
      <c r="FX66" s="32">
        <v>-1</v>
      </c>
      <c r="FY66" s="32">
        <v>-15</v>
      </c>
      <c r="FZ66" s="33"/>
      <c r="GA66" s="33"/>
      <c r="GB66" s="11"/>
      <c r="GC66" s="11" t="s">
        <v>320</v>
      </c>
      <c r="GD66" s="11" t="s">
        <v>277</v>
      </c>
      <c r="GE66" s="32">
        <v>15</v>
      </c>
      <c r="GF66" s="32">
        <v>15</v>
      </c>
      <c r="GG66" s="32">
        <v>65</v>
      </c>
      <c r="GH66" s="32">
        <v>47</v>
      </c>
      <c r="GI66" s="34"/>
    </row>
    <row r="67" spans="1:191" s="45" customFormat="1" ht="13.8" thickBot="1" x14ac:dyDescent="0.3">
      <c r="A67" s="43">
        <v>231</v>
      </c>
      <c r="B67" s="44" t="s">
        <v>376</v>
      </c>
      <c r="C67" s="44" t="s">
        <v>353</v>
      </c>
      <c r="D67" s="44" t="s">
        <v>377</v>
      </c>
      <c r="E67" s="44" t="s">
        <v>281</v>
      </c>
      <c r="F67" s="44" t="s">
        <v>281</v>
      </c>
      <c r="G67" s="44" t="s">
        <v>282</v>
      </c>
      <c r="H67" s="44" t="s">
        <v>282</v>
      </c>
      <c r="I67" s="44" t="s">
        <v>282</v>
      </c>
      <c r="J67" s="44" t="s">
        <v>281</v>
      </c>
      <c r="K67" s="44" t="s">
        <v>282</v>
      </c>
      <c r="L67" s="44" t="s">
        <v>282</v>
      </c>
      <c r="M67" s="44" t="s">
        <v>282</v>
      </c>
      <c r="N67" s="43">
        <v>0</v>
      </c>
      <c r="O67" s="44"/>
      <c r="P67" s="44"/>
      <c r="Q67" s="44" t="s">
        <v>423</v>
      </c>
      <c r="R67" s="44"/>
      <c r="S67" s="44"/>
      <c r="T67" s="44"/>
      <c r="U67" s="45" t="s">
        <v>464</v>
      </c>
      <c r="V67" s="44" t="s">
        <v>350</v>
      </c>
      <c r="W67" s="43">
        <v>1</v>
      </c>
      <c r="X67" s="44" t="s">
        <v>694</v>
      </c>
      <c r="Y67" s="44"/>
      <c r="Z67" s="44" t="s">
        <v>301</v>
      </c>
      <c r="AA67" s="44" t="s">
        <v>297</v>
      </c>
      <c r="AB67" s="43">
        <v>0</v>
      </c>
      <c r="AC67" s="44"/>
      <c r="AD67" s="44"/>
      <c r="AE67" s="44" t="s">
        <v>288</v>
      </c>
      <c r="AF67" s="44" t="s">
        <v>521</v>
      </c>
      <c r="AG67" s="43">
        <v>0</v>
      </c>
      <c r="AH67" s="44"/>
      <c r="AI67" s="44"/>
      <c r="AJ67" s="43">
        <v>0</v>
      </c>
      <c r="AK67" s="44"/>
      <c r="AL67" s="44"/>
      <c r="AM67" s="44" t="s">
        <v>296</v>
      </c>
      <c r="AN67" s="43">
        <v>1</v>
      </c>
      <c r="AO67" s="44" t="s">
        <v>405</v>
      </c>
      <c r="AP67" s="44"/>
      <c r="AQ67" s="44" t="s">
        <v>303</v>
      </c>
      <c r="AR67" s="44" t="s">
        <v>297</v>
      </c>
      <c r="AS67" s="43">
        <v>0</v>
      </c>
      <c r="AT67" s="44"/>
      <c r="AU67" s="44"/>
      <c r="AV67" s="44" t="s">
        <v>288</v>
      </c>
      <c r="AW67" s="44" t="s">
        <v>287</v>
      </c>
      <c r="AX67" s="43">
        <v>0</v>
      </c>
      <c r="AY67" s="44"/>
      <c r="AZ67" s="44"/>
      <c r="BA67" s="43">
        <v>0</v>
      </c>
      <c r="BB67" s="44"/>
      <c r="BC67" s="44" t="s">
        <v>296</v>
      </c>
      <c r="BD67" s="44" t="s">
        <v>294</v>
      </c>
      <c r="BE67" s="44" t="s">
        <v>297</v>
      </c>
      <c r="BF67" s="43">
        <v>0</v>
      </c>
      <c r="BG67" s="44"/>
      <c r="BH67" s="44"/>
      <c r="BI67" s="44" t="s">
        <v>305</v>
      </c>
      <c r="BJ67" s="44" t="s">
        <v>302</v>
      </c>
      <c r="BK67" s="43">
        <v>0</v>
      </c>
      <c r="BL67" s="44"/>
      <c r="BM67" s="44"/>
      <c r="BN67" s="43">
        <v>0</v>
      </c>
      <c r="BO67" s="44"/>
      <c r="BP67" s="44" t="s">
        <v>296</v>
      </c>
      <c r="BQ67" s="43">
        <v>1</v>
      </c>
      <c r="BR67" s="44" t="s">
        <v>588</v>
      </c>
      <c r="BS67" s="44" t="s">
        <v>294</v>
      </c>
      <c r="BT67" s="44" t="s">
        <v>297</v>
      </c>
      <c r="BU67" s="43">
        <v>0</v>
      </c>
      <c r="BV67" s="44"/>
      <c r="BW67" s="44"/>
      <c r="BX67" s="44" t="s">
        <v>288</v>
      </c>
      <c r="BY67" s="44" t="s">
        <v>297</v>
      </c>
      <c r="BZ67" s="43">
        <v>0</v>
      </c>
      <c r="CA67" s="44"/>
      <c r="CB67" s="44"/>
      <c r="CC67" s="43">
        <v>0</v>
      </c>
      <c r="CD67" s="44"/>
      <c r="CE67" s="44" t="s">
        <v>296</v>
      </c>
      <c r="CF67" s="43">
        <v>1</v>
      </c>
      <c r="CG67" s="44" t="s">
        <v>358</v>
      </c>
      <c r="CH67" s="44"/>
      <c r="CI67" s="44" t="s">
        <v>303</v>
      </c>
      <c r="CJ67" s="44" t="s">
        <v>302</v>
      </c>
      <c r="CK67" s="43">
        <v>0</v>
      </c>
      <c r="CL67" s="44"/>
      <c r="CM67" s="44"/>
      <c r="CN67" s="44" t="s">
        <v>305</v>
      </c>
      <c r="CO67" s="44" t="s">
        <v>302</v>
      </c>
      <c r="CP67" s="43">
        <v>0</v>
      </c>
      <c r="CQ67" s="44"/>
      <c r="CR67" s="44"/>
      <c r="CS67" s="43">
        <v>0</v>
      </c>
      <c r="CT67" s="44"/>
      <c r="CU67" s="44" t="s">
        <v>296</v>
      </c>
      <c r="CV67" s="92">
        <f t="shared" si="0"/>
        <v>1</v>
      </c>
      <c r="CW67" s="43">
        <v>1</v>
      </c>
      <c r="CX67" s="44" t="s">
        <v>695</v>
      </c>
      <c r="CY67" s="44"/>
      <c r="CZ67" s="44" t="s">
        <v>301</v>
      </c>
      <c r="DA67" s="44" t="s">
        <v>297</v>
      </c>
      <c r="DB67" s="43">
        <v>0</v>
      </c>
      <c r="DC67" s="44"/>
      <c r="DD67" s="44"/>
      <c r="DE67" s="44" t="s">
        <v>324</v>
      </c>
      <c r="DF67" s="44" t="s">
        <v>302</v>
      </c>
      <c r="DG67" s="43">
        <v>0</v>
      </c>
      <c r="DH67" s="44"/>
      <c r="DI67" s="44"/>
      <c r="DJ67" s="43">
        <v>0</v>
      </c>
      <c r="DK67" s="44"/>
      <c r="DL67" s="44" t="s">
        <v>296</v>
      </c>
      <c r="DM67" s="43">
        <v>1</v>
      </c>
      <c r="DN67" s="44" t="s">
        <v>696</v>
      </c>
      <c r="DO67" s="44"/>
      <c r="DP67" s="44" t="s">
        <v>303</v>
      </c>
      <c r="DQ67" s="44" t="s">
        <v>331</v>
      </c>
      <c r="DR67" s="43">
        <v>0</v>
      </c>
      <c r="DS67" s="44"/>
      <c r="DT67" s="44"/>
      <c r="DU67" s="44" t="s">
        <v>298</v>
      </c>
      <c r="DV67" s="44" t="s">
        <v>331</v>
      </c>
      <c r="DW67" s="43">
        <v>0</v>
      </c>
      <c r="DX67" s="44"/>
      <c r="DY67" s="44"/>
      <c r="DZ67" s="44"/>
      <c r="EA67" s="44"/>
      <c r="EB67" s="44" t="s">
        <v>292</v>
      </c>
      <c r="EC67" s="43">
        <v>1</v>
      </c>
      <c r="ED67" s="44" t="s">
        <v>697</v>
      </c>
      <c r="EE67" s="44" t="s">
        <v>294</v>
      </c>
      <c r="EF67" s="44" t="s">
        <v>302</v>
      </c>
      <c r="EG67" s="43">
        <v>0</v>
      </c>
      <c r="EH67" s="44"/>
      <c r="EI67" s="44"/>
      <c r="EJ67" s="44" t="s">
        <v>305</v>
      </c>
      <c r="EK67" s="44" t="s">
        <v>302</v>
      </c>
      <c r="EL67" s="43">
        <v>0</v>
      </c>
      <c r="EM67" s="44"/>
      <c r="EN67" s="44"/>
      <c r="EO67" s="44"/>
      <c r="EP67" s="43">
        <v>0</v>
      </c>
      <c r="EQ67" s="44"/>
      <c r="ER67" s="44" t="s">
        <v>328</v>
      </c>
      <c r="ES67" s="43">
        <v>0</v>
      </c>
      <c r="ET67" s="44"/>
      <c r="EU67" s="44"/>
      <c r="EV67" s="44"/>
      <c r="EW67" s="44"/>
      <c r="EX67" s="44"/>
      <c r="EY67" s="44"/>
      <c r="EZ67" s="44"/>
      <c r="FA67" s="44"/>
      <c r="FB67" s="43">
        <v>1</v>
      </c>
      <c r="FC67" s="44" t="s">
        <v>698</v>
      </c>
      <c r="FD67" s="44"/>
      <c r="FE67" s="44"/>
      <c r="FG67" s="44" t="s">
        <v>335</v>
      </c>
      <c r="FH67" s="44"/>
      <c r="FI67" s="44"/>
      <c r="FJ67" s="43">
        <v>-1</v>
      </c>
      <c r="FK67" s="43">
        <v>-1</v>
      </c>
      <c r="FL67" s="43">
        <v>-1</v>
      </c>
      <c r="FM67" s="43">
        <v>-1</v>
      </c>
      <c r="FN67" s="43">
        <v>-1</v>
      </c>
      <c r="FO67" s="43">
        <v>-1</v>
      </c>
      <c r="FP67" s="43">
        <v>-1</v>
      </c>
      <c r="FQ67" s="43">
        <v>-1</v>
      </c>
      <c r="FR67" s="43">
        <v>-1</v>
      </c>
      <c r="FS67" s="43">
        <v>-1</v>
      </c>
      <c r="FT67" s="43">
        <v>-1</v>
      </c>
      <c r="FU67" s="43">
        <v>-1</v>
      </c>
      <c r="FV67" s="43">
        <v>-1</v>
      </c>
      <c r="FW67" s="43">
        <v>-1</v>
      </c>
      <c r="FX67" s="43">
        <v>-1</v>
      </c>
      <c r="FY67" s="43">
        <v>-15</v>
      </c>
      <c r="FZ67" s="46"/>
      <c r="GA67" s="46"/>
      <c r="GB67" s="44" t="s">
        <v>319</v>
      </c>
      <c r="GC67" s="44" t="s">
        <v>320</v>
      </c>
      <c r="GD67" s="44" t="s">
        <v>277</v>
      </c>
      <c r="GE67" s="43">
        <v>15</v>
      </c>
      <c r="GF67" s="43">
        <v>15</v>
      </c>
      <c r="GG67" s="43">
        <v>38</v>
      </c>
      <c r="GH67" s="43">
        <v>10</v>
      </c>
      <c r="GI67" s="47"/>
    </row>
    <row r="68" spans="1:191" s="48" customFormat="1" x14ac:dyDescent="0.25">
      <c r="A68" s="51">
        <v>229</v>
      </c>
      <c r="B68" s="52" t="s">
        <v>676</v>
      </c>
      <c r="C68" s="52" t="s">
        <v>353</v>
      </c>
      <c r="D68" s="52" t="s">
        <v>280</v>
      </c>
      <c r="E68" s="52" t="s">
        <v>281</v>
      </c>
      <c r="F68" s="52" t="s">
        <v>281</v>
      </c>
      <c r="G68" s="52" t="s">
        <v>282</v>
      </c>
      <c r="H68" s="52" t="s">
        <v>282</v>
      </c>
      <c r="I68" s="52" t="s">
        <v>282</v>
      </c>
      <c r="J68" s="52" t="s">
        <v>282</v>
      </c>
      <c r="K68" s="52" t="s">
        <v>281</v>
      </c>
      <c r="L68" s="52" t="s">
        <v>281</v>
      </c>
      <c r="M68" s="52" t="s">
        <v>282</v>
      </c>
      <c r="N68" s="51">
        <v>0</v>
      </c>
      <c r="O68" s="52"/>
      <c r="P68" s="52"/>
      <c r="Q68" s="52" t="s">
        <v>283</v>
      </c>
      <c r="R68" s="52" t="s">
        <v>322</v>
      </c>
      <c r="S68" s="52"/>
      <c r="T68" s="52"/>
      <c r="U68" s="52"/>
      <c r="V68" s="52" t="s">
        <v>350</v>
      </c>
      <c r="W68" s="51">
        <v>1</v>
      </c>
      <c r="X68" s="52" t="s">
        <v>677</v>
      </c>
      <c r="Y68" s="52"/>
      <c r="Z68" s="52" t="s">
        <v>303</v>
      </c>
      <c r="AA68" s="52" t="s">
        <v>331</v>
      </c>
      <c r="AB68" s="51">
        <v>0</v>
      </c>
      <c r="AC68" s="52"/>
      <c r="AD68" s="52"/>
      <c r="AE68" s="52" t="s">
        <v>305</v>
      </c>
      <c r="AF68" s="52" t="s">
        <v>331</v>
      </c>
      <c r="AG68" s="51">
        <v>0</v>
      </c>
      <c r="AH68" s="52"/>
      <c r="AI68" s="52"/>
      <c r="AJ68" s="51">
        <v>0</v>
      </c>
      <c r="AK68" s="52"/>
      <c r="AL68" s="52"/>
      <c r="AM68" s="52" t="s">
        <v>296</v>
      </c>
      <c r="AN68" s="51">
        <v>1</v>
      </c>
      <c r="AO68" s="52" t="s">
        <v>678</v>
      </c>
      <c r="AP68" s="52"/>
      <c r="AQ68" s="52" t="s">
        <v>294</v>
      </c>
      <c r="AR68" s="52" t="s">
        <v>287</v>
      </c>
      <c r="AS68" s="51">
        <v>0</v>
      </c>
      <c r="AT68" s="52"/>
      <c r="AU68" s="52"/>
      <c r="AV68" s="52" t="s">
        <v>288</v>
      </c>
      <c r="AW68" s="52" t="s">
        <v>287</v>
      </c>
      <c r="AX68" s="51">
        <v>0</v>
      </c>
      <c r="AY68" s="52"/>
      <c r="AZ68" s="52"/>
      <c r="BA68" s="51">
        <v>0</v>
      </c>
      <c r="BB68" s="52"/>
      <c r="BC68" s="52" t="s">
        <v>296</v>
      </c>
      <c r="BD68" s="52"/>
      <c r="BE68" s="52"/>
      <c r="BF68" s="51">
        <v>0</v>
      </c>
      <c r="BG68" s="52"/>
      <c r="BH68" s="52"/>
      <c r="BI68" s="52"/>
      <c r="BJ68" s="52"/>
      <c r="BK68" s="51">
        <v>0</v>
      </c>
      <c r="BL68" s="52"/>
      <c r="BM68" s="52"/>
      <c r="BN68" s="51">
        <v>0</v>
      </c>
      <c r="BO68" s="52"/>
      <c r="BP68" s="52"/>
      <c r="BQ68" s="51">
        <v>0</v>
      </c>
      <c r="BR68" s="52"/>
      <c r="BS68" s="52"/>
      <c r="BT68" s="52"/>
      <c r="BU68" s="51">
        <v>0</v>
      </c>
      <c r="BV68" s="52"/>
      <c r="BW68" s="52"/>
      <c r="BX68" s="52"/>
      <c r="BY68" s="52"/>
      <c r="BZ68" s="51">
        <v>0</v>
      </c>
      <c r="CA68" s="52"/>
      <c r="CB68" s="52"/>
      <c r="CC68" s="51">
        <v>0</v>
      </c>
      <c r="CD68" s="52"/>
      <c r="CE68" s="52"/>
      <c r="CF68" s="51">
        <v>1</v>
      </c>
      <c r="CG68" s="52" t="s">
        <v>679</v>
      </c>
      <c r="CH68" s="52"/>
      <c r="CI68" s="52" t="s">
        <v>303</v>
      </c>
      <c r="CJ68" s="52" t="s">
        <v>331</v>
      </c>
      <c r="CK68" s="51">
        <v>0</v>
      </c>
      <c r="CL68" s="52"/>
      <c r="CM68" s="52"/>
      <c r="CN68" s="52" t="s">
        <v>305</v>
      </c>
      <c r="CO68" s="52" t="s">
        <v>331</v>
      </c>
      <c r="CP68" s="51">
        <v>0</v>
      </c>
      <c r="CQ68" s="52"/>
      <c r="CR68" s="52"/>
      <c r="CS68" s="51">
        <v>1</v>
      </c>
      <c r="CT68" s="52" t="s">
        <v>680</v>
      </c>
      <c r="CU68" s="52" t="s">
        <v>296</v>
      </c>
      <c r="CV68" s="36"/>
      <c r="CW68" s="51">
        <v>1</v>
      </c>
      <c r="CX68" s="52" t="s">
        <v>681</v>
      </c>
      <c r="CY68" s="52"/>
      <c r="CZ68" s="52" t="s">
        <v>303</v>
      </c>
      <c r="DA68" s="52" t="s">
        <v>331</v>
      </c>
      <c r="DB68" s="51">
        <v>0</v>
      </c>
      <c r="DC68" s="52"/>
      <c r="DD68" s="52"/>
      <c r="DE68" s="52" t="s">
        <v>288</v>
      </c>
      <c r="DF68" s="52" t="s">
        <v>331</v>
      </c>
      <c r="DG68" s="51">
        <v>0</v>
      </c>
      <c r="DH68" s="52"/>
      <c r="DI68" s="52"/>
      <c r="DJ68" s="51">
        <v>0</v>
      </c>
      <c r="DK68" s="52"/>
      <c r="DL68" s="52" t="s">
        <v>299</v>
      </c>
      <c r="DM68" s="51">
        <v>1</v>
      </c>
      <c r="DN68" s="52" t="s">
        <v>362</v>
      </c>
      <c r="DO68" s="52"/>
      <c r="DP68" s="52" t="s">
        <v>303</v>
      </c>
      <c r="DQ68" s="52" t="s">
        <v>331</v>
      </c>
      <c r="DR68" s="51">
        <v>0</v>
      </c>
      <c r="DS68" s="52"/>
      <c r="DT68" s="52"/>
      <c r="DU68" s="52" t="s">
        <v>305</v>
      </c>
      <c r="DV68" s="52" t="s">
        <v>331</v>
      </c>
      <c r="DW68" s="51">
        <v>0</v>
      </c>
      <c r="DX68" s="52"/>
      <c r="DY68" s="52"/>
      <c r="DZ68" s="52"/>
      <c r="EA68" s="52"/>
      <c r="EB68" s="52" t="s">
        <v>296</v>
      </c>
      <c r="EC68" s="51">
        <v>1</v>
      </c>
      <c r="ED68" s="52" t="s">
        <v>682</v>
      </c>
      <c r="EE68" s="52" t="s">
        <v>303</v>
      </c>
      <c r="EF68" s="52" t="s">
        <v>331</v>
      </c>
      <c r="EG68" s="51">
        <v>0</v>
      </c>
      <c r="EH68" s="52"/>
      <c r="EI68" s="52"/>
      <c r="EJ68" s="52" t="s">
        <v>288</v>
      </c>
      <c r="EK68" s="52" t="s">
        <v>331</v>
      </c>
      <c r="EL68" s="51">
        <v>0</v>
      </c>
      <c r="EM68" s="52"/>
      <c r="EN68" s="52"/>
      <c r="EO68" s="52"/>
      <c r="EP68" s="51">
        <v>0</v>
      </c>
      <c r="EQ68" s="52"/>
      <c r="ER68" s="52" t="s">
        <v>296</v>
      </c>
      <c r="ES68" s="51">
        <v>0</v>
      </c>
      <c r="ET68" s="52"/>
      <c r="EU68" s="52"/>
      <c r="EV68" s="52"/>
      <c r="EW68" s="52"/>
      <c r="EX68" s="52"/>
      <c r="EY68" s="52"/>
      <c r="EZ68" s="52"/>
      <c r="FA68" s="52"/>
      <c r="FB68" s="51">
        <v>1</v>
      </c>
      <c r="FC68" s="52" t="s">
        <v>683</v>
      </c>
      <c r="FD68" s="52"/>
      <c r="FE68" s="52"/>
      <c r="FG68" s="52" t="s">
        <v>317</v>
      </c>
      <c r="FH68" s="52" t="s">
        <v>684</v>
      </c>
      <c r="FI68" s="52"/>
      <c r="FJ68" s="51">
        <v>-1</v>
      </c>
      <c r="FK68" s="51">
        <v>-1</v>
      </c>
      <c r="FL68" s="51">
        <v>-1</v>
      </c>
      <c r="FM68" s="51">
        <v>-1</v>
      </c>
      <c r="FN68" s="51">
        <v>-1</v>
      </c>
      <c r="FO68" s="51">
        <v>-1</v>
      </c>
      <c r="FP68" s="51">
        <v>-1</v>
      </c>
      <c r="FQ68" s="51">
        <v>-1</v>
      </c>
      <c r="FR68" s="51">
        <v>-1</v>
      </c>
      <c r="FS68" s="51">
        <v>-1</v>
      </c>
      <c r="FT68" s="51">
        <v>-1</v>
      </c>
      <c r="FU68" s="51">
        <v>-1</v>
      </c>
      <c r="FV68" s="51">
        <v>-1</v>
      </c>
      <c r="FW68" s="51">
        <v>-1</v>
      </c>
      <c r="FX68" s="51">
        <v>-1</v>
      </c>
      <c r="FY68" s="51">
        <v>-15</v>
      </c>
      <c r="FZ68" s="53"/>
      <c r="GA68" s="53"/>
      <c r="GB68" s="52" t="s">
        <v>319</v>
      </c>
      <c r="GC68" s="52" t="s">
        <v>320</v>
      </c>
      <c r="GD68" s="52" t="s">
        <v>277</v>
      </c>
      <c r="GE68" s="51">
        <v>15</v>
      </c>
      <c r="GF68" s="51">
        <v>15</v>
      </c>
      <c r="GG68" s="51">
        <v>49</v>
      </c>
      <c r="GH68" s="51">
        <v>25</v>
      </c>
      <c r="GI68" s="54"/>
    </row>
    <row r="69" spans="1:191" s="40" customFormat="1" x14ac:dyDescent="0.25">
      <c r="A69" s="38">
        <v>232</v>
      </c>
      <c r="B69" s="39" t="s">
        <v>676</v>
      </c>
      <c r="C69" s="39" t="s">
        <v>279</v>
      </c>
      <c r="D69" s="39" t="s">
        <v>320</v>
      </c>
      <c r="E69" s="39" t="s">
        <v>282</v>
      </c>
      <c r="F69" s="39" t="s">
        <v>282</v>
      </c>
      <c r="G69" s="39" t="s">
        <v>281</v>
      </c>
      <c r="H69" s="39" t="s">
        <v>282</v>
      </c>
      <c r="I69" s="39" t="s">
        <v>282</v>
      </c>
      <c r="J69" s="39" t="s">
        <v>282</v>
      </c>
      <c r="K69" s="39" t="s">
        <v>282</v>
      </c>
      <c r="L69" s="39" t="s">
        <v>282</v>
      </c>
      <c r="M69" s="39" t="s">
        <v>282</v>
      </c>
      <c r="N69" s="38">
        <v>0</v>
      </c>
      <c r="O69" s="39"/>
      <c r="P69" s="39"/>
      <c r="Q69" s="39" t="s">
        <v>423</v>
      </c>
      <c r="R69" s="39"/>
      <c r="S69" s="39"/>
      <c r="T69" s="39"/>
      <c r="U69" s="40" t="s">
        <v>464</v>
      </c>
      <c r="V69" s="39" t="s">
        <v>437</v>
      </c>
      <c r="W69" s="38">
        <v>1</v>
      </c>
      <c r="X69" s="39" t="s">
        <v>694</v>
      </c>
      <c r="Y69" s="39"/>
      <c r="Z69" s="39" t="s">
        <v>294</v>
      </c>
      <c r="AA69" s="39" t="s">
        <v>297</v>
      </c>
      <c r="AB69" s="38">
        <v>0</v>
      </c>
      <c r="AC69" s="39"/>
      <c r="AD69" s="39"/>
      <c r="AE69" s="39" t="s">
        <v>288</v>
      </c>
      <c r="AF69" s="39" t="s">
        <v>521</v>
      </c>
      <c r="AG69" s="38">
        <v>0</v>
      </c>
      <c r="AH69" s="39"/>
      <c r="AI69" s="39"/>
      <c r="AJ69" s="38">
        <v>0</v>
      </c>
      <c r="AK69" s="39"/>
      <c r="AL69" s="39"/>
      <c r="AM69" s="39" t="s">
        <v>296</v>
      </c>
      <c r="AN69" s="38">
        <v>1</v>
      </c>
      <c r="AO69" s="39" t="s">
        <v>699</v>
      </c>
      <c r="AP69" s="39"/>
      <c r="AQ69" s="39" t="s">
        <v>303</v>
      </c>
      <c r="AR69" s="39" t="s">
        <v>297</v>
      </c>
      <c r="AS69" s="38">
        <v>0</v>
      </c>
      <c r="AT69" s="39"/>
      <c r="AU69" s="39"/>
      <c r="AV69" s="39" t="s">
        <v>288</v>
      </c>
      <c r="AW69" s="39" t="s">
        <v>287</v>
      </c>
      <c r="AX69" s="38">
        <v>0</v>
      </c>
      <c r="AY69" s="39"/>
      <c r="AZ69" s="39"/>
      <c r="BA69" s="38">
        <v>0</v>
      </c>
      <c r="BB69" s="39"/>
      <c r="BC69" s="39" t="s">
        <v>296</v>
      </c>
      <c r="BD69" s="39" t="s">
        <v>303</v>
      </c>
      <c r="BE69" s="39" t="s">
        <v>331</v>
      </c>
      <c r="BF69" s="38">
        <v>0</v>
      </c>
      <c r="BG69" s="39"/>
      <c r="BH69" s="39"/>
      <c r="BI69" s="39" t="s">
        <v>298</v>
      </c>
      <c r="BJ69" s="39" t="s">
        <v>331</v>
      </c>
      <c r="BK69" s="38">
        <v>0</v>
      </c>
      <c r="BL69" s="39"/>
      <c r="BM69" s="39"/>
      <c r="BN69" s="38">
        <v>0</v>
      </c>
      <c r="BO69" s="39"/>
      <c r="BP69" s="39" t="s">
        <v>296</v>
      </c>
      <c r="BQ69" s="38">
        <v>1</v>
      </c>
      <c r="BR69" s="39" t="s">
        <v>588</v>
      </c>
      <c r="BS69" s="39" t="s">
        <v>294</v>
      </c>
      <c r="BT69" s="39" t="s">
        <v>297</v>
      </c>
      <c r="BU69" s="38">
        <v>0</v>
      </c>
      <c r="BV69" s="39"/>
      <c r="BW69" s="39"/>
      <c r="BX69" s="39" t="s">
        <v>288</v>
      </c>
      <c r="BY69" s="39" t="s">
        <v>297</v>
      </c>
      <c r="BZ69" s="38">
        <v>0</v>
      </c>
      <c r="CA69" s="39"/>
      <c r="CB69" s="39"/>
      <c r="CC69" s="38">
        <v>0</v>
      </c>
      <c r="CD69" s="39"/>
      <c r="CE69" s="39" t="s">
        <v>296</v>
      </c>
      <c r="CF69" s="38">
        <v>1</v>
      </c>
      <c r="CG69" s="39" t="s">
        <v>359</v>
      </c>
      <c r="CH69" s="39"/>
      <c r="CI69" s="39" t="s">
        <v>303</v>
      </c>
      <c r="CJ69" s="39" t="s">
        <v>297</v>
      </c>
      <c r="CK69" s="38">
        <v>0</v>
      </c>
      <c r="CL69" s="39"/>
      <c r="CM69" s="39"/>
      <c r="CN69" s="39" t="s">
        <v>305</v>
      </c>
      <c r="CO69" s="39" t="s">
        <v>287</v>
      </c>
      <c r="CP69" s="38">
        <v>0</v>
      </c>
      <c r="CQ69" s="39"/>
      <c r="CR69" s="39"/>
      <c r="CS69" s="38">
        <v>0</v>
      </c>
      <c r="CT69" s="39"/>
      <c r="CU69" s="39" t="s">
        <v>296</v>
      </c>
      <c r="CV69" s="36">
        <f t="shared" ref="CV69:CV71" si="1">IF(CE69=CU69,1,0)</f>
        <v>1</v>
      </c>
      <c r="CW69" s="38">
        <v>1</v>
      </c>
      <c r="CX69" s="39" t="s">
        <v>700</v>
      </c>
      <c r="CY69" s="39"/>
      <c r="CZ69" s="39" t="s">
        <v>303</v>
      </c>
      <c r="DA69" s="39" t="s">
        <v>302</v>
      </c>
      <c r="DB69" s="38">
        <v>0</v>
      </c>
      <c r="DC69" s="39"/>
      <c r="DD69" s="39"/>
      <c r="DE69" s="39" t="s">
        <v>305</v>
      </c>
      <c r="DF69" s="39" t="s">
        <v>302</v>
      </c>
      <c r="DG69" s="38">
        <v>0</v>
      </c>
      <c r="DH69" s="39"/>
      <c r="DI69" s="39"/>
      <c r="DJ69" s="38">
        <v>0</v>
      </c>
      <c r="DK69" s="39"/>
      <c r="DL69" s="39" t="s">
        <v>296</v>
      </c>
      <c r="DM69" s="38">
        <v>1</v>
      </c>
      <c r="DN69" s="39" t="s">
        <v>696</v>
      </c>
      <c r="DO69" s="39"/>
      <c r="DP69" s="39" t="s">
        <v>303</v>
      </c>
      <c r="DQ69" s="39" t="s">
        <v>331</v>
      </c>
      <c r="DR69" s="38">
        <v>0</v>
      </c>
      <c r="DS69" s="39"/>
      <c r="DT69" s="39"/>
      <c r="DU69" s="39" t="s">
        <v>298</v>
      </c>
      <c r="DV69" s="39" t="s">
        <v>331</v>
      </c>
      <c r="DW69" s="38">
        <v>0</v>
      </c>
      <c r="DX69" s="39"/>
      <c r="DY69" s="39"/>
      <c r="DZ69" s="39"/>
      <c r="EA69" s="39"/>
      <c r="EB69" s="39" t="s">
        <v>292</v>
      </c>
      <c r="EC69" s="38">
        <v>1</v>
      </c>
      <c r="ED69" s="39" t="s">
        <v>697</v>
      </c>
      <c r="EE69" s="39" t="s">
        <v>294</v>
      </c>
      <c r="EF69" s="39" t="s">
        <v>302</v>
      </c>
      <c r="EG69" s="38">
        <v>0</v>
      </c>
      <c r="EH69" s="39"/>
      <c r="EI69" s="39"/>
      <c r="EJ69" s="39" t="s">
        <v>305</v>
      </c>
      <c r="EK69" s="39" t="s">
        <v>302</v>
      </c>
      <c r="EL69" s="38">
        <v>0</v>
      </c>
      <c r="EM69" s="39"/>
      <c r="EN69" s="39"/>
      <c r="EO69" s="39"/>
      <c r="EP69" s="38">
        <v>0</v>
      </c>
      <c r="EQ69" s="39"/>
      <c r="ER69" s="39" t="s">
        <v>328</v>
      </c>
      <c r="ES69" s="38">
        <v>0</v>
      </c>
      <c r="ET69" s="39"/>
      <c r="EU69" s="39"/>
      <c r="EV69" s="39"/>
      <c r="EW69" s="39"/>
      <c r="EX69" s="39"/>
      <c r="EY69" s="39"/>
      <c r="EZ69" s="39"/>
      <c r="FA69" s="39"/>
      <c r="FB69" s="38">
        <v>1</v>
      </c>
      <c r="FC69" s="39" t="s">
        <v>701</v>
      </c>
      <c r="FD69" s="39"/>
      <c r="FE69" s="39"/>
      <c r="FG69" s="39" t="s">
        <v>335</v>
      </c>
      <c r="FH69" s="39"/>
      <c r="FI69" s="39"/>
      <c r="FJ69" s="38">
        <v>-1</v>
      </c>
      <c r="FK69" s="38">
        <v>-1</v>
      </c>
      <c r="FL69" s="38">
        <v>-1</v>
      </c>
      <c r="FM69" s="38">
        <v>-1</v>
      </c>
      <c r="FN69" s="38">
        <v>-1</v>
      </c>
      <c r="FO69" s="38">
        <v>-1</v>
      </c>
      <c r="FP69" s="38">
        <v>-1</v>
      </c>
      <c r="FQ69" s="38">
        <v>-1</v>
      </c>
      <c r="FR69" s="38">
        <v>-1</v>
      </c>
      <c r="FS69" s="38">
        <v>-1</v>
      </c>
      <c r="FT69" s="38">
        <v>-1</v>
      </c>
      <c r="FU69" s="38">
        <v>-1</v>
      </c>
      <c r="FV69" s="38">
        <v>-1</v>
      </c>
      <c r="FW69" s="38">
        <v>-1</v>
      </c>
      <c r="FX69" s="38">
        <v>-1</v>
      </c>
      <c r="FY69" s="38">
        <v>-15</v>
      </c>
      <c r="FZ69" s="41"/>
      <c r="GA69" s="41"/>
      <c r="GB69" s="39" t="s">
        <v>319</v>
      </c>
      <c r="GC69" s="39" t="s">
        <v>320</v>
      </c>
      <c r="GD69" s="39" t="s">
        <v>277</v>
      </c>
      <c r="GE69" s="38">
        <v>15</v>
      </c>
      <c r="GF69" s="38">
        <v>15</v>
      </c>
      <c r="GG69" s="38">
        <v>38</v>
      </c>
      <c r="GH69" s="38">
        <v>10</v>
      </c>
      <c r="GI69" s="42"/>
    </row>
    <row r="70" spans="1:191" s="48" customFormat="1" x14ac:dyDescent="0.25">
      <c r="A70" s="51">
        <v>247</v>
      </c>
      <c r="B70" s="52" t="s">
        <v>676</v>
      </c>
      <c r="C70" s="52" t="s">
        <v>353</v>
      </c>
      <c r="D70" s="52" t="s">
        <v>377</v>
      </c>
      <c r="E70" s="52" t="s">
        <v>281</v>
      </c>
      <c r="F70" s="52" t="s">
        <v>281</v>
      </c>
      <c r="G70" s="52" t="s">
        <v>281</v>
      </c>
      <c r="H70" s="52" t="s">
        <v>282</v>
      </c>
      <c r="I70" s="52" t="s">
        <v>282</v>
      </c>
      <c r="J70" s="52" t="s">
        <v>282</v>
      </c>
      <c r="K70" s="52" t="s">
        <v>282</v>
      </c>
      <c r="L70" s="52" t="s">
        <v>282</v>
      </c>
      <c r="M70" s="52" t="s">
        <v>282</v>
      </c>
      <c r="N70" s="51">
        <v>0</v>
      </c>
      <c r="O70" s="52"/>
      <c r="P70" s="52"/>
      <c r="Q70" s="52" t="s">
        <v>283</v>
      </c>
      <c r="R70" s="52" t="s">
        <v>378</v>
      </c>
      <c r="S70" s="52"/>
      <c r="T70" s="52"/>
      <c r="U70" s="52"/>
      <c r="V70" s="52" t="s">
        <v>437</v>
      </c>
      <c r="W70" s="51">
        <v>1</v>
      </c>
      <c r="X70" s="52" t="s">
        <v>365</v>
      </c>
      <c r="Y70" s="52"/>
      <c r="Z70" s="52" t="s">
        <v>301</v>
      </c>
      <c r="AA70" s="52" t="s">
        <v>331</v>
      </c>
      <c r="AB70" s="51">
        <v>0</v>
      </c>
      <c r="AC70" s="52"/>
      <c r="AD70" s="52"/>
      <c r="AE70" s="52" t="s">
        <v>288</v>
      </c>
      <c r="AF70" s="52" t="s">
        <v>331</v>
      </c>
      <c r="AG70" s="51">
        <v>0</v>
      </c>
      <c r="AH70" s="52"/>
      <c r="AI70" s="52"/>
      <c r="AJ70" s="51">
        <v>1</v>
      </c>
      <c r="AK70" s="52" t="s">
        <v>738</v>
      </c>
      <c r="AL70" s="52"/>
      <c r="AM70" s="52" t="s">
        <v>328</v>
      </c>
      <c r="AN70" s="51">
        <v>1</v>
      </c>
      <c r="AO70" s="52" t="s">
        <v>739</v>
      </c>
      <c r="AP70" s="52"/>
      <c r="AQ70" s="52" t="s">
        <v>301</v>
      </c>
      <c r="AR70" s="52" t="s">
        <v>287</v>
      </c>
      <c r="AS70" s="51">
        <v>0</v>
      </c>
      <c r="AT70" s="52"/>
      <c r="AU70" s="52"/>
      <c r="AV70" s="52" t="s">
        <v>324</v>
      </c>
      <c r="AW70" s="52" t="s">
        <v>339</v>
      </c>
      <c r="AX70" s="51">
        <v>0</v>
      </c>
      <c r="AY70" s="52"/>
      <c r="AZ70" s="52"/>
      <c r="BA70" s="51">
        <v>0</v>
      </c>
      <c r="BB70" s="52"/>
      <c r="BC70" s="52" t="s">
        <v>328</v>
      </c>
      <c r="BD70" s="52" t="s">
        <v>303</v>
      </c>
      <c r="BE70" s="52" t="s">
        <v>331</v>
      </c>
      <c r="BF70" s="51">
        <v>0</v>
      </c>
      <c r="BG70" s="52"/>
      <c r="BH70" s="52"/>
      <c r="BI70" s="52" t="s">
        <v>298</v>
      </c>
      <c r="BJ70" s="52" t="s">
        <v>331</v>
      </c>
      <c r="BK70" s="51">
        <v>0</v>
      </c>
      <c r="BL70" s="52"/>
      <c r="BM70" s="52"/>
      <c r="BN70" s="51">
        <v>0</v>
      </c>
      <c r="BO70" s="52"/>
      <c r="BP70" s="52" t="s">
        <v>299</v>
      </c>
      <c r="BQ70" s="51">
        <v>1</v>
      </c>
      <c r="BR70" s="52" t="s">
        <v>740</v>
      </c>
      <c r="BS70" s="52" t="s">
        <v>301</v>
      </c>
      <c r="BT70" s="52" t="s">
        <v>297</v>
      </c>
      <c r="BU70" s="51">
        <v>0</v>
      </c>
      <c r="BV70" s="52"/>
      <c r="BW70" s="52"/>
      <c r="BX70" s="52" t="s">
        <v>324</v>
      </c>
      <c r="BY70" s="52" t="s">
        <v>331</v>
      </c>
      <c r="BZ70" s="51">
        <v>0</v>
      </c>
      <c r="CA70" s="52"/>
      <c r="CB70" s="52"/>
      <c r="CC70" s="51">
        <v>0</v>
      </c>
      <c r="CD70" s="52"/>
      <c r="CE70" s="52" t="s">
        <v>299</v>
      </c>
      <c r="CF70" s="51">
        <v>1</v>
      </c>
      <c r="CG70" s="52" t="s">
        <v>370</v>
      </c>
      <c r="CH70" s="52"/>
      <c r="CI70" s="52" t="s">
        <v>294</v>
      </c>
      <c r="CJ70" s="52" t="s">
        <v>302</v>
      </c>
      <c r="CK70" s="51">
        <v>0</v>
      </c>
      <c r="CL70" s="52"/>
      <c r="CM70" s="52"/>
      <c r="CN70" s="52" t="s">
        <v>288</v>
      </c>
      <c r="CO70" s="52" t="s">
        <v>331</v>
      </c>
      <c r="CP70" s="51">
        <v>0</v>
      </c>
      <c r="CQ70" s="52"/>
      <c r="CR70" s="52"/>
      <c r="CS70" s="51">
        <v>1</v>
      </c>
      <c r="CT70" s="52" t="s">
        <v>741</v>
      </c>
      <c r="CU70" s="52" t="s">
        <v>299</v>
      </c>
      <c r="CV70" s="36">
        <f t="shared" si="1"/>
        <v>1</v>
      </c>
      <c r="CW70" s="51">
        <v>1</v>
      </c>
      <c r="CX70" s="52" t="s">
        <v>742</v>
      </c>
      <c r="CY70" s="52"/>
      <c r="CZ70" s="52" t="s">
        <v>301</v>
      </c>
      <c r="DA70" s="52" t="s">
        <v>297</v>
      </c>
      <c r="DB70" s="51">
        <v>0</v>
      </c>
      <c r="DC70" s="52"/>
      <c r="DD70" s="52"/>
      <c r="DE70" s="52" t="s">
        <v>288</v>
      </c>
      <c r="DF70" s="52" t="s">
        <v>339</v>
      </c>
      <c r="DG70" s="51">
        <v>0</v>
      </c>
      <c r="DH70" s="52"/>
      <c r="DI70" s="52"/>
      <c r="DJ70" s="51">
        <v>0</v>
      </c>
      <c r="DK70" s="52"/>
      <c r="DL70" s="52" t="s">
        <v>299</v>
      </c>
      <c r="DM70" s="51">
        <v>1</v>
      </c>
      <c r="DN70" s="52" t="s">
        <v>743</v>
      </c>
      <c r="DO70" s="52"/>
      <c r="DP70" s="52" t="s">
        <v>294</v>
      </c>
      <c r="DQ70" s="52" t="s">
        <v>331</v>
      </c>
      <c r="DR70" s="51">
        <v>0</v>
      </c>
      <c r="DS70" s="52"/>
      <c r="DT70" s="52"/>
      <c r="DU70" s="52" t="s">
        <v>298</v>
      </c>
      <c r="DV70" s="52" t="s">
        <v>331</v>
      </c>
      <c r="DW70" s="51">
        <v>0</v>
      </c>
      <c r="DX70" s="52"/>
      <c r="DY70" s="52"/>
      <c r="DZ70" s="52" t="s">
        <v>744</v>
      </c>
      <c r="EA70" s="52"/>
      <c r="EB70" s="52" t="s">
        <v>299</v>
      </c>
      <c r="EC70" s="51">
        <v>1</v>
      </c>
      <c r="ED70" s="52" t="s">
        <v>374</v>
      </c>
      <c r="EE70" s="52" t="s">
        <v>301</v>
      </c>
      <c r="EF70" s="52" t="s">
        <v>331</v>
      </c>
      <c r="EG70" s="51">
        <v>0</v>
      </c>
      <c r="EH70" s="52"/>
      <c r="EI70" s="52"/>
      <c r="EJ70" s="52" t="s">
        <v>288</v>
      </c>
      <c r="EK70" s="52" t="s">
        <v>331</v>
      </c>
      <c r="EL70" s="51">
        <v>0</v>
      </c>
      <c r="EM70" s="52"/>
      <c r="EN70" s="52"/>
      <c r="EO70" s="52"/>
      <c r="EP70" s="51">
        <v>0</v>
      </c>
      <c r="EQ70" s="52"/>
      <c r="ER70" s="52" t="s">
        <v>299</v>
      </c>
      <c r="ES70" s="51">
        <v>0</v>
      </c>
      <c r="ET70" s="52"/>
      <c r="EU70" s="52"/>
      <c r="EV70" s="52"/>
      <c r="EW70" s="52"/>
      <c r="EX70" s="52"/>
      <c r="EY70" s="52"/>
      <c r="EZ70" s="52"/>
      <c r="FA70" s="52"/>
      <c r="FB70" s="51">
        <v>1</v>
      </c>
      <c r="FC70" s="52" t="s">
        <v>745</v>
      </c>
      <c r="FD70" s="52"/>
      <c r="FE70" s="52"/>
      <c r="FG70" s="52" t="s">
        <v>317</v>
      </c>
      <c r="FH70" s="52" t="s">
        <v>746</v>
      </c>
      <c r="FI70" s="52"/>
      <c r="FJ70" s="51">
        <v>-1</v>
      </c>
      <c r="FK70" s="51">
        <v>-1</v>
      </c>
      <c r="FL70" s="51">
        <v>-1</v>
      </c>
      <c r="FM70" s="51">
        <v>-1</v>
      </c>
      <c r="FN70" s="51">
        <v>-1</v>
      </c>
      <c r="FO70" s="51">
        <v>-1</v>
      </c>
      <c r="FP70" s="51">
        <v>-1</v>
      </c>
      <c r="FQ70" s="51">
        <v>-1</v>
      </c>
      <c r="FR70" s="51">
        <v>-1</v>
      </c>
      <c r="FS70" s="51">
        <v>-1</v>
      </c>
      <c r="FT70" s="51">
        <v>-1</v>
      </c>
      <c r="FU70" s="51">
        <v>-1</v>
      </c>
      <c r="FV70" s="51">
        <v>-1</v>
      </c>
      <c r="FW70" s="51">
        <v>-1</v>
      </c>
      <c r="FX70" s="51">
        <v>-1</v>
      </c>
      <c r="FY70" s="51">
        <v>-15</v>
      </c>
      <c r="FZ70" s="53"/>
      <c r="GA70" s="53"/>
      <c r="GB70" s="52" t="s">
        <v>319</v>
      </c>
      <c r="GC70" s="52" t="s">
        <v>320</v>
      </c>
      <c r="GD70" s="52" t="s">
        <v>277</v>
      </c>
      <c r="GE70" s="51">
        <v>15</v>
      </c>
      <c r="GF70" s="51">
        <v>15</v>
      </c>
      <c r="GG70" s="51">
        <v>34</v>
      </c>
      <c r="GH70" s="51">
        <v>8</v>
      </c>
      <c r="GI70" s="54"/>
    </row>
    <row r="71" spans="1:191" s="48" customFormat="1" x14ac:dyDescent="0.25">
      <c r="A71" s="51">
        <v>248</v>
      </c>
      <c r="B71" s="52" t="s">
        <v>676</v>
      </c>
      <c r="C71" s="52" t="s">
        <v>279</v>
      </c>
      <c r="D71" s="52" t="s">
        <v>422</v>
      </c>
      <c r="E71" s="52" t="s">
        <v>282</v>
      </c>
      <c r="F71" s="52" t="s">
        <v>281</v>
      </c>
      <c r="G71" s="52" t="s">
        <v>282</v>
      </c>
      <c r="H71" s="52" t="s">
        <v>282</v>
      </c>
      <c r="I71" s="52" t="s">
        <v>282</v>
      </c>
      <c r="J71" s="52" t="s">
        <v>281</v>
      </c>
      <c r="K71" s="52" t="s">
        <v>282</v>
      </c>
      <c r="L71" s="52" t="s">
        <v>282</v>
      </c>
      <c r="M71" s="52" t="s">
        <v>282</v>
      </c>
      <c r="N71" s="51">
        <v>0</v>
      </c>
      <c r="O71" s="52"/>
      <c r="P71" s="52"/>
      <c r="Q71" s="52" t="s">
        <v>283</v>
      </c>
      <c r="R71" s="52" t="s">
        <v>378</v>
      </c>
      <c r="S71" s="52"/>
      <c r="T71" s="52"/>
      <c r="U71" s="52"/>
      <c r="V71" s="52" t="s">
        <v>350</v>
      </c>
      <c r="W71" s="51">
        <v>1</v>
      </c>
      <c r="X71" s="52" t="s">
        <v>374</v>
      </c>
      <c r="Y71" s="52"/>
      <c r="Z71" s="52" t="s">
        <v>301</v>
      </c>
      <c r="AA71" s="52" t="s">
        <v>331</v>
      </c>
      <c r="AB71" s="51">
        <v>0</v>
      </c>
      <c r="AC71" s="52"/>
      <c r="AD71" s="52"/>
      <c r="AE71" s="52" t="s">
        <v>288</v>
      </c>
      <c r="AF71" s="52" t="s">
        <v>500</v>
      </c>
      <c r="AG71" s="51">
        <v>0</v>
      </c>
      <c r="AH71" s="52"/>
      <c r="AI71" s="52"/>
      <c r="AJ71" s="51">
        <v>0</v>
      </c>
      <c r="AK71" s="52"/>
      <c r="AL71" s="52"/>
      <c r="AM71" s="52" t="s">
        <v>292</v>
      </c>
      <c r="AN71" s="51">
        <v>1</v>
      </c>
      <c r="AO71" s="52" t="s">
        <v>739</v>
      </c>
      <c r="AP71" s="52"/>
      <c r="AQ71" s="52" t="s">
        <v>301</v>
      </c>
      <c r="AR71" s="52" t="s">
        <v>287</v>
      </c>
      <c r="AS71" s="51">
        <v>0</v>
      </c>
      <c r="AT71" s="52"/>
      <c r="AU71" s="52"/>
      <c r="AV71" s="52" t="s">
        <v>288</v>
      </c>
      <c r="AW71" s="52" t="s">
        <v>302</v>
      </c>
      <c r="AX71" s="51">
        <v>0</v>
      </c>
      <c r="AY71" s="52"/>
      <c r="AZ71" s="52"/>
      <c r="BA71" s="51">
        <v>0</v>
      </c>
      <c r="BB71" s="52"/>
      <c r="BC71" s="52" t="s">
        <v>328</v>
      </c>
      <c r="BD71" s="52" t="s">
        <v>294</v>
      </c>
      <c r="BE71" s="52" t="s">
        <v>297</v>
      </c>
      <c r="BF71" s="51">
        <v>0</v>
      </c>
      <c r="BG71" s="52"/>
      <c r="BH71" s="52"/>
      <c r="BI71" s="52" t="s">
        <v>288</v>
      </c>
      <c r="BJ71" s="52" t="s">
        <v>302</v>
      </c>
      <c r="BK71" s="51">
        <v>0</v>
      </c>
      <c r="BL71" s="52"/>
      <c r="BM71" s="52"/>
      <c r="BN71" s="51">
        <v>0</v>
      </c>
      <c r="BO71" s="52"/>
      <c r="BP71" s="52" t="s">
        <v>299</v>
      </c>
      <c r="BQ71" s="51">
        <v>1</v>
      </c>
      <c r="BR71" s="52" t="s">
        <v>747</v>
      </c>
      <c r="BS71" s="52" t="s">
        <v>301</v>
      </c>
      <c r="BT71" s="52" t="s">
        <v>297</v>
      </c>
      <c r="BU71" s="51">
        <v>0</v>
      </c>
      <c r="BV71" s="52"/>
      <c r="BW71" s="52"/>
      <c r="BX71" s="52" t="s">
        <v>288</v>
      </c>
      <c r="BY71" s="52" t="s">
        <v>331</v>
      </c>
      <c r="BZ71" s="51">
        <v>0</v>
      </c>
      <c r="CA71" s="52"/>
      <c r="CB71" s="52"/>
      <c r="CC71" s="51">
        <v>0</v>
      </c>
      <c r="CD71" s="52"/>
      <c r="CE71" s="52" t="s">
        <v>299</v>
      </c>
      <c r="CF71" s="51">
        <v>1</v>
      </c>
      <c r="CG71" s="52" t="s">
        <v>370</v>
      </c>
      <c r="CH71" s="52"/>
      <c r="CI71" s="52" t="s">
        <v>294</v>
      </c>
      <c r="CJ71" s="52" t="s">
        <v>297</v>
      </c>
      <c r="CK71" s="51">
        <v>0</v>
      </c>
      <c r="CL71" s="52"/>
      <c r="CM71" s="52"/>
      <c r="CN71" s="52" t="s">
        <v>305</v>
      </c>
      <c r="CO71" s="52" t="s">
        <v>302</v>
      </c>
      <c r="CP71" s="51">
        <v>0</v>
      </c>
      <c r="CQ71" s="52"/>
      <c r="CR71" s="52"/>
      <c r="CS71" s="51">
        <v>0</v>
      </c>
      <c r="CT71" s="52"/>
      <c r="CU71" s="52" t="s">
        <v>299</v>
      </c>
      <c r="CV71" s="36">
        <f t="shared" si="1"/>
        <v>1</v>
      </c>
      <c r="CW71" s="51">
        <v>0</v>
      </c>
      <c r="CX71" s="52"/>
      <c r="CY71" s="52"/>
      <c r="CZ71" s="52" t="s">
        <v>301</v>
      </c>
      <c r="DA71" s="52" t="s">
        <v>297</v>
      </c>
      <c r="DB71" s="51">
        <v>0</v>
      </c>
      <c r="DC71" s="52"/>
      <c r="DD71" s="52"/>
      <c r="DE71" s="52" t="s">
        <v>324</v>
      </c>
      <c r="DF71" s="52" t="s">
        <v>302</v>
      </c>
      <c r="DG71" s="51">
        <v>0</v>
      </c>
      <c r="DH71" s="52"/>
      <c r="DI71" s="52"/>
      <c r="DJ71" s="51">
        <v>0</v>
      </c>
      <c r="DK71" s="52"/>
      <c r="DL71" s="52" t="s">
        <v>328</v>
      </c>
      <c r="DM71" s="51">
        <v>1</v>
      </c>
      <c r="DN71" s="52" t="s">
        <v>748</v>
      </c>
      <c r="DO71" s="52"/>
      <c r="DP71" s="52" t="s">
        <v>301</v>
      </c>
      <c r="DQ71" s="52" t="s">
        <v>331</v>
      </c>
      <c r="DR71" s="51">
        <v>0</v>
      </c>
      <c r="DS71" s="52"/>
      <c r="DT71" s="52"/>
      <c r="DU71" s="52" t="s">
        <v>288</v>
      </c>
      <c r="DV71" s="52" t="s">
        <v>302</v>
      </c>
      <c r="DW71" s="51">
        <v>0</v>
      </c>
      <c r="DX71" s="52"/>
      <c r="DY71" s="52"/>
      <c r="DZ71" s="52"/>
      <c r="EA71" s="52"/>
      <c r="EB71" s="52" t="s">
        <v>328</v>
      </c>
      <c r="EC71" s="51">
        <v>1</v>
      </c>
      <c r="ED71" s="52" t="s">
        <v>374</v>
      </c>
      <c r="EE71" s="52" t="s">
        <v>301</v>
      </c>
      <c r="EF71" s="52" t="s">
        <v>331</v>
      </c>
      <c r="EG71" s="51">
        <v>0</v>
      </c>
      <c r="EH71" s="52"/>
      <c r="EI71" s="52"/>
      <c r="EJ71" s="52" t="s">
        <v>288</v>
      </c>
      <c r="EK71" s="52" t="s">
        <v>339</v>
      </c>
      <c r="EL71" s="51">
        <v>0</v>
      </c>
      <c r="EM71" s="52"/>
      <c r="EN71" s="52"/>
      <c r="EO71" s="52"/>
      <c r="EP71" s="51">
        <v>0</v>
      </c>
      <c r="EQ71" s="52"/>
      <c r="ER71" s="52" t="s">
        <v>299</v>
      </c>
      <c r="ES71" s="51">
        <v>0</v>
      </c>
      <c r="ET71" s="52"/>
      <c r="EU71" s="52"/>
      <c r="EV71" s="52"/>
      <c r="EW71" s="52"/>
      <c r="EX71" s="52"/>
      <c r="EY71" s="52"/>
      <c r="EZ71" s="52"/>
      <c r="FA71" s="52"/>
      <c r="FB71" s="51">
        <v>0</v>
      </c>
      <c r="FC71" s="52"/>
      <c r="FD71" s="52"/>
      <c r="FE71" s="52"/>
      <c r="FG71" s="52" t="s">
        <v>317</v>
      </c>
      <c r="FH71" s="52" t="s">
        <v>749</v>
      </c>
      <c r="FI71" s="52"/>
      <c r="FJ71" s="51">
        <v>-1</v>
      </c>
      <c r="FK71" s="51">
        <v>-1</v>
      </c>
      <c r="FL71" s="51">
        <v>-1</v>
      </c>
      <c r="FM71" s="51">
        <v>-1</v>
      </c>
      <c r="FN71" s="51">
        <v>-1</v>
      </c>
      <c r="FO71" s="51">
        <v>-1</v>
      </c>
      <c r="FP71" s="51">
        <v>-1</v>
      </c>
      <c r="FQ71" s="51">
        <v>-1</v>
      </c>
      <c r="FR71" s="51">
        <v>-1</v>
      </c>
      <c r="FS71" s="51">
        <v>-1</v>
      </c>
      <c r="FT71" s="51">
        <v>-1</v>
      </c>
      <c r="FU71" s="51">
        <v>-1</v>
      </c>
      <c r="FV71" s="51">
        <v>-1</v>
      </c>
      <c r="FW71" s="51">
        <v>-1</v>
      </c>
      <c r="FX71" s="51">
        <v>-1</v>
      </c>
      <c r="FY71" s="51">
        <v>-15</v>
      </c>
      <c r="FZ71" s="53"/>
      <c r="GA71" s="53"/>
      <c r="GB71" s="52" t="s">
        <v>319</v>
      </c>
      <c r="GC71" s="52" t="s">
        <v>320</v>
      </c>
      <c r="GD71" s="52" t="s">
        <v>277</v>
      </c>
      <c r="GE71" s="51">
        <v>15</v>
      </c>
      <c r="GF71" s="51">
        <v>15</v>
      </c>
      <c r="GG71" s="51">
        <v>40</v>
      </c>
      <c r="GH71" s="51">
        <v>12</v>
      </c>
      <c r="GI71" s="54"/>
    </row>
    <row r="74" spans="1:191" s="6" customFormat="1" x14ac:dyDescent="0.25"/>
    <row r="76" spans="1:191" ht="13.8" x14ac:dyDescent="0.25">
      <c r="AM76" s="31"/>
      <c r="BC76" s="31"/>
      <c r="BP76" s="31"/>
      <c r="CE76" s="31"/>
      <c r="CU76" s="31"/>
      <c r="CV76" s="31" t="s">
        <v>895</v>
      </c>
      <c r="DL76" s="31"/>
      <c r="EB76" s="31"/>
      <c r="ER76" s="31"/>
    </row>
    <row r="77" spans="1:191" ht="13.8" x14ac:dyDescent="0.25">
      <c r="CV77" s="31" t="s">
        <v>896</v>
      </c>
    </row>
    <row r="78" spans="1:191" ht="13.8" x14ac:dyDescent="0.25">
      <c r="B78" t="s">
        <v>876</v>
      </c>
      <c r="H78" t="s">
        <v>889</v>
      </c>
      <c r="M78" s="56"/>
      <c r="N78" t="s">
        <v>888</v>
      </c>
      <c r="CV78" s="31" t="s">
        <v>897</v>
      </c>
    </row>
    <row r="79" spans="1:191" x14ac:dyDescent="0.25">
      <c r="B79" s="30"/>
      <c r="C79" t="s">
        <v>877</v>
      </c>
      <c r="H79" s="48"/>
      <c r="I79" t="s">
        <v>781</v>
      </c>
    </row>
    <row r="80" spans="1:191" x14ac:dyDescent="0.25">
      <c r="B80" s="22"/>
      <c r="C80" t="s">
        <v>854</v>
      </c>
      <c r="H80" s="50"/>
      <c r="I80" t="s">
        <v>782</v>
      </c>
    </row>
    <row r="81" spans="2:25" x14ac:dyDescent="0.25">
      <c r="B81" s="23"/>
      <c r="C81" t="s">
        <v>878</v>
      </c>
      <c r="H81" s="49"/>
      <c r="I81" t="s">
        <v>783</v>
      </c>
    </row>
    <row r="82" spans="2:25" x14ac:dyDescent="0.25">
      <c r="B82" s="24"/>
      <c r="C82" t="s">
        <v>879</v>
      </c>
      <c r="H82" s="40"/>
      <c r="I82" t="s">
        <v>779</v>
      </c>
    </row>
    <row r="83" spans="2:25" x14ac:dyDescent="0.25">
      <c r="B83" s="25"/>
      <c r="C83" t="s">
        <v>437</v>
      </c>
      <c r="H83" s="10"/>
      <c r="I83" t="s">
        <v>780</v>
      </c>
    </row>
    <row r="84" spans="2:25" x14ac:dyDescent="0.25">
      <c r="B84" s="5"/>
      <c r="C84" t="s">
        <v>350</v>
      </c>
      <c r="H84" t="s">
        <v>890</v>
      </c>
    </row>
    <row r="85" spans="2:25" x14ac:dyDescent="0.25">
      <c r="B85" s="26"/>
      <c r="C85" t="s">
        <v>393</v>
      </c>
      <c r="H85" t="s">
        <v>882</v>
      </c>
    </row>
    <row r="86" spans="2:25" x14ac:dyDescent="0.25">
      <c r="B86" s="27"/>
      <c r="C86" t="s">
        <v>880</v>
      </c>
    </row>
    <row r="87" spans="2:25" x14ac:dyDescent="0.25">
      <c r="B87" s="28"/>
      <c r="C87" t="s">
        <v>881</v>
      </c>
    </row>
    <row r="88" spans="2:25" x14ac:dyDescent="0.25">
      <c r="B88" s="29"/>
      <c r="C88" t="s">
        <v>877</v>
      </c>
    </row>
    <row r="90" spans="2:25" ht="28.2" x14ac:dyDescent="0.5">
      <c r="B90" s="8" t="s">
        <v>875</v>
      </c>
      <c r="M90" s="107" t="s">
        <v>883</v>
      </c>
    </row>
    <row r="91" spans="2:25" ht="21.6" x14ac:dyDescent="0.4">
      <c r="R91" s="107" t="s">
        <v>894</v>
      </c>
    </row>
    <row r="92" spans="2:25" x14ac:dyDescent="0.25">
      <c r="B92" s="134" t="s">
        <v>751</v>
      </c>
      <c r="C92" s="134"/>
      <c r="E92" s="134" t="s">
        <v>192</v>
      </c>
      <c r="F92" s="134"/>
      <c r="H92" s="134" t="s">
        <v>753</v>
      </c>
      <c r="I92" s="134"/>
      <c r="N92" s="134" t="s">
        <v>759</v>
      </c>
      <c r="O92" s="134"/>
    </row>
    <row r="93" spans="2:25" x14ac:dyDescent="0.25">
      <c r="B93" s="110" t="s">
        <v>278</v>
      </c>
      <c r="C93" s="110">
        <f>COUNTIF(B3:B71,B93)</f>
        <v>2</v>
      </c>
      <c r="E93" s="110" t="s">
        <v>279</v>
      </c>
      <c r="F93" s="110">
        <f>COUNTIF(C3:C71,E93)</f>
        <v>27</v>
      </c>
      <c r="H93" s="110" t="s">
        <v>283</v>
      </c>
      <c r="I93" s="110">
        <f>COUNTIF(Q3:Q71,H93)</f>
        <v>17</v>
      </c>
      <c r="M93" s="18" t="s">
        <v>278</v>
      </c>
      <c r="N93" t="s">
        <v>316</v>
      </c>
      <c r="O93">
        <f>COUNTIF(V3:V4,N93)</f>
        <v>1</v>
      </c>
      <c r="R93" s="9" t="s">
        <v>784</v>
      </c>
      <c r="S93" s="9" t="s">
        <v>331</v>
      </c>
      <c r="T93" s="9" t="s">
        <v>892</v>
      </c>
      <c r="U93" s="9" t="s">
        <v>891</v>
      </c>
      <c r="V93" s="112" t="s">
        <v>866</v>
      </c>
      <c r="W93" s="9" t="s">
        <v>867</v>
      </c>
      <c r="X93" s="9" t="s">
        <v>868</v>
      </c>
      <c r="Y93" s="112" t="s">
        <v>893</v>
      </c>
    </row>
    <row r="94" spans="2:25" x14ac:dyDescent="0.25">
      <c r="B94" s="110" t="s">
        <v>321</v>
      </c>
      <c r="C94" s="110">
        <f>COUNTIF(B3:B71,B94)</f>
        <v>21</v>
      </c>
      <c r="E94" s="110" t="s">
        <v>353</v>
      </c>
      <c r="F94" s="110">
        <f>COUNTIF(C3:C71,E94)</f>
        <v>41</v>
      </c>
      <c r="H94" s="110" t="s">
        <v>337</v>
      </c>
      <c r="I94" s="110">
        <f>COUNTIF(Q3:Q71,H94)</f>
        <v>13</v>
      </c>
      <c r="N94" t="s">
        <v>425</v>
      </c>
      <c r="O94">
        <f>COUNTIF(V3:V4,N94)</f>
        <v>1</v>
      </c>
      <c r="R94" t="s">
        <v>860</v>
      </c>
      <c r="S94">
        <f>COUNTIF(E3:E4,"ausgewählt")</f>
        <v>1</v>
      </c>
      <c r="T94">
        <f>COUNTIF(F3:F4,"ausgewählt")</f>
        <v>2</v>
      </c>
      <c r="U94">
        <f>COUNTIF(J3:J4,"ausgewählt")</f>
        <v>0</v>
      </c>
      <c r="V94" s="113">
        <f t="shared" ref="V94:V99" si="2">S94/Y94</f>
        <v>0.5</v>
      </c>
      <c r="W94" s="103">
        <f t="shared" ref="W94:W99" si="3">T94/Y94</f>
        <v>1</v>
      </c>
      <c r="X94" s="103">
        <f t="shared" ref="X94:X99" si="4">U94/Y94</f>
        <v>0</v>
      </c>
      <c r="Y94" s="114">
        <f>COUNTA(E3:E4)</f>
        <v>2</v>
      </c>
    </row>
    <row r="95" spans="2:25" x14ac:dyDescent="0.25">
      <c r="B95" s="110" t="s">
        <v>421</v>
      </c>
      <c r="C95" s="110">
        <f>COUNTIF(B3:B71,B95)</f>
        <v>13</v>
      </c>
      <c r="E95" s="110" t="s">
        <v>752</v>
      </c>
      <c r="F95" s="110">
        <v>1</v>
      </c>
      <c r="H95" s="110" t="s">
        <v>355</v>
      </c>
      <c r="I95" s="110">
        <f>COUNTIF(Q3:Q71,H95)</f>
        <v>16</v>
      </c>
      <c r="N95" s="7" t="s">
        <v>750</v>
      </c>
      <c r="O95" s="7">
        <f>SUM(O75:O94)</f>
        <v>2</v>
      </c>
      <c r="R95" t="s">
        <v>861</v>
      </c>
      <c r="S95">
        <f>COUNTIF(E5:E25,"ausgewählt")</f>
        <v>13</v>
      </c>
      <c r="T95">
        <f>COUNTIF(F5:F25,"ausgewählt")</f>
        <v>11</v>
      </c>
      <c r="U95">
        <f>COUNTIF(J5:J25,"ausgewählt")</f>
        <v>18</v>
      </c>
      <c r="V95" s="113">
        <f t="shared" si="2"/>
        <v>0.61904761904761907</v>
      </c>
      <c r="W95" s="103">
        <f t="shared" si="3"/>
        <v>0.52380952380952384</v>
      </c>
      <c r="X95" s="103">
        <f t="shared" si="4"/>
        <v>0.8571428571428571</v>
      </c>
      <c r="Y95" s="114">
        <f>COUNTA(E5:E25)</f>
        <v>21</v>
      </c>
    </row>
    <row r="96" spans="2:25" x14ac:dyDescent="0.25">
      <c r="B96" s="110" t="s">
        <v>347</v>
      </c>
      <c r="C96" s="110">
        <f>COUNTIF(B3:B71,B96)</f>
        <v>19</v>
      </c>
      <c r="E96" t="s">
        <v>750</v>
      </c>
      <c r="F96">
        <f>SUM(F93:F95)</f>
        <v>69</v>
      </c>
      <c r="H96" s="110" t="s">
        <v>423</v>
      </c>
      <c r="I96" s="110">
        <f>COUNTIF(Q3:Q71,H96)</f>
        <v>23</v>
      </c>
      <c r="R96" t="s">
        <v>862</v>
      </c>
      <c r="S96">
        <f>COUNTIF(E26:E38,"ausgewählt")</f>
        <v>7</v>
      </c>
      <c r="T96">
        <f>COUNTIF(F26:F38,"ausgewählt")</f>
        <v>7</v>
      </c>
      <c r="U96">
        <f>COUNTIF(J26:J38,"ausgewählt")</f>
        <v>13</v>
      </c>
      <c r="V96" s="113">
        <f t="shared" si="2"/>
        <v>0.53846153846153844</v>
      </c>
      <c r="W96" s="103">
        <f t="shared" si="3"/>
        <v>0.53846153846153844</v>
      </c>
      <c r="X96" s="103">
        <f t="shared" si="4"/>
        <v>1</v>
      </c>
      <c r="Y96" s="114">
        <f>COUNTA(E26:E38)</f>
        <v>13</v>
      </c>
    </row>
    <row r="97" spans="2:25" x14ac:dyDescent="0.25">
      <c r="B97" s="110" t="s">
        <v>376</v>
      </c>
      <c r="C97" s="110">
        <f>COUNTIF(B3:B71,B97)</f>
        <v>10</v>
      </c>
      <c r="H97" s="110" t="s">
        <v>750</v>
      </c>
      <c r="I97" s="110">
        <f>SUM(I93:I96)</f>
        <v>69</v>
      </c>
      <c r="M97" s="19" t="s">
        <v>321</v>
      </c>
      <c r="N97" t="s">
        <v>346</v>
      </c>
      <c r="O97">
        <f>COUNTIF(V5:V25,N97)</f>
        <v>11</v>
      </c>
      <c r="R97" t="s">
        <v>863</v>
      </c>
      <c r="S97">
        <f>COUNTIF(E39:E57,"ausgewählt")</f>
        <v>16</v>
      </c>
      <c r="T97">
        <f>COUNTIF(F39:F57,"ausgewählt")</f>
        <v>8</v>
      </c>
      <c r="U97">
        <f>COUNTIF(J39:J57,"ausgewählt")</f>
        <v>18</v>
      </c>
      <c r="V97" s="113">
        <f t="shared" si="2"/>
        <v>0.84210526315789469</v>
      </c>
      <c r="W97" s="103">
        <f t="shared" si="3"/>
        <v>0.42105263157894735</v>
      </c>
      <c r="X97" s="103">
        <f t="shared" si="4"/>
        <v>0.94736842105263153</v>
      </c>
      <c r="Y97" s="114">
        <f>COUNTA(E39:E57)</f>
        <v>19</v>
      </c>
    </row>
    <row r="98" spans="2:25" x14ac:dyDescent="0.25">
      <c r="B98" s="110" t="s">
        <v>676</v>
      </c>
      <c r="C98" s="110">
        <f>COUNTIF(B3:B71,B98)</f>
        <v>4</v>
      </c>
      <c r="N98" t="s">
        <v>437</v>
      </c>
      <c r="O98">
        <f>COUNTIF(V5:V25,N98)</f>
        <v>1</v>
      </c>
      <c r="R98" t="s">
        <v>864</v>
      </c>
      <c r="S98">
        <f>COUNTIF(E58:E67,"ausgewählt")</f>
        <v>3</v>
      </c>
      <c r="T98">
        <f>COUNTIF(F58:F67,"ausgewählt")</f>
        <v>4</v>
      </c>
      <c r="U98">
        <f>COUNTIF(J58:J67,"ausgewählt")</f>
        <v>9</v>
      </c>
      <c r="V98" s="113">
        <f t="shared" si="2"/>
        <v>0.3</v>
      </c>
      <c r="W98" s="103">
        <f t="shared" si="3"/>
        <v>0.4</v>
      </c>
      <c r="X98" s="103">
        <f t="shared" si="4"/>
        <v>0.9</v>
      </c>
      <c r="Y98" s="114">
        <f>COUNTA(E58:E67)</f>
        <v>10</v>
      </c>
    </row>
    <row r="99" spans="2:25" x14ac:dyDescent="0.25">
      <c r="B99" t="s">
        <v>750</v>
      </c>
      <c r="C99">
        <f>SUM(C93:C98)</f>
        <v>69</v>
      </c>
      <c r="G99" t="s">
        <v>754</v>
      </c>
      <c r="N99" t="s">
        <v>350</v>
      </c>
      <c r="O99">
        <f>COUNTIF(V5:V25,N99)</f>
        <v>1</v>
      </c>
      <c r="R99" t="s">
        <v>865</v>
      </c>
      <c r="S99">
        <f>COUNTIF(E68:E71,"ausgewählt")</f>
        <v>2</v>
      </c>
      <c r="T99">
        <f>COUNTIF(F68:F71,"ausgewählt")</f>
        <v>3</v>
      </c>
      <c r="U99">
        <f>COUNTIF(J68:J71,"ausgewählt")</f>
        <v>1</v>
      </c>
      <c r="V99" s="113">
        <f t="shared" si="2"/>
        <v>0.5</v>
      </c>
      <c r="W99" s="103">
        <f t="shared" si="3"/>
        <v>0.75</v>
      </c>
      <c r="X99" s="103">
        <f t="shared" si="4"/>
        <v>0.25</v>
      </c>
      <c r="Y99" s="114">
        <f>COUNTA(E68:E71)</f>
        <v>4</v>
      </c>
    </row>
    <row r="100" spans="2:25" x14ac:dyDescent="0.25">
      <c r="G100" t="s">
        <v>755</v>
      </c>
      <c r="H100" s="110" t="s">
        <v>284</v>
      </c>
      <c r="I100" s="110">
        <f>COUNTIF(R3:R71,H100)</f>
        <v>3</v>
      </c>
      <c r="N100" t="s">
        <v>393</v>
      </c>
      <c r="O100">
        <f>COUNTIF(V5:V25,N100)</f>
        <v>1</v>
      </c>
    </row>
    <row r="101" spans="2:25" x14ac:dyDescent="0.25">
      <c r="H101" s="110" t="s">
        <v>322</v>
      </c>
      <c r="I101" s="110">
        <f>COUNTIF(R3:R71,H101)</f>
        <v>7</v>
      </c>
      <c r="N101" t="s">
        <v>316</v>
      </c>
      <c r="O101">
        <f>COUNTIF(V5:V25,N101)</f>
        <v>7</v>
      </c>
    </row>
    <row r="102" spans="2:25" x14ac:dyDescent="0.25">
      <c r="H102" s="110" t="s">
        <v>449</v>
      </c>
      <c r="I102" s="110">
        <f>COUNTIF(R3:R71,H102)</f>
        <v>2</v>
      </c>
      <c r="N102" s="7" t="s">
        <v>750</v>
      </c>
      <c r="O102" s="7">
        <f>SUM(O97:O101)</f>
        <v>21</v>
      </c>
    </row>
    <row r="103" spans="2:25" x14ac:dyDescent="0.25">
      <c r="H103" s="110" t="s">
        <v>378</v>
      </c>
      <c r="I103" s="110">
        <f>COUNTIF(R3:R71,H103)</f>
        <v>5</v>
      </c>
    </row>
    <row r="104" spans="2:25" x14ac:dyDescent="0.25">
      <c r="H104" t="s">
        <v>750</v>
      </c>
      <c r="I104">
        <f>SUM(I100:I103)</f>
        <v>17</v>
      </c>
      <c r="M104" s="18" t="s">
        <v>421</v>
      </c>
      <c r="N104" t="s">
        <v>346</v>
      </c>
      <c r="O104">
        <f>COUNTIF(V26:V38,N104)</f>
        <v>9</v>
      </c>
    </row>
    <row r="105" spans="2:25" x14ac:dyDescent="0.25">
      <c r="N105" t="s">
        <v>437</v>
      </c>
      <c r="O105">
        <f>COUNTIF(V26:V38,N105)</f>
        <v>1</v>
      </c>
    </row>
    <row r="106" spans="2:25" x14ac:dyDescent="0.25">
      <c r="N106" t="s">
        <v>350</v>
      </c>
      <c r="O106">
        <f>COUNTIF(V26:V38,N106)</f>
        <v>1</v>
      </c>
    </row>
    <row r="107" spans="2:25" x14ac:dyDescent="0.25">
      <c r="G107" t="s">
        <v>756</v>
      </c>
      <c r="H107" s="110" t="s">
        <v>338</v>
      </c>
      <c r="I107" s="110">
        <f>COUNTIF(S3:S71,H107)</f>
        <v>2</v>
      </c>
      <c r="N107" t="s">
        <v>425</v>
      </c>
      <c r="O107">
        <f>COUNTIF(V26:V38,N107)</f>
        <v>1</v>
      </c>
    </row>
    <row r="108" spans="2:25" x14ac:dyDescent="0.25">
      <c r="H108" s="110" t="s">
        <v>403</v>
      </c>
      <c r="I108" s="110">
        <f>COUNTIF(S3:S71,H108)</f>
        <v>1</v>
      </c>
      <c r="N108" t="s">
        <v>482</v>
      </c>
      <c r="O108">
        <f>COUNTIF(V26:V38,N108)</f>
        <v>1</v>
      </c>
    </row>
    <row r="109" spans="2:25" x14ac:dyDescent="0.25">
      <c r="H109" s="110" t="s">
        <v>378</v>
      </c>
      <c r="I109" s="110">
        <f>COUNTIF(S3:S71,H109)</f>
        <v>1</v>
      </c>
      <c r="N109" s="7" t="s">
        <v>750</v>
      </c>
      <c r="O109" s="7">
        <f>SUM(O104:O108)</f>
        <v>13</v>
      </c>
    </row>
    <row r="110" spans="2:25" x14ac:dyDescent="0.25">
      <c r="H110" s="110" t="s">
        <v>463</v>
      </c>
      <c r="I110" s="110">
        <f>COUNTIF(S3:S71,H110)</f>
        <v>1</v>
      </c>
    </row>
    <row r="111" spans="2:25" x14ac:dyDescent="0.25">
      <c r="H111" s="110" t="s">
        <v>424</v>
      </c>
      <c r="I111" s="110">
        <f>COUNTIF(S3:S71,H111)</f>
        <v>3</v>
      </c>
      <c r="M111" s="19" t="s">
        <v>347</v>
      </c>
      <c r="N111" t="s">
        <v>346</v>
      </c>
      <c r="O111">
        <f>COUNTIF(V39:V57,N111)</f>
        <v>4</v>
      </c>
    </row>
    <row r="112" spans="2:25" x14ac:dyDescent="0.25">
      <c r="H112" s="110" t="s">
        <v>395</v>
      </c>
      <c r="I112" s="110">
        <f>COUNTIF(S3:S71,H112)</f>
        <v>4</v>
      </c>
      <c r="N112" t="s">
        <v>437</v>
      </c>
      <c r="O112">
        <f>COUNTIF(V39:V57,N112)</f>
        <v>3</v>
      </c>
    </row>
    <row r="113" spans="7:15" x14ac:dyDescent="0.25">
      <c r="H113" s="110" t="s">
        <v>757</v>
      </c>
      <c r="I113" s="110">
        <f>COUNTIF(S3:S71,H113)</f>
        <v>1</v>
      </c>
      <c r="N113" t="s">
        <v>350</v>
      </c>
      <c r="O113">
        <f>COUNTIF(V39:V57,N113)</f>
        <v>10</v>
      </c>
    </row>
    <row r="114" spans="7:15" x14ac:dyDescent="0.25">
      <c r="H114" t="s">
        <v>750</v>
      </c>
      <c r="I114">
        <f>SUM(I107:I112)</f>
        <v>12</v>
      </c>
      <c r="N114" t="s">
        <v>393</v>
      </c>
      <c r="O114">
        <f>COUNTIF(V39:V57,N114)</f>
        <v>1</v>
      </c>
    </row>
    <row r="115" spans="7:15" x14ac:dyDescent="0.25">
      <c r="N115" t="s">
        <v>482</v>
      </c>
      <c r="O115">
        <f>COUNTIF(V39:V57,N115)</f>
        <v>1</v>
      </c>
    </row>
    <row r="116" spans="7:15" x14ac:dyDescent="0.25">
      <c r="N116" s="7" t="s">
        <v>750</v>
      </c>
      <c r="O116" s="7">
        <f>SUM(O111:O115)</f>
        <v>19</v>
      </c>
    </row>
    <row r="117" spans="7:15" x14ac:dyDescent="0.25">
      <c r="G117" t="s">
        <v>758</v>
      </c>
      <c r="H117" s="110" t="s">
        <v>284</v>
      </c>
      <c r="I117" s="110">
        <f>COUNTIF(T4:T72,H117)</f>
        <v>3</v>
      </c>
    </row>
    <row r="118" spans="7:15" x14ac:dyDescent="0.25">
      <c r="H118" s="110" t="s">
        <v>322</v>
      </c>
      <c r="I118" s="110">
        <f>COUNTIF(T4:T72,H118)</f>
        <v>11</v>
      </c>
      <c r="M118" s="18" t="s">
        <v>376</v>
      </c>
      <c r="N118" t="s">
        <v>437</v>
      </c>
      <c r="O118">
        <f>COUNTIF(V58:V67,N118)</f>
        <v>5</v>
      </c>
    </row>
    <row r="119" spans="7:15" x14ac:dyDescent="0.25">
      <c r="H119" s="110" t="s">
        <v>394</v>
      </c>
      <c r="I119" s="110">
        <f>COUNTIF(T4:T72,H119)</f>
        <v>1</v>
      </c>
      <c r="N119" t="s">
        <v>350</v>
      </c>
      <c r="O119">
        <f>COUNTIF(V58:V67,N119)</f>
        <v>5</v>
      </c>
    </row>
    <row r="120" spans="7:15" x14ac:dyDescent="0.25">
      <c r="H120" s="110" t="s">
        <v>710</v>
      </c>
      <c r="I120" s="110">
        <f>COUNTIF(T4:T72,H120)</f>
        <v>1</v>
      </c>
      <c r="N120" s="7" t="s">
        <v>750</v>
      </c>
      <c r="O120" s="7">
        <f>SUM(O118:O119)</f>
        <v>10</v>
      </c>
    </row>
    <row r="121" spans="7:15" x14ac:dyDescent="0.25">
      <c r="H121" t="s">
        <v>750</v>
      </c>
      <c r="I121">
        <f>SUM(I117:I120)</f>
        <v>16</v>
      </c>
    </row>
    <row r="122" spans="7:15" x14ac:dyDescent="0.25">
      <c r="M122" s="19" t="s">
        <v>676</v>
      </c>
      <c r="N122" t="s">
        <v>437</v>
      </c>
      <c r="O122">
        <f>COUNTIF(V68:V71,N122)</f>
        <v>2</v>
      </c>
    </row>
    <row r="123" spans="7:15" x14ac:dyDescent="0.25">
      <c r="N123" t="s">
        <v>350</v>
      </c>
      <c r="O123">
        <f>COUNTIF(V68:V71,N123)</f>
        <v>2</v>
      </c>
    </row>
    <row r="124" spans="7:15" x14ac:dyDescent="0.25">
      <c r="G124" t="s">
        <v>603</v>
      </c>
      <c r="H124" s="110" t="s">
        <v>463</v>
      </c>
      <c r="I124" s="110">
        <f>COUNTIF(U4:U72,H124)</f>
        <v>2</v>
      </c>
      <c r="N124" s="7" t="s">
        <v>750</v>
      </c>
      <c r="O124" s="7">
        <f>SUM(O122:O123)</f>
        <v>4</v>
      </c>
    </row>
    <row r="125" spans="7:15" x14ac:dyDescent="0.25">
      <c r="H125" s="110" t="s">
        <v>424</v>
      </c>
      <c r="I125" s="110">
        <f>COUNTIF(U4:U72,H125)</f>
        <v>11</v>
      </c>
    </row>
    <row r="126" spans="7:15" x14ac:dyDescent="0.25">
      <c r="H126" s="110" t="s">
        <v>464</v>
      </c>
      <c r="I126" s="110">
        <f>COUNTIF(U4:U72,H126)</f>
        <v>8</v>
      </c>
      <c r="M126" t="s">
        <v>884</v>
      </c>
    </row>
    <row r="127" spans="7:15" x14ac:dyDescent="0.25">
      <c r="H127" s="110" t="s">
        <v>652</v>
      </c>
      <c r="I127" s="110">
        <f>COUNTIF(U4:U72,H127)</f>
        <v>2</v>
      </c>
      <c r="M127" t="s">
        <v>885</v>
      </c>
    </row>
    <row r="128" spans="7:15" x14ac:dyDescent="0.25">
      <c r="H128" t="s">
        <v>750</v>
      </c>
      <c r="I128">
        <f>SUM(I124:I127)</f>
        <v>23</v>
      </c>
    </row>
    <row r="129" spans="6:16" x14ac:dyDescent="0.25">
      <c r="F129" t="s">
        <v>874</v>
      </c>
    </row>
    <row r="130" spans="6:16" ht="21.6" x14ac:dyDescent="0.4">
      <c r="M130" s="107" t="s">
        <v>834</v>
      </c>
    </row>
    <row r="132" spans="6:16" x14ac:dyDescent="0.25">
      <c r="N132" s="108" t="s">
        <v>886</v>
      </c>
      <c r="O132" s="9" t="s">
        <v>887</v>
      </c>
      <c r="P132" s="9"/>
    </row>
    <row r="133" spans="6:16" x14ac:dyDescent="0.25">
      <c r="M133" s="111" t="s">
        <v>425</v>
      </c>
      <c r="N133" s="111">
        <v>2</v>
      </c>
      <c r="O133" s="7">
        <f>[1]Zahlen!$AU$82</f>
        <v>3.5</v>
      </c>
    </row>
    <row r="134" spans="6:16" x14ac:dyDescent="0.25">
      <c r="M134" s="109" t="s">
        <v>316</v>
      </c>
      <c r="N134" s="109">
        <v>8</v>
      </c>
      <c r="O134" s="4">
        <f>[1]Zahlen!$AU$83</f>
        <v>3.9347826086956523</v>
      </c>
    </row>
    <row r="135" spans="6:16" x14ac:dyDescent="0.25">
      <c r="M135" s="109" t="s">
        <v>346</v>
      </c>
      <c r="N135" s="109">
        <v>24</v>
      </c>
      <c r="O135" s="4">
        <f>[1]Zahlen!$AU$84</f>
        <v>4.4523809523809526</v>
      </c>
    </row>
    <row r="136" spans="6:16" x14ac:dyDescent="0.25">
      <c r="M136" s="109" t="s">
        <v>437</v>
      </c>
      <c r="N136" s="109">
        <v>12</v>
      </c>
      <c r="O136" s="4">
        <f>[1]Zahlen!$AU$85</f>
        <v>4.145833333333333</v>
      </c>
    </row>
    <row r="137" spans="6:16" x14ac:dyDescent="0.25">
      <c r="M137" s="109" t="s">
        <v>350</v>
      </c>
      <c r="N137" s="109">
        <v>19</v>
      </c>
      <c r="O137" s="4">
        <f>[1]Zahlen!$AU$86</f>
        <v>4.1372549019607847</v>
      </c>
    </row>
    <row r="138" spans="6:16" x14ac:dyDescent="0.25">
      <c r="M138" s="109" t="s">
        <v>393</v>
      </c>
      <c r="N138" s="109">
        <v>2</v>
      </c>
      <c r="O138" s="4">
        <f>[1]Zahlen!$AU$87</f>
        <v>4.0625</v>
      </c>
    </row>
    <row r="139" spans="6:16" x14ac:dyDescent="0.25">
      <c r="M139" s="109" t="s">
        <v>881</v>
      </c>
      <c r="N139" s="109">
        <v>2</v>
      </c>
      <c r="O139" s="4">
        <f>[1]Zahlen!$AU$89</f>
        <v>3.9583333333333335</v>
      </c>
    </row>
    <row r="146" spans="12:20" ht="21.6" x14ac:dyDescent="0.4">
      <c r="M146" s="107" t="s">
        <v>904</v>
      </c>
    </row>
    <row r="147" spans="12:20" x14ac:dyDescent="0.25">
      <c r="N147" s="108" t="s">
        <v>898</v>
      </c>
      <c r="O147" s="108" t="s">
        <v>899</v>
      </c>
      <c r="P147" s="108" t="s">
        <v>900</v>
      </c>
      <c r="Q147" s="108" t="s">
        <v>901</v>
      </c>
      <c r="R147" s="108" t="s">
        <v>902</v>
      </c>
      <c r="S147" s="108" t="s">
        <v>903</v>
      </c>
    </row>
    <row r="148" spans="12:20" x14ac:dyDescent="0.25">
      <c r="L148" s="136" t="s">
        <v>425</v>
      </c>
      <c r="M148" s="136"/>
      <c r="N148" s="114">
        <f>O94</f>
        <v>1</v>
      </c>
      <c r="O148" s="114"/>
      <c r="P148" s="114">
        <f>O107</f>
        <v>1</v>
      </c>
      <c r="Q148" s="114"/>
      <c r="R148" s="114"/>
      <c r="S148" s="114"/>
      <c r="T148" s="114"/>
    </row>
    <row r="149" spans="12:20" x14ac:dyDescent="0.25">
      <c r="L149" s="136" t="s">
        <v>316</v>
      </c>
      <c r="M149" s="136"/>
      <c r="N149" s="114">
        <f>O93</f>
        <v>1</v>
      </c>
      <c r="O149" s="114">
        <f>O101</f>
        <v>7</v>
      </c>
      <c r="P149" s="114"/>
      <c r="Q149" s="114"/>
      <c r="R149" s="114"/>
      <c r="S149" s="114"/>
      <c r="T149" s="114"/>
    </row>
    <row r="150" spans="12:20" x14ac:dyDescent="0.25">
      <c r="L150" s="136" t="s">
        <v>346</v>
      </c>
      <c r="M150" s="136"/>
      <c r="N150" s="114"/>
      <c r="O150" s="114">
        <f>O97</f>
        <v>11</v>
      </c>
      <c r="P150" s="114">
        <f>O104</f>
        <v>9</v>
      </c>
      <c r="Q150" s="114">
        <f>O111</f>
        <v>4</v>
      </c>
      <c r="R150" s="114"/>
      <c r="S150" s="114"/>
      <c r="T150" s="114"/>
    </row>
    <row r="151" spans="12:20" x14ac:dyDescent="0.25">
      <c r="L151" s="136" t="s">
        <v>437</v>
      </c>
      <c r="M151" s="136"/>
      <c r="N151" s="114"/>
      <c r="O151" s="114">
        <f t="shared" ref="O151:O153" si="5">O98</f>
        <v>1</v>
      </c>
      <c r="P151" s="114">
        <f t="shared" ref="P151:P152" si="6">O105</f>
        <v>1</v>
      </c>
      <c r="Q151" s="114">
        <f t="shared" ref="Q151:Q154" si="7">O112</f>
        <v>3</v>
      </c>
      <c r="R151" s="114">
        <f>O118</f>
        <v>5</v>
      </c>
      <c r="S151" s="114">
        <f>O122</f>
        <v>2</v>
      </c>
      <c r="T151" s="114"/>
    </row>
    <row r="152" spans="12:20" x14ac:dyDescent="0.25">
      <c r="L152" s="136" t="s">
        <v>350</v>
      </c>
      <c r="M152" s="136"/>
      <c r="N152" s="114"/>
      <c r="O152" s="114">
        <f t="shared" si="5"/>
        <v>1</v>
      </c>
      <c r="P152" s="114">
        <f t="shared" si="6"/>
        <v>1</v>
      </c>
      <c r="Q152" s="114">
        <f t="shared" si="7"/>
        <v>10</v>
      </c>
      <c r="R152" s="114">
        <f>O119</f>
        <v>5</v>
      </c>
      <c r="S152" s="114">
        <f>O123</f>
        <v>2</v>
      </c>
      <c r="T152" s="114"/>
    </row>
    <row r="153" spans="12:20" x14ac:dyDescent="0.25">
      <c r="L153" s="136" t="s">
        <v>393</v>
      </c>
      <c r="M153" s="136"/>
      <c r="N153" s="114"/>
      <c r="O153" s="114">
        <f t="shared" si="5"/>
        <v>1</v>
      </c>
      <c r="P153" s="114"/>
      <c r="Q153" s="114">
        <f t="shared" si="7"/>
        <v>1</v>
      </c>
      <c r="R153" s="114"/>
      <c r="S153" s="114"/>
      <c r="T153" s="114"/>
    </row>
    <row r="154" spans="12:20" x14ac:dyDescent="0.25">
      <c r="L154" s="136" t="s">
        <v>482</v>
      </c>
      <c r="M154" s="136"/>
      <c r="N154" s="114"/>
      <c r="O154" s="114"/>
      <c r="P154" s="114">
        <f>O108</f>
        <v>1</v>
      </c>
      <c r="Q154" s="114">
        <f t="shared" si="7"/>
        <v>1</v>
      </c>
      <c r="R154" s="114"/>
      <c r="S154" s="114"/>
      <c r="T154" s="114"/>
    </row>
  </sheetData>
  <sortState xmlns:xlrd2="http://schemas.microsoft.com/office/spreadsheetml/2017/richdata2" ref="A3:GI72">
    <sortCondition ref="B3:B72" customList="jünger als 15 Jahre,15-29 Jahre,30-49 Jahre,50-65 Jahre,66-79 Jahre,älter als 79 Jahre"/>
  </sortState>
  <mergeCells count="11">
    <mergeCell ref="L154:M154"/>
    <mergeCell ref="L148:M148"/>
    <mergeCell ref="L149:M149"/>
    <mergeCell ref="L150:M150"/>
    <mergeCell ref="L151:M151"/>
    <mergeCell ref="L152:M152"/>
    <mergeCell ref="B92:C92"/>
    <mergeCell ref="E92:F92"/>
    <mergeCell ref="H92:I92"/>
    <mergeCell ref="N92:O92"/>
    <mergeCell ref="L153:M153"/>
  </mergeCells>
  <phoneticPr fontId="2" type="noConversion"/>
  <conditionalFormatting sqref="E3:M20 E22:M71">
    <cfRule type="containsText" dxfId="4" priority="4" operator="containsText" text="ausgewählt">
      <formula>NOT(ISERROR(SEARCH("ausgewählt",E3)))</formula>
    </cfRule>
  </conditionalFormatting>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A12DD-35BC-4C58-9D44-23BD05966897}">
  <dimension ref="A1:GW217"/>
  <sheetViews>
    <sheetView zoomScale="25" zoomScaleNormal="25" workbookViewId="0">
      <pane ySplit="3" topLeftCell="A57" activePane="bottomLeft" state="frozen"/>
      <selection pane="bottomLeft" activeCell="AI56" sqref="AI56"/>
    </sheetView>
  </sheetViews>
  <sheetFormatPr baseColWidth="10" defaultRowHeight="13.2" x14ac:dyDescent="0.25"/>
  <cols>
    <col min="1" max="1" width="8" customWidth="1"/>
    <col min="2" max="2" width="16.6640625" bestFit="1" customWidth="1"/>
    <col min="3" max="3" width="16.6640625" customWidth="1"/>
    <col min="4" max="4" width="10.109375" bestFit="1" customWidth="1"/>
    <col min="5" max="5" width="13.5546875" customWidth="1"/>
    <col min="6" max="6" width="14.6640625" bestFit="1" customWidth="1"/>
    <col min="7" max="7" width="15.109375" bestFit="1" customWidth="1"/>
    <col min="8" max="8" width="21.6640625" bestFit="1" customWidth="1"/>
    <col min="9" max="9" width="15.21875" customWidth="1"/>
    <col min="10" max="10" width="20.6640625" bestFit="1" customWidth="1"/>
    <col min="11" max="11" width="12.6640625" bestFit="1" customWidth="1"/>
    <col min="12" max="12" width="16.109375" customWidth="1"/>
    <col min="13" max="13" width="14.5546875" bestFit="1" customWidth="1"/>
    <col min="14" max="14" width="23.44140625" bestFit="1" customWidth="1"/>
    <col min="15" max="15" width="19.33203125" customWidth="1"/>
    <col min="16" max="16" width="27.109375" customWidth="1"/>
    <col min="17" max="17" width="22.21875" customWidth="1"/>
    <col min="18" max="18" width="31.5546875" bestFit="1" customWidth="1"/>
    <col min="19" max="19" width="13.77734375" bestFit="1" customWidth="1"/>
    <col min="20" max="20" width="14.77734375" bestFit="1" customWidth="1"/>
    <col min="21" max="21" width="13.21875" bestFit="1" customWidth="1"/>
    <col min="22" max="22" width="13.21875" customWidth="1"/>
    <col min="23" max="23" width="14.109375" customWidth="1"/>
    <col min="24" max="24" width="37.21875" customWidth="1"/>
    <col min="25" max="25" width="12.77734375" customWidth="1"/>
    <col min="26" max="26" width="34.88671875" customWidth="1"/>
    <col min="27" max="27" width="19.33203125" customWidth="1"/>
    <col min="28" max="28" width="22.109375" customWidth="1"/>
    <col min="29" max="30" width="8" customWidth="1"/>
    <col min="31" max="31" width="21.44140625" customWidth="1"/>
    <col min="32" max="32" width="12.109375" customWidth="1"/>
    <col min="33" max="33" width="11.33203125" customWidth="1"/>
    <col min="34" max="35" width="11.33203125" style="97" customWidth="1"/>
    <col min="36" max="36" width="11" customWidth="1"/>
    <col min="37" max="37" width="8" customWidth="1"/>
    <col min="38" max="39" width="32" customWidth="1"/>
    <col min="40" max="40" width="8" customWidth="1"/>
    <col min="41" max="42" width="32" customWidth="1"/>
    <col min="43" max="43" width="14.109375" customWidth="1"/>
    <col min="44" max="44" width="8" customWidth="1"/>
    <col min="45" max="45" width="32" customWidth="1"/>
    <col min="46" max="46" width="5.6640625" customWidth="1"/>
    <col min="47" max="47" width="11.44140625" customWidth="1"/>
    <col min="48" max="49" width="8" customWidth="1"/>
    <col min="50" max="50" width="10.77734375" customWidth="1"/>
    <col min="51" max="51" width="10.5546875" customWidth="1"/>
    <col min="52" max="53" width="18.5546875" customWidth="1"/>
    <col min="54" max="54" width="11.33203125" style="97" customWidth="1"/>
    <col min="55" max="55" width="5.44140625" customWidth="1"/>
    <col min="56" max="56" width="8" customWidth="1"/>
    <col min="57" max="58" width="32" customWidth="1"/>
    <col min="59" max="59" width="8" customWidth="1"/>
    <col min="60" max="60" width="1.109375" customWidth="1"/>
    <col min="61" max="61" width="13.77734375" customWidth="1"/>
    <col min="62" max="62" width="17.88671875" customWidth="1"/>
    <col min="63" max="64" width="8" customWidth="1"/>
    <col min="65" max="65" width="25.33203125" customWidth="1"/>
    <col min="66" max="66" width="18.77734375" customWidth="1"/>
    <col min="67" max="67" width="13.5546875" customWidth="1"/>
    <col min="68" max="68" width="6" customWidth="1"/>
    <col min="69" max="69" width="8" customWidth="1"/>
    <col min="70" max="70" width="17.21875" customWidth="1"/>
    <col min="71" max="71" width="20.44140625" customWidth="1"/>
    <col min="72" max="72" width="8" customWidth="1"/>
    <col min="73" max="73" width="37.5546875" customWidth="1"/>
    <col min="74" max="74" width="19.5546875" customWidth="1"/>
    <col min="75" max="75" width="8" customWidth="1"/>
    <col min="76" max="76" width="41.5546875" customWidth="1"/>
    <col min="77" max="79" width="8" customWidth="1"/>
    <col min="80" max="80" width="10.44140625" customWidth="1"/>
    <col min="81" max="81" width="12.6640625" customWidth="1"/>
    <col min="82" max="83" width="12.77734375" customWidth="1"/>
    <col min="84" max="84" width="11.33203125" style="97" customWidth="1"/>
    <col min="85" max="85" width="5.33203125" customWidth="1"/>
    <col min="86" max="86" width="8" customWidth="1"/>
    <col min="87" max="88" width="32" customWidth="1"/>
    <col min="89" max="89" width="8" customWidth="1"/>
    <col min="90" max="90" width="32" customWidth="1"/>
    <col min="91" max="92" width="8" customWidth="1"/>
    <col min="93" max="94" width="32" customWidth="1"/>
    <col min="95" max="95" width="19" customWidth="1"/>
    <col min="96" max="97" width="8" customWidth="1"/>
    <col min="98" max="98" width="11.44140625" customWidth="1"/>
    <col min="99" max="99" width="12.5546875" customWidth="1"/>
    <col min="100" max="101" width="22.5546875" customWidth="1"/>
    <col min="102" max="102" width="11.33203125" style="97" customWidth="1"/>
    <col min="103" max="103" width="7.88671875" customWidth="1"/>
    <col min="104" max="104" width="8" customWidth="1"/>
    <col min="105" max="105" width="15.88671875" customWidth="1"/>
    <col min="106" max="106" width="14.77734375" customWidth="1"/>
    <col min="107" max="107" width="8" customWidth="1"/>
    <col min="108" max="108" width="32" customWidth="1"/>
    <col min="109" max="110" width="8" customWidth="1"/>
    <col min="111" max="112" width="32" customWidth="1"/>
    <col min="113" max="115" width="8" customWidth="1"/>
    <col min="116" max="116" width="8.6640625" customWidth="1"/>
    <col min="117" max="117" width="8.77734375" customWidth="1"/>
    <col min="118" max="119" width="15.33203125" customWidth="1"/>
    <col min="120" max="120" width="11.33203125" style="97" customWidth="1"/>
    <col min="121" max="121" width="5.77734375" customWidth="1"/>
    <col min="122" max="122" width="8" customWidth="1"/>
    <col min="123" max="123" width="14.109375" customWidth="1"/>
    <col min="124" max="124" width="8.88671875" customWidth="1"/>
    <col min="125" max="125" width="8" customWidth="1"/>
    <col min="126" max="126" width="32" customWidth="1"/>
    <col min="127" max="128" width="8" customWidth="1"/>
    <col min="129" max="129" width="32" customWidth="1"/>
    <col min="130" max="130" width="24.77734375" customWidth="1"/>
    <col min="131" max="131" width="13" customWidth="1"/>
    <col min="132" max="133" width="8" customWidth="1"/>
    <col min="134" max="134" width="12.21875" customWidth="1"/>
    <col min="135" max="135" width="14.33203125" customWidth="1"/>
    <col min="136" max="137" width="16.44140625" customWidth="1"/>
    <col min="138" max="138" width="11.33203125" style="97" customWidth="1"/>
    <col min="139" max="139" width="8.77734375" customWidth="1"/>
    <col min="140" max="140" width="10.6640625" customWidth="1"/>
    <col min="141" max="141" width="13.77734375" customWidth="1"/>
    <col min="142" max="142" width="9" customWidth="1"/>
    <col min="143" max="144" width="32" customWidth="1"/>
    <col min="145" max="145" width="17.88671875" customWidth="1"/>
    <col min="146" max="146" width="8" customWidth="1"/>
    <col min="147" max="147" width="32" customWidth="1"/>
    <col min="148" max="148" width="20.21875" customWidth="1"/>
    <col min="149" max="150" width="8" customWidth="1"/>
    <col min="151" max="151" width="23.77734375" customWidth="1"/>
    <col min="152" max="152" width="16.5546875" customWidth="1"/>
    <col min="153" max="154" width="13.44140625" customWidth="1"/>
    <col min="155" max="155" width="11.33203125" style="97" customWidth="1"/>
    <col min="156" max="156" width="8" customWidth="1"/>
    <col min="157" max="157" width="9.21875" customWidth="1"/>
    <col min="158" max="158" width="8.5546875" customWidth="1"/>
    <col min="159" max="159" width="32" customWidth="1"/>
    <col min="160" max="160" width="8" customWidth="1"/>
    <col min="161" max="161" width="32" customWidth="1"/>
    <col min="162" max="163" width="8" customWidth="1"/>
    <col min="164" max="171" width="32" customWidth="1"/>
    <col min="172" max="172" width="8" customWidth="1"/>
    <col min="173" max="175" width="32" customWidth="1"/>
    <col min="177" max="177" width="24.33203125" customWidth="1"/>
    <col min="178" max="179" width="32" customWidth="1"/>
    <col min="180" max="195" width="5" customWidth="1"/>
    <col min="196" max="197" width="20" customWidth="1"/>
    <col min="198" max="198" width="16" customWidth="1"/>
    <col min="199" max="205" width="8" customWidth="1"/>
  </cols>
  <sheetData>
    <row r="1" spans="1:205" x14ac:dyDescent="0.25">
      <c r="A1" t="s">
        <v>0</v>
      </c>
      <c r="B1" s="30" t="s">
        <v>1</v>
      </c>
      <c r="C1" s="30" t="s">
        <v>786</v>
      </c>
      <c r="D1" s="30" t="s">
        <v>2</v>
      </c>
      <c r="E1" s="30" t="s">
        <v>3</v>
      </c>
      <c r="F1" s="30" t="s">
        <v>4</v>
      </c>
      <c r="G1" s="30" t="s">
        <v>5</v>
      </c>
      <c r="H1" s="30" t="s">
        <v>6</v>
      </c>
      <c r="I1" s="30" t="s">
        <v>7</v>
      </c>
      <c r="J1" s="30" t="s">
        <v>8</v>
      </c>
      <c r="K1" s="30" t="s">
        <v>9</v>
      </c>
      <c r="L1" s="30" t="s">
        <v>10</v>
      </c>
      <c r="M1" s="30" t="s">
        <v>11</v>
      </c>
      <c r="N1" s="30" t="s">
        <v>12</v>
      </c>
      <c r="O1" s="30" t="s">
        <v>13</v>
      </c>
      <c r="P1" s="30" t="s">
        <v>14</v>
      </c>
      <c r="Q1" s="30" t="s">
        <v>15</v>
      </c>
      <c r="R1" s="30" t="s">
        <v>16</v>
      </c>
      <c r="S1" s="30" t="s">
        <v>17</v>
      </c>
      <c r="T1" s="30" t="s">
        <v>18</v>
      </c>
      <c r="U1" s="30" t="s">
        <v>19</v>
      </c>
      <c r="V1" s="30" t="s">
        <v>784</v>
      </c>
      <c r="W1" s="30" t="s">
        <v>20</v>
      </c>
      <c r="X1" s="30" t="s">
        <v>160</v>
      </c>
      <c r="Y1" s="22" t="s">
        <v>21</v>
      </c>
      <c r="Z1" s="22" t="s">
        <v>22</v>
      </c>
      <c r="AA1" s="22" t="s">
        <v>23</v>
      </c>
      <c r="AB1" s="22" t="s">
        <v>24</v>
      </c>
      <c r="AC1" s="22" t="s">
        <v>25</v>
      </c>
      <c r="AD1" s="22" t="s">
        <v>26</v>
      </c>
      <c r="AE1" s="22" t="s">
        <v>27</v>
      </c>
      <c r="AF1" s="22" t="s">
        <v>28</v>
      </c>
      <c r="AG1" s="22" t="s">
        <v>29</v>
      </c>
      <c r="AH1" s="97" t="s">
        <v>836</v>
      </c>
      <c r="AI1" s="97" t="s">
        <v>844</v>
      </c>
      <c r="AJ1" s="22" t="s">
        <v>30</v>
      </c>
      <c r="AK1" s="22" t="s">
        <v>31</v>
      </c>
      <c r="AL1" s="22" t="s">
        <v>32</v>
      </c>
      <c r="AM1" s="22" t="s">
        <v>33</v>
      </c>
      <c r="AN1" s="22" t="s">
        <v>34</v>
      </c>
      <c r="AO1" s="22" t="s">
        <v>35</v>
      </c>
      <c r="AP1" s="22" t="s">
        <v>36</v>
      </c>
      <c r="AQ1" s="22" t="s">
        <v>37</v>
      </c>
      <c r="AR1" s="23" t="s">
        <v>38</v>
      </c>
      <c r="AS1" s="23" t="s">
        <v>39</v>
      </c>
      <c r="AT1" s="23" t="s">
        <v>40</v>
      </c>
      <c r="AU1" s="23" t="s">
        <v>41</v>
      </c>
      <c r="AV1" s="23" t="s">
        <v>42</v>
      </c>
      <c r="AW1" s="23" t="s">
        <v>43</v>
      </c>
      <c r="AX1" s="23" t="s">
        <v>44</v>
      </c>
      <c r="AY1" s="23" t="s">
        <v>45</v>
      </c>
      <c r="AZ1" s="23" t="s">
        <v>46</v>
      </c>
      <c r="BA1" s="98" t="s">
        <v>836</v>
      </c>
      <c r="BB1" s="97" t="s">
        <v>844</v>
      </c>
      <c r="BC1" s="23" t="s">
        <v>47</v>
      </c>
      <c r="BD1" s="23" t="s">
        <v>48</v>
      </c>
      <c r="BE1" s="23" t="s">
        <v>49</v>
      </c>
      <c r="BF1" s="23" t="s">
        <v>50</v>
      </c>
      <c r="BG1" s="23" t="s">
        <v>51</v>
      </c>
      <c r="BH1" s="23" t="s">
        <v>52</v>
      </c>
      <c r="BI1" s="23" t="s">
        <v>53</v>
      </c>
      <c r="BJ1" s="24" t="s">
        <v>54</v>
      </c>
      <c r="BK1" s="24" t="s">
        <v>55</v>
      </c>
      <c r="BL1" s="24" t="s">
        <v>56</v>
      </c>
      <c r="BM1" s="24" t="s">
        <v>57</v>
      </c>
      <c r="BN1" s="24" t="s">
        <v>58</v>
      </c>
      <c r="BO1" s="24" t="s">
        <v>59</v>
      </c>
      <c r="BP1" s="24" t="s">
        <v>60</v>
      </c>
      <c r="BQ1" s="24" t="s">
        <v>61</v>
      </c>
      <c r="BR1" s="24" t="s">
        <v>62</v>
      </c>
      <c r="BS1" s="24" t="s">
        <v>63</v>
      </c>
      <c r="BT1" s="24" t="s">
        <v>64</v>
      </c>
      <c r="BU1" s="24" t="s">
        <v>65</v>
      </c>
      <c r="BV1" s="24" t="s">
        <v>66</v>
      </c>
      <c r="BW1" s="25" t="s">
        <v>67</v>
      </c>
      <c r="BX1" s="25" t="s">
        <v>68</v>
      </c>
      <c r="BY1" s="25" t="s">
        <v>69</v>
      </c>
      <c r="BZ1" s="25" t="s">
        <v>70</v>
      </c>
      <c r="CA1" s="25" t="s">
        <v>71</v>
      </c>
      <c r="CB1" s="25" t="s">
        <v>72</v>
      </c>
      <c r="CC1" s="25" t="s">
        <v>73</v>
      </c>
      <c r="CD1" s="25" t="s">
        <v>74</v>
      </c>
      <c r="CE1" s="97" t="s">
        <v>836</v>
      </c>
      <c r="CF1" s="97" t="s">
        <v>844</v>
      </c>
      <c r="CG1" s="25" t="s">
        <v>75</v>
      </c>
      <c r="CH1" s="25" t="s">
        <v>76</v>
      </c>
      <c r="CI1" s="25" t="s">
        <v>77</v>
      </c>
      <c r="CJ1" s="25" t="s">
        <v>78</v>
      </c>
      <c r="CK1" s="25" t="s">
        <v>79</v>
      </c>
      <c r="CL1" s="25" t="s">
        <v>80</v>
      </c>
      <c r="CM1" s="25" t="s">
        <v>81</v>
      </c>
      <c r="CN1" s="5" t="s">
        <v>82</v>
      </c>
      <c r="CO1" s="5" t="s">
        <v>83</v>
      </c>
      <c r="CP1" s="5" t="s">
        <v>84</v>
      </c>
      <c r="CQ1" s="5" t="s">
        <v>85</v>
      </c>
      <c r="CR1" s="5" t="s">
        <v>86</v>
      </c>
      <c r="CS1" s="5" t="s">
        <v>87</v>
      </c>
      <c r="CT1" s="5" t="s">
        <v>88</v>
      </c>
      <c r="CU1" s="5" t="s">
        <v>89</v>
      </c>
      <c r="CV1" s="5" t="s">
        <v>90</v>
      </c>
      <c r="CW1" s="97" t="s">
        <v>836</v>
      </c>
      <c r="CX1" s="97" t="s">
        <v>844</v>
      </c>
      <c r="CY1" s="5" t="s">
        <v>91</v>
      </c>
      <c r="CZ1" s="5" t="s">
        <v>92</v>
      </c>
      <c r="DA1" s="5" t="s">
        <v>93</v>
      </c>
      <c r="DB1" s="5" t="s">
        <v>94</v>
      </c>
      <c r="DC1" s="5" t="s">
        <v>95</v>
      </c>
      <c r="DD1" s="5" t="s">
        <v>96</v>
      </c>
      <c r="DE1" s="5" t="s">
        <v>97</v>
      </c>
      <c r="DF1" s="26" t="s">
        <v>98</v>
      </c>
      <c r="DG1" s="26" t="s">
        <v>99</v>
      </c>
      <c r="DH1" s="26" t="s">
        <v>100</v>
      </c>
      <c r="DI1" s="26" t="s">
        <v>101</v>
      </c>
      <c r="DJ1" s="26" t="s">
        <v>102</v>
      </c>
      <c r="DK1" s="26" t="s">
        <v>103</v>
      </c>
      <c r="DL1" s="26" t="s">
        <v>104</v>
      </c>
      <c r="DM1" s="26" t="s">
        <v>105</v>
      </c>
      <c r="DN1" s="26" t="s">
        <v>106</v>
      </c>
      <c r="DO1" s="97" t="s">
        <v>836</v>
      </c>
      <c r="DP1" s="97" t="s">
        <v>844</v>
      </c>
      <c r="DQ1" s="26" t="s">
        <v>107</v>
      </c>
      <c r="DR1" s="26" t="s">
        <v>108</v>
      </c>
      <c r="DS1" s="26" t="s">
        <v>109</v>
      </c>
      <c r="DT1" s="26" t="s">
        <v>110</v>
      </c>
      <c r="DU1" s="26" t="s">
        <v>111</v>
      </c>
      <c r="DV1" s="26" t="s">
        <v>112</v>
      </c>
      <c r="DW1" s="26" t="s">
        <v>113</v>
      </c>
      <c r="DX1" s="27" t="s">
        <v>114</v>
      </c>
      <c r="DY1" s="27" t="s">
        <v>115</v>
      </c>
      <c r="DZ1" s="27" t="s">
        <v>116</v>
      </c>
      <c r="EA1" s="27" t="s">
        <v>117</v>
      </c>
      <c r="EB1" s="27" t="s">
        <v>118</v>
      </c>
      <c r="EC1" s="27" t="s">
        <v>119</v>
      </c>
      <c r="ED1" s="27" t="s">
        <v>120</v>
      </c>
      <c r="EE1" s="27" t="s">
        <v>121</v>
      </c>
      <c r="EF1" s="27" t="s">
        <v>122</v>
      </c>
      <c r="EG1" s="97" t="s">
        <v>843</v>
      </c>
      <c r="EH1" s="97" t="s">
        <v>844</v>
      </c>
      <c r="EI1" s="27" t="s">
        <v>123</v>
      </c>
      <c r="EJ1" s="27" t="s">
        <v>124</v>
      </c>
      <c r="EK1" s="27" t="s">
        <v>125</v>
      </c>
      <c r="EL1" s="27" t="s">
        <v>126</v>
      </c>
      <c r="EM1" s="27" t="s">
        <v>127</v>
      </c>
      <c r="EN1" s="27" t="s">
        <v>142</v>
      </c>
      <c r="EO1" s="27" t="s">
        <v>145</v>
      </c>
      <c r="EP1" s="28" t="s">
        <v>128</v>
      </c>
      <c r="EQ1" s="28" t="s">
        <v>129</v>
      </c>
      <c r="ER1" s="28" t="s">
        <v>130</v>
      </c>
      <c r="ES1" s="28" t="s">
        <v>131</v>
      </c>
      <c r="ET1" s="28" t="s">
        <v>132</v>
      </c>
      <c r="EU1" s="28" t="s">
        <v>133</v>
      </c>
      <c r="EV1" s="28" t="s">
        <v>134</v>
      </c>
      <c r="EW1" s="28" t="s">
        <v>135</v>
      </c>
      <c r="EX1" s="97" t="s">
        <v>836</v>
      </c>
      <c r="EY1" s="97" t="s">
        <v>844</v>
      </c>
      <c r="EZ1" s="28" t="s">
        <v>137</v>
      </c>
      <c r="FA1" s="28" t="s">
        <v>138</v>
      </c>
      <c r="FB1" s="28" t="s">
        <v>139</v>
      </c>
      <c r="FC1" s="28" t="s">
        <v>140</v>
      </c>
      <c r="FD1" s="28" t="s">
        <v>143</v>
      </c>
      <c r="FE1" s="28" t="s">
        <v>144</v>
      </c>
      <c r="FF1" s="28" t="s">
        <v>146</v>
      </c>
      <c r="FG1" s="29" t="s">
        <v>147</v>
      </c>
      <c r="FH1" s="29" t="s">
        <v>148</v>
      </c>
      <c r="FI1" s="29" t="s">
        <v>149</v>
      </c>
      <c r="FJ1" s="29" t="s">
        <v>150</v>
      </c>
      <c r="FK1" s="29" t="s">
        <v>151</v>
      </c>
      <c r="FL1" s="29" t="s">
        <v>152</v>
      </c>
      <c r="FM1" s="29" t="s">
        <v>153</v>
      </c>
      <c r="FN1" s="29" t="s">
        <v>154</v>
      </c>
      <c r="FO1" s="29" t="s">
        <v>155</v>
      </c>
      <c r="FP1" s="29" t="s">
        <v>156</v>
      </c>
      <c r="FQ1" s="29" t="s">
        <v>157</v>
      </c>
      <c r="FR1" s="29" t="s">
        <v>158</v>
      </c>
      <c r="FS1" s="29" t="s">
        <v>159</v>
      </c>
      <c r="FU1" s="29" t="s">
        <v>161</v>
      </c>
      <c r="FV1" s="29" t="s">
        <v>162</v>
      </c>
      <c r="FW1" s="29" t="s">
        <v>163</v>
      </c>
      <c r="FX1" t="s">
        <v>164</v>
      </c>
      <c r="FY1" t="s">
        <v>165</v>
      </c>
      <c r="FZ1" t="s">
        <v>166</v>
      </c>
      <c r="GA1" t="s">
        <v>167</v>
      </c>
      <c r="GB1" t="s">
        <v>168</v>
      </c>
      <c r="GC1" t="s">
        <v>169</v>
      </c>
      <c r="GD1" t="s">
        <v>170</v>
      </c>
      <c r="GE1" t="s">
        <v>171</v>
      </c>
      <c r="GF1" t="s">
        <v>172</v>
      </c>
      <c r="GG1" t="s">
        <v>173</v>
      </c>
      <c r="GH1" t="s">
        <v>174</v>
      </c>
      <c r="GI1" t="s">
        <v>175</v>
      </c>
      <c r="GJ1" t="s">
        <v>176</v>
      </c>
      <c r="GK1" t="s">
        <v>177</v>
      </c>
      <c r="GL1" t="s">
        <v>178</v>
      </c>
      <c r="GM1" t="s">
        <v>179</v>
      </c>
      <c r="GN1" t="s">
        <v>180</v>
      </c>
      <c r="GO1" t="s">
        <v>181</v>
      </c>
      <c r="GP1" t="s">
        <v>182</v>
      </c>
      <c r="GQ1" t="s">
        <v>183</v>
      </c>
      <c r="GR1" t="s">
        <v>184</v>
      </c>
      <c r="GS1" t="s">
        <v>185</v>
      </c>
      <c r="GT1" t="s">
        <v>186</v>
      </c>
      <c r="GU1" t="s">
        <v>187</v>
      </c>
      <c r="GV1" t="s">
        <v>188</v>
      </c>
      <c r="GW1" t="s">
        <v>189</v>
      </c>
    </row>
    <row r="2" spans="1:205" s="50" customFormat="1" x14ac:dyDescent="0.25">
      <c r="A2" s="1">
        <v>120</v>
      </c>
      <c r="B2" s="18" t="s">
        <v>321</v>
      </c>
      <c r="C2" s="18">
        <v>22</v>
      </c>
      <c r="D2" s="2" t="s">
        <v>279</v>
      </c>
      <c r="E2" s="2" t="s">
        <v>320</v>
      </c>
      <c r="F2" s="2" t="s">
        <v>282</v>
      </c>
      <c r="G2" s="2" t="s">
        <v>282</v>
      </c>
      <c r="H2" s="2" t="s">
        <v>282</v>
      </c>
      <c r="I2" s="2" t="s">
        <v>282</v>
      </c>
      <c r="J2" s="2" t="s">
        <v>282</v>
      </c>
      <c r="K2" s="2" t="s">
        <v>281</v>
      </c>
      <c r="L2" s="2" t="s">
        <v>282</v>
      </c>
      <c r="M2" s="2" t="s">
        <v>282</v>
      </c>
      <c r="N2" s="2" t="s">
        <v>282</v>
      </c>
      <c r="O2" s="1">
        <v>0</v>
      </c>
      <c r="P2" s="2"/>
      <c r="Q2" s="2"/>
      <c r="R2" s="2" t="s">
        <v>337</v>
      </c>
      <c r="S2" s="2"/>
      <c r="T2" s="2" t="s">
        <v>338</v>
      </c>
      <c r="U2" s="2"/>
      <c r="V2" s="2" t="s">
        <v>422</v>
      </c>
      <c r="W2" s="2"/>
      <c r="X2" s="2" t="s">
        <v>346</v>
      </c>
      <c r="Y2" s="1">
        <v>0</v>
      </c>
      <c r="Z2" s="2"/>
      <c r="AA2" s="2"/>
      <c r="AB2" s="2" t="s">
        <v>294</v>
      </c>
      <c r="AC2" s="2" t="s">
        <v>331</v>
      </c>
      <c r="AD2" s="1">
        <v>0</v>
      </c>
      <c r="AE2" s="2"/>
      <c r="AF2" s="2"/>
      <c r="AG2" s="2" t="s">
        <v>298</v>
      </c>
      <c r="AH2" s="98" t="s">
        <v>298</v>
      </c>
      <c r="AI2" s="97">
        <f>IF(AH2=AG2,1,"")</f>
        <v>1</v>
      </c>
      <c r="AJ2" s="2" t="s">
        <v>339</v>
      </c>
      <c r="AK2" s="1">
        <v>0</v>
      </c>
      <c r="AL2" s="2"/>
      <c r="AM2" s="2"/>
      <c r="AN2" s="1">
        <v>0</v>
      </c>
      <c r="AO2" s="2"/>
      <c r="AP2" s="2"/>
      <c r="AQ2" s="2" t="s">
        <v>328</v>
      </c>
      <c r="AR2" s="1">
        <v>2</v>
      </c>
      <c r="AS2" s="2" t="s">
        <v>340</v>
      </c>
      <c r="AT2" s="2" t="s">
        <v>341</v>
      </c>
      <c r="AU2" s="2" t="s">
        <v>301</v>
      </c>
      <c r="AV2" s="2" t="s">
        <v>297</v>
      </c>
      <c r="AW2" s="1">
        <v>0</v>
      </c>
      <c r="AX2" s="2"/>
      <c r="AY2" s="2"/>
      <c r="AZ2" s="2" t="s">
        <v>288</v>
      </c>
      <c r="BA2" s="98" t="s">
        <v>288</v>
      </c>
      <c r="BB2" s="97">
        <f>IF(BA2=AZ2,1,"")</f>
        <v>1</v>
      </c>
      <c r="BC2" s="2" t="s">
        <v>339</v>
      </c>
      <c r="BD2" s="1">
        <v>0</v>
      </c>
      <c r="BE2" s="2"/>
      <c r="BF2" s="2"/>
      <c r="BG2" s="1">
        <v>0</v>
      </c>
      <c r="BH2" s="2"/>
      <c r="BI2" s="2" t="s">
        <v>299</v>
      </c>
      <c r="BJ2" s="2" t="s">
        <v>294</v>
      </c>
      <c r="BK2" s="2" t="s">
        <v>297</v>
      </c>
      <c r="BL2" s="1">
        <v>0</v>
      </c>
      <c r="BM2" s="2"/>
      <c r="BN2" s="2"/>
      <c r="BO2" s="2" t="s">
        <v>288</v>
      </c>
      <c r="BP2" s="2" t="s">
        <v>339</v>
      </c>
      <c r="BQ2" s="1">
        <v>0</v>
      </c>
      <c r="BR2" s="2"/>
      <c r="BS2" s="2"/>
      <c r="BT2" s="1">
        <v>0</v>
      </c>
      <c r="BU2" s="2"/>
      <c r="BV2" s="2" t="s">
        <v>296</v>
      </c>
      <c r="BW2" s="1">
        <v>0</v>
      </c>
      <c r="BX2" s="2"/>
      <c r="BY2" s="2" t="s">
        <v>294</v>
      </c>
      <c r="BZ2" s="2" t="s">
        <v>297</v>
      </c>
      <c r="CA2" s="1">
        <v>0</v>
      </c>
      <c r="CB2" s="2"/>
      <c r="CC2" s="2"/>
      <c r="CD2" s="2" t="s">
        <v>288</v>
      </c>
      <c r="CE2" s="97"/>
      <c r="CF2" s="97" t="str">
        <f>IF(CE2=CD2,1,"")</f>
        <v/>
      </c>
      <c r="CG2" s="2" t="s">
        <v>297</v>
      </c>
      <c r="CH2" s="1">
        <v>0</v>
      </c>
      <c r="CI2" s="2"/>
      <c r="CJ2" s="2"/>
      <c r="CK2" s="1">
        <v>0</v>
      </c>
      <c r="CL2" s="2"/>
      <c r="CM2" s="2" t="s">
        <v>299</v>
      </c>
      <c r="CN2" s="1">
        <v>2</v>
      </c>
      <c r="CO2" s="2" t="s">
        <v>342</v>
      </c>
      <c r="CP2" s="2" t="s">
        <v>343</v>
      </c>
      <c r="CQ2" s="2" t="s">
        <v>294</v>
      </c>
      <c r="CR2" s="2" t="s">
        <v>297</v>
      </c>
      <c r="CS2" s="1">
        <v>0</v>
      </c>
      <c r="CT2" s="2"/>
      <c r="CU2" s="2"/>
      <c r="CV2" s="2" t="s">
        <v>298</v>
      </c>
      <c r="CW2" s="98" t="s">
        <v>305</v>
      </c>
      <c r="CX2" s="97" t="str">
        <f>IF(CW2=CV2,1,"")</f>
        <v/>
      </c>
      <c r="CY2" s="2" t="s">
        <v>339</v>
      </c>
      <c r="CZ2" s="1">
        <v>0</v>
      </c>
      <c r="DA2" s="2"/>
      <c r="DB2" s="2"/>
      <c r="DC2" s="1">
        <v>0</v>
      </c>
      <c r="DD2" s="2"/>
      <c r="DE2" s="2" t="s">
        <v>299</v>
      </c>
      <c r="DF2" s="1">
        <v>1</v>
      </c>
      <c r="DG2" s="2" t="s">
        <v>344</v>
      </c>
      <c r="DH2" s="2"/>
      <c r="DI2" s="2" t="s">
        <v>294</v>
      </c>
      <c r="DJ2" s="2" t="s">
        <v>297</v>
      </c>
      <c r="DK2" s="1">
        <v>0</v>
      </c>
      <c r="DL2" s="2"/>
      <c r="DM2" s="2"/>
      <c r="DN2" s="2" t="s">
        <v>288</v>
      </c>
      <c r="DO2" s="98"/>
      <c r="DP2" s="97" t="str">
        <f>IF(DO2=DN2,1,"")</f>
        <v/>
      </c>
      <c r="DQ2" s="2" t="s">
        <v>339</v>
      </c>
      <c r="DR2" s="1">
        <v>0</v>
      </c>
      <c r="DS2" s="2"/>
      <c r="DT2" s="2"/>
      <c r="DU2" s="1">
        <v>0</v>
      </c>
      <c r="DV2" s="2"/>
      <c r="DW2" s="2" t="s">
        <v>299</v>
      </c>
      <c r="DX2" s="1">
        <v>1</v>
      </c>
      <c r="DY2" s="2" t="s">
        <v>345</v>
      </c>
      <c r="DZ2" s="2"/>
      <c r="EA2" s="2" t="s">
        <v>303</v>
      </c>
      <c r="EB2" s="2" t="s">
        <v>331</v>
      </c>
      <c r="EC2" s="1">
        <v>0</v>
      </c>
      <c r="ED2" s="2"/>
      <c r="EE2" s="2"/>
      <c r="EF2" s="2" t="s">
        <v>298</v>
      </c>
      <c r="EG2" s="98" t="s">
        <v>298</v>
      </c>
      <c r="EH2" s="97">
        <f>IF(EG2=EF2,1,"")</f>
        <v>1</v>
      </c>
      <c r="EI2" s="2" t="s">
        <v>331</v>
      </c>
      <c r="EJ2" s="1">
        <v>0</v>
      </c>
      <c r="EK2" s="2"/>
      <c r="EL2" s="2"/>
      <c r="EM2" s="2"/>
      <c r="EN2" s="2"/>
      <c r="EO2" s="2" t="s">
        <v>328</v>
      </c>
      <c r="EP2" s="1">
        <v>1</v>
      </c>
      <c r="EQ2" s="2" t="s">
        <v>345</v>
      </c>
      <c r="ER2" s="2" t="s">
        <v>303</v>
      </c>
      <c r="ES2" s="2" t="s">
        <v>331</v>
      </c>
      <c r="ET2" s="1">
        <v>0</v>
      </c>
      <c r="EU2" s="2"/>
      <c r="EV2" s="2"/>
      <c r="EW2" s="2" t="s">
        <v>298</v>
      </c>
      <c r="EX2" s="98" t="s">
        <v>298</v>
      </c>
      <c r="EY2" s="97">
        <f>IF(EX2=EW2,1,"")</f>
        <v>1</v>
      </c>
      <c r="EZ2" s="1">
        <v>0</v>
      </c>
      <c r="FA2" s="2"/>
      <c r="FB2" s="2"/>
      <c r="FC2" s="2"/>
      <c r="FD2" s="1">
        <v>0</v>
      </c>
      <c r="FE2" s="2"/>
      <c r="FF2" s="2" t="s">
        <v>328</v>
      </c>
      <c r="FG2" s="1">
        <v>0</v>
      </c>
      <c r="FH2" s="2"/>
      <c r="FI2" s="2"/>
      <c r="FJ2" s="2"/>
      <c r="FK2" s="2"/>
      <c r="FL2" s="2"/>
      <c r="FM2" s="2"/>
      <c r="FN2" s="2"/>
      <c r="FO2" s="2"/>
      <c r="FP2" s="1">
        <v>0</v>
      </c>
      <c r="FQ2" s="2"/>
      <c r="FR2" s="2"/>
      <c r="FS2" s="2"/>
      <c r="FT2"/>
      <c r="FU2" s="2" t="s">
        <v>335</v>
      </c>
      <c r="FV2" s="2"/>
      <c r="FW2" s="2"/>
      <c r="FX2" s="1">
        <v>-1</v>
      </c>
      <c r="FY2" s="1">
        <v>-1</v>
      </c>
      <c r="FZ2" s="1">
        <v>-1</v>
      </c>
      <c r="GA2" s="1">
        <v>-1</v>
      </c>
      <c r="GB2" s="1">
        <v>-1</v>
      </c>
      <c r="GC2" s="1">
        <v>-1</v>
      </c>
      <c r="GD2" s="1">
        <v>-1</v>
      </c>
      <c r="GE2" s="1">
        <v>-1</v>
      </c>
      <c r="GF2" s="1">
        <v>-1</v>
      </c>
      <c r="GG2" s="1">
        <v>-1</v>
      </c>
      <c r="GH2" s="1">
        <v>-1</v>
      </c>
      <c r="GI2" s="1">
        <v>-1</v>
      </c>
      <c r="GJ2" s="1">
        <v>-1</v>
      </c>
      <c r="GK2" s="1">
        <v>-1</v>
      </c>
      <c r="GL2" s="1">
        <v>-1</v>
      </c>
      <c r="GM2" s="1">
        <v>-15</v>
      </c>
      <c r="GN2" s="3"/>
      <c r="GO2" s="3"/>
      <c r="GP2" s="2" t="s">
        <v>319</v>
      </c>
      <c r="GQ2" s="2" t="s">
        <v>320</v>
      </c>
      <c r="GR2" s="2" t="s">
        <v>277</v>
      </c>
      <c r="GS2" s="1">
        <v>15</v>
      </c>
      <c r="GT2" s="1">
        <v>15</v>
      </c>
      <c r="GU2" s="1">
        <v>42</v>
      </c>
      <c r="GV2" s="1">
        <v>14</v>
      </c>
      <c r="GW2" s="4"/>
    </row>
    <row r="3" spans="1:205" x14ac:dyDescent="0.25">
      <c r="A3" s="55">
        <v>146</v>
      </c>
      <c r="B3" s="56" t="s">
        <v>321</v>
      </c>
      <c r="C3" s="56">
        <v>22</v>
      </c>
      <c r="D3" s="56" t="s">
        <v>353</v>
      </c>
      <c r="E3" s="56" t="s">
        <v>280</v>
      </c>
      <c r="F3" s="56" t="s">
        <v>281</v>
      </c>
      <c r="G3" s="56" t="s">
        <v>282</v>
      </c>
      <c r="H3" s="56" t="s">
        <v>282</v>
      </c>
      <c r="I3" s="56" t="s">
        <v>282</v>
      </c>
      <c r="J3" s="56" t="s">
        <v>282</v>
      </c>
      <c r="K3" s="56" t="s">
        <v>281</v>
      </c>
      <c r="L3" s="56" t="s">
        <v>281</v>
      </c>
      <c r="M3" s="56" t="s">
        <v>281</v>
      </c>
      <c r="N3" s="56" t="s">
        <v>282</v>
      </c>
      <c r="O3" s="55">
        <v>0</v>
      </c>
      <c r="P3" s="56"/>
      <c r="Q3" s="56"/>
      <c r="R3" s="56" t="s">
        <v>337</v>
      </c>
      <c r="S3" s="56"/>
      <c r="T3" s="50" t="s">
        <v>395</v>
      </c>
      <c r="U3" s="56"/>
      <c r="V3" s="56"/>
      <c r="W3" s="56"/>
      <c r="X3" s="56" t="s">
        <v>316</v>
      </c>
      <c r="Y3" s="55"/>
      <c r="Z3" s="56"/>
      <c r="AA3" s="56"/>
      <c r="AB3" s="56"/>
      <c r="AC3" s="56"/>
      <c r="AD3" s="55"/>
      <c r="AE3" s="56"/>
      <c r="AF3" s="56"/>
      <c r="AG3" s="56"/>
      <c r="AH3" s="98"/>
      <c r="AJ3" s="56"/>
      <c r="AK3" s="55"/>
      <c r="AL3" s="56"/>
      <c r="AM3" s="56"/>
      <c r="AN3" s="55"/>
      <c r="AO3" s="56"/>
      <c r="AP3" s="56"/>
      <c r="AQ3" s="56"/>
      <c r="AR3" s="55"/>
      <c r="AS3" s="56"/>
      <c r="AT3" s="56"/>
      <c r="AU3" s="56"/>
      <c r="AV3" s="56"/>
      <c r="AW3" s="55"/>
      <c r="AX3" s="56"/>
      <c r="AY3" s="56"/>
      <c r="AZ3" s="56"/>
      <c r="BA3" s="98"/>
      <c r="BC3" s="56"/>
      <c r="BD3" s="55"/>
      <c r="BE3" s="56"/>
      <c r="BF3" s="56"/>
      <c r="BG3" s="55"/>
      <c r="BH3" s="56"/>
      <c r="BI3" s="56"/>
      <c r="BJ3" s="56"/>
      <c r="BK3" s="56"/>
      <c r="BL3" s="55"/>
      <c r="BM3" s="56"/>
      <c r="BN3" s="56"/>
      <c r="BO3" s="56"/>
      <c r="BP3" s="56"/>
      <c r="BQ3" s="55"/>
      <c r="BR3" s="56"/>
      <c r="BS3" s="56"/>
      <c r="BT3" s="55"/>
      <c r="BU3" s="56"/>
      <c r="BV3" s="56"/>
      <c r="BW3" s="55"/>
      <c r="BX3" s="56"/>
      <c r="BY3" s="56"/>
      <c r="BZ3" s="56"/>
      <c r="CA3" s="55"/>
      <c r="CB3" s="56"/>
      <c r="CC3" s="56"/>
      <c r="CD3" s="56"/>
      <c r="CE3" s="97"/>
      <c r="CG3" s="56"/>
      <c r="CH3" s="55"/>
      <c r="CI3" s="56"/>
      <c r="CJ3" s="56"/>
      <c r="CK3" s="55"/>
      <c r="CL3" s="56"/>
      <c r="CM3" s="56"/>
      <c r="CN3" s="55"/>
      <c r="CO3" s="56"/>
      <c r="CP3" s="56"/>
      <c r="CQ3" s="56"/>
      <c r="CR3" s="56"/>
      <c r="CS3" s="55"/>
      <c r="CT3" s="56"/>
      <c r="CU3" s="56"/>
      <c r="CV3" s="56"/>
      <c r="CW3" s="98"/>
      <c r="CY3" s="56"/>
      <c r="CZ3" s="55"/>
      <c r="DA3" s="56"/>
      <c r="DB3" s="56"/>
      <c r="DC3" s="55"/>
      <c r="DD3" s="56"/>
      <c r="DE3" s="56"/>
      <c r="DF3" s="55"/>
      <c r="DG3" s="56"/>
      <c r="DH3" s="56"/>
      <c r="DI3" s="56"/>
      <c r="DJ3" s="56"/>
      <c r="DK3" s="55"/>
      <c r="DL3" s="56"/>
      <c r="DM3" s="56"/>
      <c r="DN3" s="56"/>
      <c r="DO3" s="98"/>
      <c r="DQ3" s="56"/>
      <c r="DR3" s="55"/>
      <c r="DS3" s="56"/>
      <c r="DT3" s="56"/>
      <c r="DU3" s="55"/>
      <c r="DV3" s="56"/>
      <c r="DW3" s="56"/>
      <c r="DX3" s="55"/>
      <c r="DY3" s="56"/>
      <c r="DZ3" s="56"/>
      <c r="EA3" s="56"/>
      <c r="EB3" s="56"/>
      <c r="EC3" s="55"/>
      <c r="ED3" s="56"/>
      <c r="EE3" s="56"/>
      <c r="EF3" s="56"/>
      <c r="EG3" s="98"/>
      <c r="EI3" s="56"/>
      <c r="EJ3" s="55"/>
      <c r="EK3" s="56"/>
      <c r="EL3" s="56"/>
      <c r="EM3" s="56"/>
      <c r="EN3" s="56"/>
      <c r="EO3" s="56"/>
      <c r="EP3" s="55"/>
      <c r="EQ3" s="56"/>
      <c r="ER3" s="56"/>
      <c r="ES3" s="56"/>
      <c r="ET3" s="55"/>
      <c r="EU3" s="56"/>
      <c r="EV3" s="56"/>
      <c r="EW3" s="56"/>
      <c r="EX3" s="98" t="s">
        <v>305</v>
      </c>
      <c r="EZ3" s="55"/>
      <c r="FA3" s="56"/>
      <c r="FB3" s="56"/>
      <c r="FC3" s="56"/>
      <c r="FD3" s="55"/>
      <c r="FE3" s="56"/>
      <c r="FF3" s="56"/>
      <c r="FG3" s="55"/>
      <c r="FH3" s="56"/>
      <c r="FI3" s="56"/>
      <c r="FJ3" s="56"/>
      <c r="FK3" s="56"/>
      <c r="FL3" s="56"/>
      <c r="FM3" s="56"/>
      <c r="FN3" s="56"/>
      <c r="FO3" s="56"/>
      <c r="FP3" s="55"/>
      <c r="FQ3" s="56"/>
      <c r="FR3" s="56"/>
      <c r="FS3" s="56"/>
      <c r="FT3" s="50"/>
      <c r="FU3" s="56"/>
      <c r="FV3" s="56"/>
      <c r="FW3" s="56"/>
      <c r="FX3" s="55">
        <v>-1</v>
      </c>
      <c r="FY3" s="55">
        <v>-1</v>
      </c>
      <c r="FZ3" s="55">
        <v>-1</v>
      </c>
      <c r="GA3" s="55">
        <v>-1</v>
      </c>
      <c r="GB3" s="55">
        <v>-1</v>
      </c>
      <c r="GC3" s="55"/>
      <c r="GD3" s="55"/>
      <c r="GE3" s="55"/>
      <c r="GF3" s="55"/>
      <c r="GG3" s="55"/>
      <c r="GH3" s="55"/>
      <c r="GI3" s="55"/>
      <c r="GJ3" s="55"/>
      <c r="GK3" s="55"/>
      <c r="GL3" s="55"/>
      <c r="GM3" s="55">
        <v>-5</v>
      </c>
      <c r="GN3" s="57"/>
      <c r="GO3" s="57"/>
      <c r="GP3" s="56"/>
      <c r="GQ3" s="56" t="s">
        <v>277</v>
      </c>
      <c r="GR3" s="56" t="s">
        <v>277</v>
      </c>
      <c r="GS3" s="55">
        <v>5</v>
      </c>
      <c r="GT3" s="55">
        <v>5</v>
      </c>
      <c r="GU3" s="55">
        <v>14</v>
      </c>
      <c r="GV3" s="55">
        <v>1</v>
      </c>
      <c r="GW3" s="58"/>
    </row>
    <row r="4" spans="1:205" s="50" customFormat="1" x14ac:dyDescent="0.25">
      <c r="A4" s="1">
        <v>166</v>
      </c>
      <c r="B4" s="18" t="s">
        <v>321</v>
      </c>
      <c r="C4" s="18">
        <v>22</v>
      </c>
      <c r="D4" s="2" t="s">
        <v>353</v>
      </c>
      <c r="E4" s="2" t="s">
        <v>422</v>
      </c>
      <c r="F4" s="2" t="s">
        <v>282</v>
      </c>
      <c r="G4" s="2" t="s">
        <v>281</v>
      </c>
      <c r="H4" s="2" t="s">
        <v>282</v>
      </c>
      <c r="I4" s="2" t="s">
        <v>282</v>
      </c>
      <c r="J4" s="2" t="s">
        <v>282</v>
      </c>
      <c r="K4" s="2" t="s">
        <v>281</v>
      </c>
      <c r="L4" s="2" t="s">
        <v>282</v>
      </c>
      <c r="M4" s="2" t="s">
        <v>282</v>
      </c>
      <c r="N4" s="2" t="s">
        <v>282</v>
      </c>
      <c r="O4" s="1">
        <v>1</v>
      </c>
      <c r="P4" s="2"/>
      <c r="Q4" s="2" t="s">
        <v>462</v>
      </c>
      <c r="R4" s="2" t="s">
        <v>337</v>
      </c>
      <c r="S4" s="2"/>
      <c r="T4" s="2" t="s">
        <v>463</v>
      </c>
      <c r="U4" s="2"/>
      <c r="V4" s="2"/>
      <c r="W4" s="2"/>
      <c r="X4" s="2" t="s">
        <v>346</v>
      </c>
      <c r="Y4" s="1">
        <v>0</v>
      </c>
      <c r="Z4" s="2"/>
      <c r="AA4" s="2"/>
      <c r="AB4" s="2" t="s">
        <v>303</v>
      </c>
      <c r="AC4" s="2" t="s">
        <v>331</v>
      </c>
      <c r="AD4" s="1">
        <v>0</v>
      </c>
      <c r="AE4" s="2"/>
      <c r="AF4" s="2"/>
      <c r="AG4" s="2" t="s">
        <v>305</v>
      </c>
      <c r="AH4" s="98" t="s">
        <v>298</v>
      </c>
      <c r="AI4" s="97" t="str">
        <f t="shared" ref="AI4:AI67" si="0">IF(AH4=AG4,1,"")</f>
        <v/>
      </c>
      <c r="AJ4" s="2" t="s">
        <v>297</v>
      </c>
      <c r="AK4" s="1">
        <v>0</v>
      </c>
      <c r="AL4" s="2"/>
      <c r="AM4" s="2"/>
      <c r="AN4" s="1">
        <v>0</v>
      </c>
      <c r="AO4" s="2"/>
      <c r="AP4" s="2"/>
      <c r="AQ4" s="2" t="s">
        <v>296</v>
      </c>
      <c r="AR4" s="1">
        <v>0</v>
      </c>
      <c r="AS4" s="2"/>
      <c r="AT4" s="2"/>
      <c r="AU4" s="2" t="s">
        <v>301</v>
      </c>
      <c r="AV4" s="2" t="s">
        <v>287</v>
      </c>
      <c r="AW4" s="1">
        <v>0</v>
      </c>
      <c r="AX4" s="2"/>
      <c r="AY4" s="2"/>
      <c r="AZ4" s="2" t="s">
        <v>324</v>
      </c>
      <c r="BA4" s="98"/>
      <c r="BB4" s="97"/>
      <c r="BC4" s="2" t="s">
        <v>297</v>
      </c>
      <c r="BD4" s="1">
        <v>0</v>
      </c>
      <c r="BE4" s="2"/>
      <c r="BF4" s="2"/>
      <c r="BG4" s="1">
        <v>0</v>
      </c>
      <c r="BH4" s="2"/>
      <c r="BI4" s="2" t="s">
        <v>299</v>
      </c>
      <c r="BJ4" s="2" t="s">
        <v>303</v>
      </c>
      <c r="BK4" s="2" t="s">
        <v>297</v>
      </c>
      <c r="BL4" s="1">
        <v>0</v>
      </c>
      <c r="BM4" s="2"/>
      <c r="BN4" s="2"/>
      <c r="BO4" s="2" t="s">
        <v>305</v>
      </c>
      <c r="BP4" s="2" t="s">
        <v>331</v>
      </c>
      <c r="BQ4" s="1">
        <v>0</v>
      </c>
      <c r="BR4" s="2"/>
      <c r="BS4" s="2"/>
      <c r="BT4" s="1">
        <v>0</v>
      </c>
      <c r="BU4" s="2"/>
      <c r="BV4" s="2" t="s">
        <v>296</v>
      </c>
      <c r="BW4" s="1">
        <v>0</v>
      </c>
      <c r="BX4" s="2"/>
      <c r="BY4" s="2" t="s">
        <v>301</v>
      </c>
      <c r="BZ4" s="2" t="s">
        <v>339</v>
      </c>
      <c r="CA4" s="1">
        <v>0</v>
      </c>
      <c r="CB4" s="2"/>
      <c r="CC4" s="2"/>
      <c r="CD4" s="2" t="s">
        <v>324</v>
      </c>
      <c r="CE4" s="97"/>
      <c r="CF4" s="97"/>
      <c r="CG4" s="2" t="s">
        <v>297</v>
      </c>
      <c r="CH4" s="1">
        <v>0</v>
      </c>
      <c r="CI4" s="2"/>
      <c r="CJ4" s="2"/>
      <c r="CK4" s="1">
        <v>0</v>
      </c>
      <c r="CL4" s="2"/>
      <c r="CM4" s="2" t="s">
        <v>296</v>
      </c>
      <c r="CN4" s="1"/>
      <c r="CO4" s="2"/>
      <c r="CP4" s="2"/>
      <c r="CQ4" s="2"/>
      <c r="CR4" s="2"/>
      <c r="CS4" s="1"/>
      <c r="CT4" s="2"/>
      <c r="CU4" s="2"/>
      <c r="CV4" s="2"/>
      <c r="CW4" s="98"/>
      <c r="CX4" s="97"/>
      <c r="CY4" s="2"/>
      <c r="CZ4" s="1"/>
      <c r="DA4" s="2"/>
      <c r="DB4" s="2"/>
      <c r="DC4" s="1"/>
      <c r="DD4" s="2"/>
      <c r="DE4" s="2"/>
      <c r="DF4" s="1"/>
      <c r="DG4" s="2"/>
      <c r="DH4" s="2"/>
      <c r="DI4" s="2"/>
      <c r="DJ4" s="2"/>
      <c r="DK4" s="1"/>
      <c r="DL4" s="2"/>
      <c r="DM4" s="2"/>
      <c r="DN4" s="2"/>
      <c r="DO4" s="98"/>
      <c r="DP4" s="97"/>
      <c r="DQ4" s="2"/>
      <c r="DR4" s="1"/>
      <c r="DS4" s="2"/>
      <c r="DT4" s="2"/>
      <c r="DU4" s="1"/>
      <c r="DV4" s="2"/>
      <c r="DW4" s="2"/>
      <c r="DX4" s="1"/>
      <c r="DY4" s="2"/>
      <c r="DZ4" s="2"/>
      <c r="EA4" s="2"/>
      <c r="EB4" s="2"/>
      <c r="EC4" s="1"/>
      <c r="ED4" s="2"/>
      <c r="EE4" s="2"/>
      <c r="EF4" s="2"/>
      <c r="EG4" s="98"/>
      <c r="EH4" s="97"/>
      <c r="EI4" s="2"/>
      <c r="EJ4" s="1"/>
      <c r="EK4" s="2"/>
      <c r="EL4" s="2"/>
      <c r="EM4" s="2"/>
      <c r="EN4" s="2"/>
      <c r="EO4" s="2"/>
      <c r="EP4" s="1"/>
      <c r="EQ4" s="2"/>
      <c r="ER4" s="2"/>
      <c r="ES4" s="2"/>
      <c r="ET4" s="1"/>
      <c r="EU4" s="2"/>
      <c r="EV4" s="2"/>
      <c r="EW4" s="2"/>
      <c r="EX4" s="98" t="s">
        <v>298</v>
      </c>
      <c r="EY4" s="97"/>
      <c r="EZ4" s="1"/>
      <c r="FA4" s="2"/>
      <c r="FB4" s="2"/>
      <c r="FC4" s="2"/>
      <c r="FD4" s="1"/>
      <c r="FE4" s="2"/>
      <c r="FF4" s="2"/>
      <c r="FG4" s="1"/>
      <c r="FH4" s="2"/>
      <c r="FI4" s="2"/>
      <c r="FJ4" s="2"/>
      <c r="FK4" s="2"/>
      <c r="FL4" s="2"/>
      <c r="FM4" s="2"/>
      <c r="FN4" s="2"/>
      <c r="FO4" s="2"/>
      <c r="FP4" s="1"/>
      <c r="FQ4" s="2"/>
      <c r="FR4" s="2"/>
      <c r="FS4" s="2"/>
      <c r="FT4"/>
      <c r="FU4" s="2"/>
      <c r="FV4" s="2"/>
      <c r="FW4" s="2"/>
      <c r="FX4" s="1">
        <v>-1</v>
      </c>
      <c r="FY4" s="1">
        <v>-1</v>
      </c>
      <c r="FZ4" s="1">
        <v>-1</v>
      </c>
      <c r="GA4" s="1">
        <v>-1</v>
      </c>
      <c r="GB4" s="1">
        <v>-1</v>
      </c>
      <c r="GC4" s="1">
        <v>-1</v>
      </c>
      <c r="GD4" s="1">
        <v>-1</v>
      </c>
      <c r="GE4" s="1">
        <v>-1</v>
      </c>
      <c r="GF4" s="1">
        <v>-1</v>
      </c>
      <c r="GG4" s="1"/>
      <c r="GH4" s="1"/>
      <c r="GI4" s="1"/>
      <c r="GJ4" s="1"/>
      <c r="GK4" s="1"/>
      <c r="GL4" s="1"/>
      <c r="GM4" s="1">
        <v>-9</v>
      </c>
      <c r="GN4" s="3"/>
      <c r="GO4" s="3"/>
      <c r="GP4" s="2"/>
      <c r="GQ4" s="2" t="s">
        <v>277</v>
      </c>
      <c r="GR4" s="2" t="s">
        <v>277</v>
      </c>
      <c r="GS4" s="1">
        <v>9</v>
      </c>
      <c r="GT4" s="1">
        <v>9</v>
      </c>
      <c r="GU4" s="1">
        <v>40</v>
      </c>
      <c r="GV4" s="1">
        <v>14</v>
      </c>
      <c r="GW4" s="4"/>
    </row>
    <row r="5" spans="1:205" s="70" customFormat="1" ht="13.8" thickBot="1" x14ac:dyDescent="0.3">
      <c r="A5" s="73">
        <v>206</v>
      </c>
      <c r="B5" s="73" t="s">
        <v>321</v>
      </c>
      <c r="C5" s="73">
        <v>22</v>
      </c>
      <c r="D5" s="73" t="s">
        <v>279</v>
      </c>
      <c r="E5" s="73" t="s">
        <v>354</v>
      </c>
      <c r="F5" s="73" t="s">
        <v>281</v>
      </c>
      <c r="G5" s="73" t="s">
        <v>281</v>
      </c>
      <c r="H5" s="73" t="s">
        <v>282</v>
      </c>
      <c r="I5" s="73" t="s">
        <v>282</v>
      </c>
      <c r="J5" s="73" t="s">
        <v>281</v>
      </c>
      <c r="K5" s="73" t="s">
        <v>282</v>
      </c>
      <c r="L5" s="73" t="s">
        <v>281</v>
      </c>
      <c r="M5" s="73" t="s">
        <v>281</v>
      </c>
      <c r="N5" s="73" t="s">
        <v>281</v>
      </c>
      <c r="O5" s="73">
        <v>0</v>
      </c>
      <c r="P5" s="73"/>
      <c r="Q5" s="73"/>
      <c r="R5" s="73" t="s">
        <v>337</v>
      </c>
      <c r="S5" s="73"/>
      <c r="T5" s="73" t="s">
        <v>395</v>
      </c>
      <c r="U5" s="73"/>
      <c r="V5" s="73"/>
      <c r="W5" s="73"/>
      <c r="X5" s="73" t="s">
        <v>316</v>
      </c>
      <c r="Y5" s="73">
        <v>1</v>
      </c>
      <c r="Z5" s="73" t="s">
        <v>609</v>
      </c>
      <c r="AA5" s="73"/>
      <c r="AB5" s="73" t="s">
        <v>294</v>
      </c>
      <c r="AC5" s="73" t="s">
        <v>331</v>
      </c>
      <c r="AD5" s="73">
        <v>0</v>
      </c>
      <c r="AE5" s="73"/>
      <c r="AF5" s="73"/>
      <c r="AG5" s="73" t="s">
        <v>305</v>
      </c>
      <c r="AH5" s="98" t="s">
        <v>305</v>
      </c>
      <c r="AI5" s="97">
        <f t="shared" si="0"/>
        <v>1</v>
      </c>
      <c r="AJ5" s="73" t="s">
        <v>331</v>
      </c>
      <c r="AK5" s="73">
        <v>0</v>
      </c>
      <c r="AL5" s="73"/>
      <c r="AM5" s="73"/>
      <c r="AN5" s="73">
        <v>0</v>
      </c>
      <c r="AO5" s="73"/>
      <c r="AP5" s="73"/>
      <c r="AQ5" s="73" t="s">
        <v>328</v>
      </c>
      <c r="AR5" s="73">
        <v>1</v>
      </c>
      <c r="AS5" s="73" t="s">
        <v>357</v>
      </c>
      <c r="AT5" s="73"/>
      <c r="AU5" s="73" t="s">
        <v>301</v>
      </c>
      <c r="AV5" s="73" t="s">
        <v>289</v>
      </c>
      <c r="AW5" s="73">
        <v>0</v>
      </c>
      <c r="AX5" s="73"/>
      <c r="AY5" s="73"/>
      <c r="AZ5" s="73" t="s">
        <v>288</v>
      </c>
      <c r="BA5" s="98" t="s">
        <v>288</v>
      </c>
      <c r="BB5" s="97">
        <f t="shared" ref="BB5:BB67" si="1">IF(BA5=AZ5,1,"")</f>
        <v>1</v>
      </c>
      <c r="BC5" s="73" t="s">
        <v>331</v>
      </c>
      <c r="BD5" s="73">
        <v>0</v>
      </c>
      <c r="BE5" s="73"/>
      <c r="BF5" s="73"/>
      <c r="BG5" s="73">
        <v>1</v>
      </c>
      <c r="BH5" s="73" t="s">
        <v>610</v>
      </c>
      <c r="BI5" s="73" t="s">
        <v>299</v>
      </c>
      <c r="BJ5" s="73"/>
      <c r="BK5" s="73"/>
      <c r="BL5" s="73">
        <v>0</v>
      </c>
      <c r="BM5" s="73"/>
      <c r="BN5" s="73"/>
      <c r="BO5" s="73"/>
      <c r="BP5" s="73"/>
      <c r="BQ5" s="73">
        <v>0</v>
      </c>
      <c r="BR5" s="73"/>
      <c r="BS5" s="73"/>
      <c r="BT5" s="73">
        <v>0</v>
      </c>
      <c r="BU5" s="73"/>
      <c r="BV5" s="73"/>
      <c r="BW5" s="73">
        <v>1</v>
      </c>
      <c r="BX5" s="73" t="s">
        <v>611</v>
      </c>
      <c r="BY5" s="73" t="s">
        <v>301</v>
      </c>
      <c r="BZ5" s="73" t="s">
        <v>521</v>
      </c>
      <c r="CA5" s="73">
        <v>0</v>
      </c>
      <c r="CB5" s="73"/>
      <c r="CC5" s="73"/>
      <c r="CD5" s="73" t="s">
        <v>288</v>
      </c>
      <c r="CE5" s="97" t="s">
        <v>288</v>
      </c>
      <c r="CF5" s="97">
        <f t="shared" ref="CF5:CF70" si="2">IF(CE5=CD5,1,"")</f>
        <v>1</v>
      </c>
      <c r="CG5" s="73" t="s">
        <v>331</v>
      </c>
      <c r="CH5" s="73">
        <v>0</v>
      </c>
      <c r="CI5" s="73"/>
      <c r="CJ5" s="73"/>
      <c r="CK5" s="73">
        <v>0</v>
      </c>
      <c r="CL5" s="73"/>
      <c r="CM5" s="73" t="s">
        <v>292</v>
      </c>
      <c r="CN5" s="73">
        <v>1</v>
      </c>
      <c r="CO5" s="73" t="s">
        <v>612</v>
      </c>
      <c r="CP5" s="73"/>
      <c r="CQ5" s="73" t="s">
        <v>303</v>
      </c>
      <c r="CR5" s="73" t="s">
        <v>302</v>
      </c>
      <c r="CS5" s="73">
        <v>0</v>
      </c>
      <c r="CT5" s="73"/>
      <c r="CU5" s="73"/>
      <c r="CV5" s="73" t="s">
        <v>298</v>
      </c>
      <c r="CW5" s="98" t="s">
        <v>305</v>
      </c>
      <c r="CX5" s="97" t="str">
        <f t="shared" ref="CX5:CX70" si="3">IF(CW5=CV5,1,"")</f>
        <v/>
      </c>
      <c r="CY5" s="73" t="s">
        <v>331</v>
      </c>
      <c r="CZ5" s="73">
        <v>0</v>
      </c>
      <c r="DA5" s="73"/>
      <c r="DB5" s="73"/>
      <c r="DC5" s="73">
        <v>1</v>
      </c>
      <c r="DD5" s="73" t="s">
        <v>613</v>
      </c>
      <c r="DE5" s="73" t="s">
        <v>328</v>
      </c>
      <c r="DF5" s="73">
        <v>1</v>
      </c>
      <c r="DG5" s="73" t="s">
        <v>614</v>
      </c>
      <c r="DH5" s="73"/>
      <c r="DI5" s="73" t="s">
        <v>303</v>
      </c>
      <c r="DJ5" s="73" t="s">
        <v>331</v>
      </c>
      <c r="DK5" s="73">
        <v>0</v>
      </c>
      <c r="DL5" s="73"/>
      <c r="DM5" s="73"/>
      <c r="DN5" s="73" t="s">
        <v>298</v>
      </c>
      <c r="DO5" s="98" t="s">
        <v>298</v>
      </c>
      <c r="DP5" s="97">
        <f t="shared" ref="DP5:DP70" si="4">IF(DO5=DN5,1,"")</f>
        <v>1</v>
      </c>
      <c r="DQ5" s="73" t="s">
        <v>331</v>
      </c>
      <c r="DR5" s="73">
        <v>0</v>
      </c>
      <c r="DS5" s="73"/>
      <c r="DT5" s="73"/>
      <c r="DU5" s="73">
        <v>0</v>
      </c>
      <c r="DV5" s="73"/>
      <c r="DW5" s="73" t="s">
        <v>296</v>
      </c>
      <c r="DX5" s="73">
        <v>1</v>
      </c>
      <c r="DY5" s="73" t="s">
        <v>615</v>
      </c>
      <c r="DZ5" s="73"/>
      <c r="EA5" s="73" t="s">
        <v>303</v>
      </c>
      <c r="EB5" s="73" t="s">
        <v>331</v>
      </c>
      <c r="EC5" s="73">
        <v>0</v>
      </c>
      <c r="ED5" s="73"/>
      <c r="EE5" s="73"/>
      <c r="EF5" s="73" t="s">
        <v>298</v>
      </c>
      <c r="EG5" s="98" t="s">
        <v>298</v>
      </c>
      <c r="EH5" s="97">
        <f t="shared" ref="EH5:EH70" si="5">IF(EG5=EF5,1,"")</f>
        <v>1</v>
      </c>
      <c r="EI5" s="73" t="s">
        <v>331</v>
      </c>
      <c r="EJ5" s="73">
        <v>0</v>
      </c>
      <c r="EK5" s="73"/>
      <c r="EL5" s="73"/>
      <c r="EM5" s="73"/>
      <c r="EN5" s="73"/>
      <c r="EO5" s="73" t="s">
        <v>296</v>
      </c>
      <c r="EP5" s="73">
        <v>1</v>
      </c>
      <c r="EQ5" s="73" t="s">
        <v>616</v>
      </c>
      <c r="ER5" s="73" t="s">
        <v>294</v>
      </c>
      <c r="ES5" s="73" t="s">
        <v>331</v>
      </c>
      <c r="ET5" s="73">
        <v>0</v>
      </c>
      <c r="EU5" s="73"/>
      <c r="EV5" s="73"/>
      <c r="EW5" s="73" t="s">
        <v>305</v>
      </c>
      <c r="EX5" s="98" t="s">
        <v>305</v>
      </c>
      <c r="EY5" s="97">
        <f t="shared" ref="EY5:EY70" si="6">IF(EX5=EW5,1,"")</f>
        <v>1</v>
      </c>
      <c r="EZ5" s="73">
        <v>0</v>
      </c>
      <c r="FA5" s="73"/>
      <c r="FB5" s="73"/>
      <c r="FC5" s="73"/>
      <c r="FD5" s="73">
        <v>0</v>
      </c>
      <c r="FE5" s="73"/>
      <c r="FF5" s="73" t="s">
        <v>299</v>
      </c>
      <c r="FG5" s="73">
        <v>0</v>
      </c>
      <c r="FH5" s="73"/>
      <c r="FI5" s="73"/>
      <c r="FJ5" s="73"/>
      <c r="FK5" s="73"/>
      <c r="FL5" s="73"/>
      <c r="FM5" s="73"/>
      <c r="FN5" s="73"/>
      <c r="FO5" s="73"/>
      <c r="FP5" s="73">
        <v>1</v>
      </c>
      <c r="FQ5" s="73" t="s">
        <v>617</v>
      </c>
      <c r="FR5" s="73"/>
      <c r="FS5" s="73"/>
      <c r="FT5" s="73"/>
      <c r="FU5" s="73" t="s">
        <v>335</v>
      </c>
      <c r="FV5" s="73" t="s">
        <v>618</v>
      </c>
      <c r="FW5" s="73"/>
      <c r="FX5" s="73">
        <v>-1</v>
      </c>
      <c r="FY5" s="73">
        <v>-1</v>
      </c>
      <c r="FZ5" s="73">
        <v>-1</v>
      </c>
      <c r="GA5" s="73">
        <v>-1</v>
      </c>
      <c r="GB5" s="73">
        <v>-1</v>
      </c>
      <c r="GC5" s="73">
        <v>-1</v>
      </c>
      <c r="GD5" s="73">
        <v>-1</v>
      </c>
      <c r="GE5" s="73">
        <v>-1</v>
      </c>
      <c r="GF5" s="73">
        <v>-1</v>
      </c>
      <c r="GG5" s="73">
        <v>-1</v>
      </c>
      <c r="GH5" s="73">
        <v>-1</v>
      </c>
      <c r="GI5" s="73">
        <v>-1</v>
      </c>
      <c r="GJ5" s="73">
        <v>-1</v>
      </c>
      <c r="GK5" s="73">
        <v>-1</v>
      </c>
      <c r="GL5" s="73">
        <v>-1</v>
      </c>
      <c r="GM5" s="73">
        <v>-15</v>
      </c>
      <c r="GN5" s="73"/>
      <c r="GO5" s="73"/>
      <c r="GP5" s="73" t="s">
        <v>319</v>
      </c>
      <c r="GQ5" s="73" t="s">
        <v>320</v>
      </c>
      <c r="GR5" s="73" t="s">
        <v>277</v>
      </c>
      <c r="GS5" s="73">
        <v>15</v>
      </c>
      <c r="GT5" s="73">
        <v>15</v>
      </c>
      <c r="GU5" s="73">
        <v>40</v>
      </c>
      <c r="GV5" s="73">
        <v>15</v>
      </c>
      <c r="GW5" s="73"/>
    </row>
    <row r="6" spans="1:205" x14ac:dyDescent="0.25">
      <c r="A6" s="55">
        <v>179</v>
      </c>
      <c r="B6" s="56" t="s">
        <v>421</v>
      </c>
      <c r="C6" s="56">
        <v>39.5</v>
      </c>
      <c r="D6" s="56" t="s">
        <v>353</v>
      </c>
      <c r="E6" s="56" t="s">
        <v>377</v>
      </c>
      <c r="F6" s="56" t="s">
        <v>281</v>
      </c>
      <c r="G6" s="56" t="s">
        <v>281</v>
      </c>
      <c r="H6" s="56" t="s">
        <v>282</v>
      </c>
      <c r="I6" s="56" t="s">
        <v>282</v>
      </c>
      <c r="J6" s="56" t="s">
        <v>282</v>
      </c>
      <c r="K6" s="56" t="s">
        <v>281</v>
      </c>
      <c r="L6" s="56" t="s">
        <v>282</v>
      </c>
      <c r="M6" s="56" t="s">
        <v>282</v>
      </c>
      <c r="N6" s="56" t="s">
        <v>282</v>
      </c>
      <c r="O6" s="55">
        <v>0</v>
      </c>
      <c r="P6" s="56"/>
      <c r="Q6" s="56"/>
      <c r="R6" s="56" t="s">
        <v>337</v>
      </c>
      <c r="S6" s="56"/>
      <c r="T6" s="50" t="s">
        <v>424</v>
      </c>
      <c r="U6" s="56"/>
      <c r="V6" s="56" t="s">
        <v>377</v>
      </c>
      <c r="W6" s="56"/>
      <c r="X6" s="56" t="s">
        <v>437</v>
      </c>
      <c r="Y6" s="55">
        <v>1</v>
      </c>
      <c r="Z6" s="56" t="s">
        <v>484</v>
      </c>
      <c r="AA6" s="56"/>
      <c r="AB6" s="56" t="s">
        <v>303</v>
      </c>
      <c r="AC6" s="56" t="s">
        <v>331</v>
      </c>
      <c r="AD6" s="55">
        <v>0</v>
      </c>
      <c r="AE6" s="56"/>
      <c r="AF6" s="56"/>
      <c r="AG6" s="56" t="s">
        <v>288</v>
      </c>
      <c r="AH6" s="98" t="s">
        <v>298</v>
      </c>
      <c r="AI6" s="97" t="str">
        <f t="shared" si="0"/>
        <v/>
      </c>
      <c r="AJ6" s="56" t="s">
        <v>302</v>
      </c>
      <c r="AK6" s="55">
        <v>0</v>
      </c>
      <c r="AL6" s="56"/>
      <c r="AM6" s="56"/>
      <c r="AN6" s="55">
        <v>0</v>
      </c>
      <c r="AO6" s="56"/>
      <c r="AP6" s="56"/>
      <c r="AQ6" s="56" t="s">
        <v>328</v>
      </c>
      <c r="AR6" s="55">
        <v>1</v>
      </c>
      <c r="AS6" s="56" t="s">
        <v>485</v>
      </c>
      <c r="AT6" s="56"/>
      <c r="AU6" s="56" t="s">
        <v>301</v>
      </c>
      <c r="AV6" s="56" t="s">
        <v>287</v>
      </c>
      <c r="AW6" s="55">
        <v>2</v>
      </c>
      <c r="AX6" s="56" t="s">
        <v>339</v>
      </c>
      <c r="AY6" s="56" t="s">
        <v>302</v>
      </c>
      <c r="AZ6" s="56" t="s">
        <v>288</v>
      </c>
      <c r="BA6" s="98" t="s">
        <v>840</v>
      </c>
      <c r="BB6" s="97">
        <v>1</v>
      </c>
      <c r="BC6" s="56" t="s">
        <v>287</v>
      </c>
      <c r="BD6" s="55">
        <v>1</v>
      </c>
      <c r="BE6" s="56"/>
      <c r="BF6" s="56" t="s">
        <v>339</v>
      </c>
      <c r="BG6" s="55">
        <v>0</v>
      </c>
      <c r="BH6" s="56"/>
      <c r="BI6" s="56" t="s">
        <v>296</v>
      </c>
      <c r="BJ6" s="56" t="s">
        <v>301</v>
      </c>
      <c r="BK6" s="56" t="s">
        <v>297</v>
      </c>
      <c r="BL6" s="55">
        <v>0</v>
      </c>
      <c r="BM6" s="56"/>
      <c r="BN6" s="56"/>
      <c r="BO6" s="56" t="s">
        <v>324</v>
      </c>
      <c r="BP6" s="56" t="s">
        <v>339</v>
      </c>
      <c r="BQ6" s="55">
        <v>0</v>
      </c>
      <c r="BR6" s="56"/>
      <c r="BS6" s="56"/>
      <c r="BT6" s="55">
        <v>0</v>
      </c>
      <c r="BU6" s="56"/>
      <c r="BV6" s="56" t="s">
        <v>296</v>
      </c>
      <c r="BW6" s="55">
        <v>0</v>
      </c>
      <c r="BX6" s="56"/>
      <c r="BY6" s="56" t="s">
        <v>301</v>
      </c>
      <c r="BZ6" s="56" t="s">
        <v>297</v>
      </c>
      <c r="CA6" s="55">
        <v>0</v>
      </c>
      <c r="CB6" s="56"/>
      <c r="CC6" s="56"/>
      <c r="CD6" s="56" t="s">
        <v>324</v>
      </c>
      <c r="CE6" s="97"/>
      <c r="CF6" s="97" t="str">
        <f t="shared" si="2"/>
        <v/>
      </c>
      <c r="CG6" s="56" t="s">
        <v>339</v>
      </c>
      <c r="CH6" s="55">
        <v>0</v>
      </c>
      <c r="CI6" s="56"/>
      <c r="CJ6" s="56"/>
      <c r="CK6" s="55">
        <v>1</v>
      </c>
      <c r="CL6" s="56" t="s">
        <v>486</v>
      </c>
      <c r="CM6" s="56" t="s">
        <v>296</v>
      </c>
      <c r="CN6" s="55">
        <v>1</v>
      </c>
      <c r="CO6" s="56" t="s">
        <v>487</v>
      </c>
      <c r="CP6" s="56"/>
      <c r="CQ6" s="56" t="s">
        <v>301</v>
      </c>
      <c r="CR6" s="56" t="s">
        <v>297</v>
      </c>
      <c r="CS6" s="55">
        <v>0</v>
      </c>
      <c r="CT6" s="56"/>
      <c r="CU6" s="56"/>
      <c r="CV6" s="56" t="s">
        <v>288</v>
      </c>
      <c r="CW6" s="98" t="s">
        <v>837</v>
      </c>
      <c r="CX6" s="97">
        <f t="shared" si="3"/>
        <v>1</v>
      </c>
      <c r="CY6" s="56" t="s">
        <v>339</v>
      </c>
      <c r="CZ6" s="55">
        <v>0</v>
      </c>
      <c r="DA6" s="56"/>
      <c r="DB6" s="56"/>
      <c r="DC6" s="55">
        <v>0</v>
      </c>
      <c r="DD6" s="56"/>
      <c r="DE6" s="56" t="s">
        <v>296</v>
      </c>
      <c r="DF6" s="55">
        <v>2</v>
      </c>
      <c r="DG6" s="56" t="s">
        <v>488</v>
      </c>
      <c r="DH6" s="56" t="s">
        <v>475</v>
      </c>
      <c r="DI6" s="56" t="s">
        <v>301</v>
      </c>
      <c r="DJ6" s="56" t="s">
        <v>297</v>
      </c>
      <c r="DK6" s="55">
        <v>0</v>
      </c>
      <c r="DL6" s="56"/>
      <c r="DM6" s="56"/>
      <c r="DN6" s="56" t="s">
        <v>288</v>
      </c>
      <c r="DO6" s="98"/>
      <c r="DP6" s="97" t="str">
        <f t="shared" si="4"/>
        <v/>
      </c>
      <c r="DQ6" s="56" t="s">
        <v>339</v>
      </c>
      <c r="DR6" s="55">
        <v>0</v>
      </c>
      <c r="DS6" s="56"/>
      <c r="DT6" s="56"/>
      <c r="DU6" s="55">
        <v>0</v>
      </c>
      <c r="DV6" s="56"/>
      <c r="DW6" s="56" t="s">
        <v>296</v>
      </c>
      <c r="DX6" s="55">
        <v>1</v>
      </c>
      <c r="DY6" s="56" t="s">
        <v>489</v>
      </c>
      <c r="DZ6" s="56"/>
      <c r="EA6" s="56" t="s">
        <v>303</v>
      </c>
      <c r="EB6" s="56" t="s">
        <v>331</v>
      </c>
      <c r="EC6" s="55">
        <v>0</v>
      </c>
      <c r="ED6" s="56"/>
      <c r="EE6" s="56"/>
      <c r="EF6" s="56" t="s">
        <v>298</v>
      </c>
      <c r="EG6" s="98" t="s">
        <v>305</v>
      </c>
      <c r="EH6" s="97" t="str">
        <f t="shared" si="5"/>
        <v/>
      </c>
      <c r="EI6" s="56"/>
      <c r="EJ6" s="55">
        <v>0</v>
      </c>
      <c r="EK6" s="56"/>
      <c r="EL6" s="56"/>
      <c r="EM6" s="56"/>
      <c r="EN6" s="56"/>
      <c r="EO6" s="56" t="s">
        <v>296</v>
      </c>
      <c r="EP6" s="55">
        <v>1</v>
      </c>
      <c r="EQ6" s="56" t="s">
        <v>490</v>
      </c>
      <c r="ER6" s="56" t="s">
        <v>303</v>
      </c>
      <c r="ES6" s="56" t="s">
        <v>331</v>
      </c>
      <c r="ET6" s="55">
        <v>1</v>
      </c>
      <c r="EU6" s="56" t="s">
        <v>491</v>
      </c>
      <c r="EV6" s="56"/>
      <c r="EW6" s="56" t="s">
        <v>288</v>
      </c>
      <c r="EX6" s="98" t="s">
        <v>298</v>
      </c>
      <c r="EY6" s="97" t="str">
        <f t="shared" si="6"/>
        <v/>
      </c>
      <c r="EZ6" s="55">
        <v>0</v>
      </c>
      <c r="FA6" s="56"/>
      <c r="FB6" s="56"/>
      <c r="FC6" s="56"/>
      <c r="FD6" s="55">
        <v>0</v>
      </c>
      <c r="FE6" s="56"/>
      <c r="FF6" s="56" t="s">
        <v>296</v>
      </c>
      <c r="FG6" s="55">
        <v>0</v>
      </c>
      <c r="FH6" s="56"/>
      <c r="FI6" s="56"/>
      <c r="FJ6" s="56"/>
      <c r="FK6" s="56"/>
      <c r="FL6" s="56" t="s">
        <v>397</v>
      </c>
      <c r="FM6" s="56" t="s">
        <v>492</v>
      </c>
      <c r="FN6" s="56"/>
      <c r="FO6" s="56"/>
      <c r="FP6" s="55">
        <v>3</v>
      </c>
      <c r="FQ6" s="56" t="s">
        <v>493</v>
      </c>
      <c r="FR6" s="56" t="s">
        <v>494</v>
      </c>
      <c r="FS6" s="56" t="s">
        <v>495</v>
      </c>
      <c r="FT6" s="50"/>
      <c r="FU6" s="56" t="s">
        <v>335</v>
      </c>
      <c r="FV6" s="56"/>
      <c r="FW6" s="56"/>
      <c r="FX6" s="55">
        <v>-1</v>
      </c>
      <c r="FY6" s="55">
        <v>-1</v>
      </c>
      <c r="FZ6" s="55">
        <v>-1</v>
      </c>
      <c r="GA6" s="55">
        <v>-1</v>
      </c>
      <c r="GB6" s="55">
        <v>-1</v>
      </c>
      <c r="GC6" s="55">
        <v>-1</v>
      </c>
      <c r="GD6" s="55">
        <v>-1</v>
      </c>
      <c r="GE6" s="55">
        <v>-1</v>
      </c>
      <c r="GF6" s="55">
        <v>-1</v>
      </c>
      <c r="GG6" s="55">
        <v>-1</v>
      </c>
      <c r="GH6" s="55">
        <v>-1</v>
      </c>
      <c r="GI6" s="55">
        <v>-1</v>
      </c>
      <c r="GJ6" s="55">
        <v>-1</v>
      </c>
      <c r="GK6" s="55">
        <v>-1</v>
      </c>
      <c r="GL6" s="55">
        <v>-1</v>
      </c>
      <c r="GM6" s="55">
        <v>-15</v>
      </c>
      <c r="GN6" s="57"/>
      <c r="GO6" s="57"/>
      <c r="GP6" s="56" t="s">
        <v>319</v>
      </c>
      <c r="GQ6" s="56" t="s">
        <v>320</v>
      </c>
      <c r="GR6" s="56" t="s">
        <v>277</v>
      </c>
      <c r="GS6" s="55">
        <v>15</v>
      </c>
      <c r="GT6" s="55">
        <v>15</v>
      </c>
      <c r="GU6" s="55">
        <v>35</v>
      </c>
      <c r="GV6" s="55">
        <v>14</v>
      </c>
      <c r="GW6" s="58"/>
    </row>
    <row r="7" spans="1:205" s="62" customFormat="1" ht="13.8" thickBot="1" x14ac:dyDescent="0.3">
      <c r="A7" s="74">
        <v>190</v>
      </c>
      <c r="B7" s="73" t="s">
        <v>421</v>
      </c>
      <c r="C7" s="73">
        <v>39.5</v>
      </c>
      <c r="D7" s="73" t="s">
        <v>353</v>
      </c>
      <c r="E7" s="73" t="s">
        <v>280</v>
      </c>
      <c r="F7" s="73" t="s">
        <v>281</v>
      </c>
      <c r="G7" s="73" t="s">
        <v>281</v>
      </c>
      <c r="H7" s="73" t="s">
        <v>282</v>
      </c>
      <c r="I7" s="73" t="s">
        <v>282</v>
      </c>
      <c r="J7" s="73" t="s">
        <v>282</v>
      </c>
      <c r="K7" s="73" t="s">
        <v>281</v>
      </c>
      <c r="L7" s="73" t="s">
        <v>282</v>
      </c>
      <c r="M7" s="73" t="s">
        <v>282</v>
      </c>
      <c r="N7" s="73" t="s">
        <v>281</v>
      </c>
      <c r="O7" s="74">
        <v>1</v>
      </c>
      <c r="P7" s="73" t="s">
        <v>404</v>
      </c>
      <c r="Q7" s="73"/>
      <c r="R7" s="73" t="s">
        <v>337</v>
      </c>
      <c r="S7" s="73"/>
      <c r="T7" s="75" t="s">
        <v>395</v>
      </c>
      <c r="U7" s="73"/>
      <c r="V7" s="73"/>
      <c r="W7" s="73"/>
      <c r="X7" s="73" t="s">
        <v>346</v>
      </c>
      <c r="Y7" s="74">
        <v>1</v>
      </c>
      <c r="Z7" s="73" t="s">
        <v>453</v>
      </c>
      <c r="AA7" s="73"/>
      <c r="AB7" s="73" t="s">
        <v>303</v>
      </c>
      <c r="AC7" s="73" t="s">
        <v>331</v>
      </c>
      <c r="AD7" s="74">
        <v>0</v>
      </c>
      <c r="AE7" s="73"/>
      <c r="AF7" s="73"/>
      <c r="AG7" s="73" t="s">
        <v>305</v>
      </c>
      <c r="AH7" s="98" t="s">
        <v>305</v>
      </c>
      <c r="AI7" s="97">
        <f t="shared" si="0"/>
        <v>1</v>
      </c>
      <c r="AJ7" s="73" t="s">
        <v>331</v>
      </c>
      <c r="AK7" s="74">
        <v>0</v>
      </c>
      <c r="AL7" s="73"/>
      <c r="AM7" s="73"/>
      <c r="AN7" s="74">
        <v>1</v>
      </c>
      <c r="AO7" s="73" t="s">
        <v>529</v>
      </c>
      <c r="AP7" s="73"/>
      <c r="AQ7" s="73" t="s">
        <v>299</v>
      </c>
      <c r="AR7" s="74">
        <v>1</v>
      </c>
      <c r="AS7" s="73" t="s">
        <v>530</v>
      </c>
      <c r="AT7" s="73"/>
      <c r="AU7" s="73" t="s">
        <v>294</v>
      </c>
      <c r="AV7" s="73" t="s">
        <v>287</v>
      </c>
      <c r="AW7" s="74">
        <v>1</v>
      </c>
      <c r="AX7" s="73" t="s">
        <v>531</v>
      </c>
      <c r="AY7" s="73"/>
      <c r="AZ7" s="73" t="s">
        <v>288</v>
      </c>
      <c r="BA7" s="98" t="s">
        <v>840</v>
      </c>
      <c r="BB7" s="97">
        <v>1</v>
      </c>
      <c r="BC7" s="73" t="s">
        <v>302</v>
      </c>
      <c r="BD7" s="74">
        <v>0</v>
      </c>
      <c r="BE7" s="73"/>
      <c r="BF7" s="73"/>
      <c r="BG7" s="74">
        <v>1</v>
      </c>
      <c r="BH7" s="73" t="s">
        <v>532</v>
      </c>
      <c r="BI7" s="73" t="s">
        <v>299</v>
      </c>
      <c r="BJ7" s="73" t="s">
        <v>294</v>
      </c>
      <c r="BK7" s="73" t="s">
        <v>521</v>
      </c>
      <c r="BL7" s="74">
        <v>1</v>
      </c>
      <c r="BM7" s="73" t="s">
        <v>297</v>
      </c>
      <c r="BN7" s="73"/>
      <c r="BO7" s="73" t="s">
        <v>324</v>
      </c>
      <c r="BP7" s="73" t="s">
        <v>339</v>
      </c>
      <c r="BQ7" s="74">
        <v>0</v>
      </c>
      <c r="BR7" s="73"/>
      <c r="BS7" s="73"/>
      <c r="BT7" s="74">
        <v>1</v>
      </c>
      <c r="BU7" s="73" t="s">
        <v>532</v>
      </c>
      <c r="BV7" s="73" t="s">
        <v>299</v>
      </c>
      <c r="BW7" s="74">
        <v>1</v>
      </c>
      <c r="BX7" s="73" t="s">
        <v>533</v>
      </c>
      <c r="BY7" s="73" t="s">
        <v>294</v>
      </c>
      <c r="BZ7" s="73" t="s">
        <v>297</v>
      </c>
      <c r="CA7" s="74">
        <v>0</v>
      </c>
      <c r="CB7" s="73"/>
      <c r="CC7" s="73"/>
      <c r="CD7" s="73" t="s">
        <v>288</v>
      </c>
      <c r="CE7" s="97" t="s">
        <v>288</v>
      </c>
      <c r="CF7" s="97">
        <f t="shared" si="2"/>
        <v>1</v>
      </c>
      <c r="CG7" s="73" t="s">
        <v>302</v>
      </c>
      <c r="CH7" s="74">
        <v>0</v>
      </c>
      <c r="CI7" s="73"/>
      <c r="CJ7" s="73"/>
      <c r="CK7" s="74">
        <v>1</v>
      </c>
      <c r="CL7" s="73" t="s">
        <v>532</v>
      </c>
      <c r="CM7" s="73" t="s">
        <v>328</v>
      </c>
      <c r="CN7" s="74">
        <v>1</v>
      </c>
      <c r="CO7" s="73" t="s">
        <v>534</v>
      </c>
      <c r="CP7" s="73"/>
      <c r="CQ7" s="73" t="s">
        <v>301</v>
      </c>
      <c r="CR7" s="73" t="s">
        <v>297</v>
      </c>
      <c r="CS7" s="74">
        <v>0</v>
      </c>
      <c r="CT7" s="73"/>
      <c r="CU7" s="73"/>
      <c r="CV7" s="73" t="s">
        <v>288</v>
      </c>
      <c r="CW7" s="98" t="s">
        <v>837</v>
      </c>
      <c r="CX7" s="97">
        <f t="shared" si="3"/>
        <v>1</v>
      </c>
      <c r="CY7" s="73" t="s">
        <v>302</v>
      </c>
      <c r="CZ7" s="74">
        <v>0</v>
      </c>
      <c r="DA7" s="73"/>
      <c r="DB7" s="73"/>
      <c r="DC7" s="74">
        <v>1</v>
      </c>
      <c r="DD7" s="73" t="s">
        <v>535</v>
      </c>
      <c r="DE7" s="73" t="s">
        <v>299</v>
      </c>
      <c r="DF7" s="74">
        <v>1</v>
      </c>
      <c r="DG7" s="73" t="s">
        <v>536</v>
      </c>
      <c r="DH7" s="73"/>
      <c r="DI7" s="73" t="s">
        <v>303</v>
      </c>
      <c r="DJ7" s="73" t="s">
        <v>331</v>
      </c>
      <c r="DK7" s="74">
        <v>1</v>
      </c>
      <c r="DL7" s="73" t="s">
        <v>302</v>
      </c>
      <c r="DM7" s="73"/>
      <c r="DN7" s="73" t="s">
        <v>305</v>
      </c>
      <c r="DO7" s="98" t="s">
        <v>305</v>
      </c>
      <c r="DP7" s="97">
        <f t="shared" si="4"/>
        <v>1</v>
      </c>
      <c r="DQ7" s="73" t="s">
        <v>331</v>
      </c>
      <c r="DR7" s="74">
        <v>0</v>
      </c>
      <c r="DS7" s="73"/>
      <c r="DT7" s="73"/>
      <c r="DU7" s="74">
        <v>1</v>
      </c>
      <c r="DV7" s="73" t="s">
        <v>406</v>
      </c>
      <c r="DW7" s="73" t="s">
        <v>328</v>
      </c>
      <c r="DX7" s="74">
        <v>1</v>
      </c>
      <c r="DY7" s="73" t="s">
        <v>489</v>
      </c>
      <c r="DZ7" s="73"/>
      <c r="EA7" s="73" t="s">
        <v>303</v>
      </c>
      <c r="EB7" s="73" t="s">
        <v>331</v>
      </c>
      <c r="EC7" s="74">
        <v>0</v>
      </c>
      <c r="ED7" s="73"/>
      <c r="EE7" s="73"/>
      <c r="EF7" s="73" t="s">
        <v>298</v>
      </c>
      <c r="EG7" s="98" t="s">
        <v>298</v>
      </c>
      <c r="EH7" s="97">
        <f t="shared" si="5"/>
        <v>1</v>
      </c>
      <c r="EI7" s="73" t="s">
        <v>331</v>
      </c>
      <c r="EJ7" s="74">
        <v>0</v>
      </c>
      <c r="EK7" s="73"/>
      <c r="EL7" s="73"/>
      <c r="EM7" s="73" t="s">
        <v>538</v>
      </c>
      <c r="EN7" s="73" t="s">
        <v>406</v>
      </c>
      <c r="EO7" s="73" t="s">
        <v>299</v>
      </c>
      <c r="EP7" s="74">
        <v>1</v>
      </c>
      <c r="EQ7" s="73" t="s">
        <v>411</v>
      </c>
      <c r="ER7" s="73" t="s">
        <v>294</v>
      </c>
      <c r="ES7" s="73" t="s">
        <v>331</v>
      </c>
      <c r="ET7" s="74">
        <v>0</v>
      </c>
      <c r="EU7" s="73"/>
      <c r="EV7" s="73"/>
      <c r="EW7" s="73" t="s">
        <v>305</v>
      </c>
      <c r="EX7" s="98" t="s">
        <v>305</v>
      </c>
      <c r="EY7" s="97">
        <f t="shared" si="6"/>
        <v>1</v>
      </c>
      <c r="EZ7" s="74">
        <v>0</v>
      </c>
      <c r="FA7" s="73"/>
      <c r="FB7" s="73"/>
      <c r="FC7" s="73" t="s">
        <v>539</v>
      </c>
      <c r="FD7" s="74">
        <v>1</v>
      </c>
      <c r="FE7" s="73" t="s">
        <v>406</v>
      </c>
      <c r="FF7" s="73" t="s">
        <v>299</v>
      </c>
      <c r="FG7" s="74">
        <v>1</v>
      </c>
      <c r="FH7" s="73" t="s">
        <v>540</v>
      </c>
      <c r="FI7" s="73"/>
      <c r="FJ7" s="73"/>
      <c r="FK7" s="73"/>
      <c r="FL7" s="73" t="s">
        <v>397</v>
      </c>
      <c r="FM7" s="73" t="s">
        <v>541</v>
      </c>
      <c r="FN7" s="73" t="s">
        <v>542</v>
      </c>
      <c r="FO7" s="73" t="s">
        <v>543</v>
      </c>
      <c r="FP7" s="74">
        <v>3</v>
      </c>
      <c r="FQ7" s="73" t="s">
        <v>544</v>
      </c>
      <c r="FR7" s="73" t="s">
        <v>545</v>
      </c>
      <c r="FS7" s="73" t="s">
        <v>546</v>
      </c>
      <c r="FT7" s="75"/>
      <c r="FU7" s="73" t="s">
        <v>317</v>
      </c>
      <c r="FV7" s="73" t="s">
        <v>547</v>
      </c>
      <c r="FW7" s="73"/>
      <c r="FX7" s="74">
        <v>-1</v>
      </c>
      <c r="FY7" s="74">
        <v>-1</v>
      </c>
      <c r="FZ7" s="74">
        <v>-1</v>
      </c>
      <c r="GA7" s="74">
        <v>-1</v>
      </c>
      <c r="GB7" s="74">
        <v>-1</v>
      </c>
      <c r="GC7" s="74">
        <v>-1</v>
      </c>
      <c r="GD7" s="74">
        <v>-1</v>
      </c>
      <c r="GE7" s="74">
        <v>-1</v>
      </c>
      <c r="GF7" s="74">
        <v>-1</v>
      </c>
      <c r="GG7" s="74">
        <v>-1</v>
      </c>
      <c r="GH7" s="74">
        <v>-1</v>
      </c>
      <c r="GI7" s="74">
        <v>-1</v>
      </c>
      <c r="GJ7" s="74">
        <v>-1</v>
      </c>
      <c r="GK7" s="74">
        <v>-1</v>
      </c>
      <c r="GL7" s="74">
        <v>-1</v>
      </c>
      <c r="GM7" s="74">
        <v>-15</v>
      </c>
      <c r="GN7" s="76"/>
      <c r="GO7" s="76"/>
      <c r="GP7" s="73" t="s">
        <v>319</v>
      </c>
      <c r="GQ7" s="73" t="s">
        <v>320</v>
      </c>
      <c r="GR7" s="73" t="s">
        <v>277</v>
      </c>
      <c r="GS7" s="74">
        <v>15</v>
      </c>
      <c r="GT7" s="74">
        <v>15</v>
      </c>
      <c r="GU7" s="74">
        <v>15</v>
      </c>
      <c r="GV7" s="74">
        <v>2</v>
      </c>
      <c r="GW7" s="77"/>
    </row>
    <row r="8" spans="1:205" s="49" customFormat="1" x14ac:dyDescent="0.25">
      <c r="A8" s="55">
        <v>140</v>
      </c>
      <c r="B8" s="56" t="s">
        <v>347</v>
      </c>
      <c r="C8" s="56">
        <v>57.5</v>
      </c>
      <c r="D8" s="56" t="s">
        <v>353</v>
      </c>
      <c r="E8" s="56" t="s">
        <v>377</v>
      </c>
      <c r="F8" s="56" t="s">
        <v>281</v>
      </c>
      <c r="G8" s="56" t="s">
        <v>281</v>
      </c>
      <c r="H8" s="56" t="s">
        <v>282</v>
      </c>
      <c r="I8" s="56" t="s">
        <v>282</v>
      </c>
      <c r="J8" s="56" t="s">
        <v>282</v>
      </c>
      <c r="K8" s="56" t="s">
        <v>281</v>
      </c>
      <c r="L8" s="56" t="s">
        <v>282</v>
      </c>
      <c r="M8" s="56" t="s">
        <v>282</v>
      </c>
      <c r="N8" s="56" t="s">
        <v>282</v>
      </c>
      <c r="O8" s="55">
        <v>0</v>
      </c>
      <c r="P8" s="56"/>
      <c r="Q8" s="56"/>
      <c r="R8" s="56" t="s">
        <v>337</v>
      </c>
      <c r="S8" s="56"/>
      <c r="T8" s="50" t="s">
        <v>395</v>
      </c>
      <c r="U8" s="56"/>
      <c r="V8" s="56" t="s">
        <v>280</v>
      </c>
      <c r="W8" s="56"/>
      <c r="X8" s="56" t="s">
        <v>393</v>
      </c>
      <c r="Y8" s="55">
        <v>0</v>
      </c>
      <c r="Z8" s="56"/>
      <c r="AA8" s="56"/>
      <c r="AB8" s="56"/>
      <c r="AC8" s="56"/>
      <c r="AD8" s="55">
        <v>0</v>
      </c>
      <c r="AE8" s="56"/>
      <c r="AF8" s="56"/>
      <c r="AG8" s="56"/>
      <c r="AH8" s="98" t="s">
        <v>305</v>
      </c>
      <c r="AI8" s="97" t="str">
        <f t="shared" si="0"/>
        <v/>
      </c>
      <c r="AJ8" s="56"/>
      <c r="AK8" s="55">
        <v>0</v>
      </c>
      <c r="AL8" s="56"/>
      <c r="AM8" s="56"/>
      <c r="AN8" s="55">
        <v>0</v>
      </c>
      <c r="AO8" s="56"/>
      <c r="AP8" s="56"/>
      <c r="AQ8" s="56"/>
      <c r="AR8" s="55">
        <v>0</v>
      </c>
      <c r="AS8" s="56"/>
      <c r="AT8" s="56"/>
      <c r="AU8" s="56"/>
      <c r="AV8" s="56"/>
      <c r="AW8" s="55">
        <v>0</v>
      </c>
      <c r="AX8" s="56"/>
      <c r="AY8" s="56"/>
      <c r="AZ8" s="56"/>
      <c r="BA8" s="98"/>
      <c r="BB8" s="97"/>
      <c r="BC8" s="56"/>
      <c r="BD8" s="55">
        <v>0</v>
      </c>
      <c r="BE8" s="56"/>
      <c r="BF8" s="56"/>
      <c r="BG8" s="55">
        <v>0</v>
      </c>
      <c r="BH8" s="56"/>
      <c r="BI8" s="56"/>
      <c r="BJ8" s="56"/>
      <c r="BK8" s="56"/>
      <c r="BL8" s="55">
        <v>0</v>
      </c>
      <c r="BM8" s="56"/>
      <c r="BN8" s="56"/>
      <c r="BO8" s="56"/>
      <c r="BP8" s="56"/>
      <c r="BQ8" s="55">
        <v>0</v>
      </c>
      <c r="BR8" s="56"/>
      <c r="BS8" s="56"/>
      <c r="BT8" s="55">
        <v>0</v>
      </c>
      <c r="BU8" s="56"/>
      <c r="BV8" s="56" t="s">
        <v>296</v>
      </c>
      <c r="BW8" s="55">
        <v>1</v>
      </c>
      <c r="BX8" s="56" t="s">
        <v>396</v>
      </c>
      <c r="BY8" s="56" t="s">
        <v>301</v>
      </c>
      <c r="BZ8" s="56" t="s">
        <v>297</v>
      </c>
      <c r="CA8" s="55">
        <v>0</v>
      </c>
      <c r="CB8" s="56"/>
      <c r="CC8" s="56"/>
      <c r="CD8" s="56" t="s">
        <v>324</v>
      </c>
      <c r="CE8" s="97"/>
      <c r="CF8" s="97" t="str">
        <f t="shared" si="2"/>
        <v/>
      </c>
      <c r="CG8" s="56" t="s">
        <v>287</v>
      </c>
      <c r="CH8" s="55">
        <v>0</v>
      </c>
      <c r="CI8" s="56"/>
      <c r="CJ8" s="56"/>
      <c r="CK8" s="55">
        <v>0</v>
      </c>
      <c r="CL8" s="56"/>
      <c r="CM8" s="56" t="s">
        <v>296</v>
      </c>
      <c r="CN8" s="55">
        <v>1</v>
      </c>
      <c r="CO8" s="56" t="s">
        <v>397</v>
      </c>
      <c r="CP8" s="56"/>
      <c r="CQ8" s="56" t="s">
        <v>303</v>
      </c>
      <c r="CR8" s="56" t="s">
        <v>302</v>
      </c>
      <c r="CS8" s="55">
        <v>1</v>
      </c>
      <c r="CT8" s="56" t="s">
        <v>398</v>
      </c>
      <c r="CU8" s="56"/>
      <c r="CV8" s="56" t="s">
        <v>305</v>
      </c>
      <c r="CW8" s="98" t="s">
        <v>305</v>
      </c>
      <c r="CX8" s="97">
        <f t="shared" si="3"/>
        <v>1</v>
      </c>
      <c r="CY8" s="56"/>
      <c r="CZ8" s="55">
        <v>0</v>
      </c>
      <c r="DA8" s="56"/>
      <c r="DB8" s="56"/>
      <c r="DC8" s="55">
        <v>0</v>
      </c>
      <c r="DD8" s="56"/>
      <c r="DE8" s="56" t="s">
        <v>299</v>
      </c>
      <c r="DF8" s="55">
        <v>1</v>
      </c>
      <c r="DG8" s="56" t="s">
        <v>399</v>
      </c>
      <c r="DH8" s="56"/>
      <c r="DI8" s="56" t="s">
        <v>303</v>
      </c>
      <c r="DJ8" s="56" t="s">
        <v>331</v>
      </c>
      <c r="DK8" s="55">
        <v>0</v>
      </c>
      <c r="DL8" s="56"/>
      <c r="DM8" s="56"/>
      <c r="DN8" s="56" t="s">
        <v>305</v>
      </c>
      <c r="DO8" s="98" t="s">
        <v>305</v>
      </c>
      <c r="DP8" s="97">
        <f t="shared" si="4"/>
        <v>1</v>
      </c>
      <c r="DQ8" s="56"/>
      <c r="DR8" s="55">
        <v>0</v>
      </c>
      <c r="DS8" s="56"/>
      <c r="DT8" s="56"/>
      <c r="DU8" s="55">
        <v>0</v>
      </c>
      <c r="DV8" s="56"/>
      <c r="DW8" s="56" t="s">
        <v>299</v>
      </c>
      <c r="DX8" s="55">
        <v>1</v>
      </c>
      <c r="DY8" s="56" t="s">
        <v>400</v>
      </c>
      <c r="DZ8" s="56"/>
      <c r="EA8" s="56" t="s">
        <v>294</v>
      </c>
      <c r="EB8" s="56" t="s">
        <v>331</v>
      </c>
      <c r="EC8" s="55">
        <v>0</v>
      </c>
      <c r="ED8" s="56"/>
      <c r="EE8" s="56"/>
      <c r="EF8" s="56" t="s">
        <v>288</v>
      </c>
      <c r="EG8" s="98" t="s">
        <v>298</v>
      </c>
      <c r="EH8" s="97" t="str">
        <f t="shared" si="5"/>
        <v/>
      </c>
      <c r="EI8" s="56" t="s">
        <v>302</v>
      </c>
      <c r="EJ8" s="55">
        <v>0</v>
      </c>
      <c r="EK8" s="56"/>
      <c r="EL8" s="56"/>
      <c r="EM8" s="56"/>
      <c r="EN8" s="56"/>
      <c r="EO8" s="56" t="s">
        <v>299</v>
      </c>
      <c r="EP8" s="55">
        <v>1</v>
      </c>
      <c r="EQ8" s="56" t="s">
        <v>401</v>
      </c>
      <c r="ER8" s="56" t="s">
        <v>294</v>
      </c>
      <c r="ES8" s="56" t="s">
        <v>331</v>
      </c>
      <c r="ET8" s="55">
        <v>0</v>
      </c>
      <c r="EU8" s="56"/>
      <c r="EV8" s="56"/>
      <c r="EW8" s="56" t="s">
        <v>288</v>
      </c>
      <c r="EX8" s="98" t="s">
        <v>305</v>
      </c>
      <c r="EY8" s="97" t="str">
        <f t="shared" si="6"/>
        <v/>
      </c>
      <c r="EZ8" s="55">
        <v>0</v>
      </c>
      <c r="FA8" s="56"/>
      <c r="FB8" s="56"/>
      <c r="FC8" s="56"/>
      <c r="FD8" s="55">
        <v>0</v>
      </c>
      <c r="FE8" s="56"/>
      <c r="FF8" s="56" t="s">
        <v>328</v>
      </c>
      <c r="FG8" s="55">
        <v>0</v>
      </c>
      <c r="FH8" s="56"/>
      <c r="FI8" s="56"/>
      <c r="FJ8" s="56"/>
      <c r="FK8" s="56"/>
      <c r="FL8" s="56"/>
      <c r="FM8" s="56"/>
      <c r="FN8" s="56"/>
      <c r="FO8" s="56"/>
      <c r="FP8" s="55">
        <v>0</v>
      </c>
      <c r="FQ8" s="56"/>
      <c r="FR8" s="56"/>
      <c r="FS8" s="56"/>
      <c r="FT8" s="50"/>
      <c r="FU8" s="56" t="s">
        <v>351</v>
      </c>
      <c r="FV8" s="56"/>
      <c r="FW8" s="56"/>
      <c r="FX8" s="55">
        <v>-1</v>
      </c>
      <c r="FY8" s="55">
        <v>-1</v>
      </c>
      <c r="FZ8" s="55">
        <v>-1</v>
      </c>
      <c r="GA8" s="55">
        <v>-1</v>
      </c>
      <c r="GB8" s="55">
        <v>-1</v>
      </c>
      <c r="GC8" s="55">
        <v>-1</v>
      </c>
      <c r="GD8" s="55">
        <v>-1</v>
      </c>
      <c r="GE8" s="55">
        <v>-1</v>
      </c>
      <c r="GF8" s="55">
        <v>-1</v>
      </c>
      <c r="GG8" s="55">
        <v>-1</v>
      </c>
      <c r="GH8" s="55">
        <v>-1</v>
      </c>
      <c r="GI8" s="55">
        <v>-1</v>
      </c>
      <c r="GJ8" s="55">
        <v>-1</v>
      </c>
      <c r="GK8" s="55">
        <v>-1</v>
      </c>
      <c r="GL8" s="55">
        <v>-1</v>
      </c>
      <c r="GM8" s="55">
        <v>-15</v>
      </c>
      <c r="GN8" s="57"/>
      <c r="GO8" s="57"/>
      <c r="GP8" s="56"/>
      <c r="GQ8" s="56" t="s">
        <v>320</v>
      </c>
      <c r="GR8" s="56" t="s">
        <v>277</v>
      </c>
      <c r="GS8" s="55">
        <v>15</v>
      </c>
      <c r="GT8" s="55">
        <v>15</v>
      </c>
      <c r="GU8" s="55">
        <v>59</v>
      </c>
      <c r="GV8" s="55">
        <v>39</v>
      </c>
      <c r="GW8" s="58"/>
    </row>
    <row r="9" spans="1:205" s="48" customFormat="1" x14ac:dyDescent="0.25">
      <c r="A9" s="55">
        <v>186</v>
      </c>
      <c r="B9" s="56" t="s">
        <v>347</v>
      </c>
      <c r="C9" s="56">
        <v>57.5</v>
      </c>
      <c r="D9" s="56" t="s">
        <v>353</v>
      </c>
      <c r="E9" s="56" t="s">
        <v>377</v>
      </c>
      <c r="F9" s="56" t="s">
        <v>281</v>
      </c>
      <c r="G9" s="56" t="s">
        <v>282</v>
      </c>
      <c r="H9" s="56" t="s">
        <v>281</v>
      </c>
      <c r="I9" s="56" t="s">
        <v>282</v>
      </c>
      <c r="J9" s="56" t="s">
        <v>282</v>
      </c>
      <c r="K9" s="56" t="s">
        <v>281</v>
      </c>
      <c r="L9" s="56" t="s">
        <v>282</v>
      </c>
      <c r="M9" s="56" t="s">
        <v>282</v>
      </c>
      <c r="N9" s="56" t="s">
        <v>282</v>
      </c>
      <c r="O9" s="55">
        <v>0</v>
      </c>
      <c r="P9" s="56"/>
      <c r="Q9" s="56"/>
      <c r="R9" s="56" t="s">
        <v>337</v>
      </c>
      <c r="S9" s="56"/>
      <c r="T9" s="50" t="s">
        <v>424</v>
      </c>
      <c r="U9" s="56"/>
      <c r="V9" s="56"/>
      <c r="W9" s="56"/>
      <c r="X9" s="56" t="s">
        <v>346</v>
      </c>
      <c r="Y9" s="55">
        <v>1</v>
      </c>
      <c r="Z9" s="56" t="s">
        <v>365</v>
      </c>
      <c r="AA9" s="56"/>
      <c r="AB9" s="56" t="s">
        <v>303</v>
      </c>
      <c r="AC9" s="56" t="s">
        <v>331</v>
      </c>
      <c r="AD9" s="55">
        <v>0</v>
      </c>
      <c r="AE9" s="56"/>
      <c r="AF9" s="56"/>
      <c r="AG9" s="56" t="s">
        <v>305</v>
      </c>
      <c r="AH9" s="98" t="s">
        <v>298</v>
      </c>
      <c r="AI9" s="97" t="str">
        <f t="shared" si="0"/>
        <v/>
      </c>
      <c r="AJ9" s="56" t="s">
        <v>331</v>
      </c>
      <c r="AK9" s="55">
        <v>1</v>
      </c>
      <c r="AL9" s="56" t="s">
        <v>302</v>
      </c>
      <c r="AM9" s="56"/>
      <c r="AN9" s="55">
        <v>1</v>
      </c>
      <c r="AO9" s="56" t="s">
        <v>496</v>
      </c>
      <c r="AP9" s="56"/>
      <c r="AQ9" s="56" t="s">
        <v>296</v>
      </c>
      <c r="AR9" s="55">
        <v>1</v>
      </c>
      <c r="AS9" s="56" t="s">
        <v>497</v>
      </c>
      <c r="AT9" s="56"/>
      <c r="AU9" s="56" t="s">
        <v>294</v>
      </c>
      <c r="AV9" s="56" t="s">
        <v>287</v>
      </c>
      <c r="AW9" s="55">
        <v>1</v>
      </c>
      <c r="AX9" s="56" t="s">
        <v>339</v>
      </c>
      <c r="AY9" s="56"/>
      <c r="AZ9" s="56" t="s">
        <v>288</v>
      </c>
      <c r="BA9" s="98" t="s">
        <v>840</v>
      </c>
      <c r="BB9" s="97">
        <v>1</v>
      </c>
      <c r="BC9" s="56" t="s">
        <v>287</v>
      </c>
      <c r="BD9" s="55">
        <v>1</v>
      </c>
      <c r="BE9" s="56" t="s">
        <v>339</v>
      </c>
      <c r="BF9" s="56"/>
      <c r="BG9" s="55">
        <v>1</v>
      </c>
      <c r="BH9" s="56" t="s">
        <v>498</v>
      </c>
      <c r="BI9" s="56" t="s">
        <v>296</v>
      </c>
      <c r="BJ9" s="56" t="s">
        <v>294</v>
      </c>
      <c r="BK9" s="56" t="s">
        <v>297</v>
      </c>
      <c r="BL9" s="55">
        <v>1</v>
      </c>
      <c r="BM9" s="56" t="s">
        <v>499</v>
      </c>
      <c r="BN9" s="56"/>
      <c r="BO9" s="56" t="s">
        <v>288</v>
      </c>
      <c r="BP9" s="56" t="s">
        <v>500</v>
      </c>
      <c r="BQ9" s="55">
        <v>1</v>
      </c>
      <c r="BR9" s="56" t="s">
        <v>297</v>
      </c>
      <c r="BS9" s="56"/>
      <c r="BT9" s="55">
        <v>0</v>
      </c>
      <c r="BU9" s="56"/>
      <c r="BV9" s="56" t="s">
        <v>296</v>
      </c>
      <c r="BW9" s="55">
        <v>0</v>
      </c>
      <c r="BX9" s="56"/>
      <c r="BY9" s="56" t="s">
        <v>301</v>
      </c>
      <c r="BZ9" s="56" t="s">
        <v>297</v>
      </c>
      <c r="CA9" s="55">
        <v>0</v>
      </c>
      <c r="CB9" s="56"/>
      <c r="CC9" s="56"/>
      <c r="CD9" s="56"/>
      <c r="CE9" s="97"/>
      <c r="CF9" s="97"/>
      <c r="CG9" s="56"/>
      <c r="CH9" s="55">
        <v>0</v>
      </c>
      <c r="CI9" s="56"/>
      <c r="CJ9" s="56"/>
      <c r="CK9" s="55">
        <v>0</v>
      </c>
      <c r="CL9" s="56"/>
      <c r="CM9" s="56"/>
      <c r="CN9" s="55">
        <v>1</v>
      </c>
      <c r="CO9" s="56" t="s">
        <v>501</v>
      </c>
      <c r="CP9" s="56"/>
      <c r="CQ9" s="56" t="s">
        <v>303</v>
      </c>
      <c r="CR9" s="56" t="s">
        <v>297</v>
      </c>
      <c r="CS9" s="55">
        <v>0</v>
      </c>
      <c r="CT9" s="56"/>
      <c r="CU9" s="56"/>
      <c r="CV9" s="56" t="s">
        <v>305</v>
      </c>
      <c r="CW9" s="98" t="s">
        <v>298</v>
      </c>
      <c r="CX9" s="97"/>
      <c r="CY9" s="56" t="s">
        <v>500</v>
      </c>
      <c r="CZ9" s="55">
        <v>0</v>
      </c>
      <c r="DA9" s="56"/>
      <c r="DB9" s="56"/>
      <c r="DC9" s="55">
        <v>0</v>
      </c>
      <c r="DD9" s="56"/>
      <c r="DE9" s="56" t="s">
        <v>296</v>
      </c>
      <c r="DF9" s="55">
        <v>1</v>
      </c>
      <c r="DG9" s="56" t="s">
        <v>502</v>
      </c>
      <c r="DH9" s="56"/>
      <c r="DI9" s="56" t="s">
        <v>303</v>
      </c>
      <c r="DJ9" s="56" t="s">
        <v>331</v>
      </c>
      <c r="DK9" s="55">
        <v>1</v>
      </c>
      <c r="DL9" s="56" t="s">
        <v>499</v>
      </c>
      <c r="DM9" s="56"/>
      <c r="DN9" s="56" t="s">
        <v>305</v>
      </c>
      <c r="DO9" s="98" t="s">
        <v>305</v>
      </c>
      <c r="DP9" s="97">
        <f t="shared" si="4"/>
        <v>1</v>
      </c>
      <c r="DQ9" s="56" t="s">
        <v>331</v>
      </c>
      <c r="DR9" s="55">
        <v>1</v>
      </c>
      <c r="DS9" s="56" t="s">
        <v>499</v>
      </c>
      <c r="DT9" s="56"/>
      <c r="DU9" s="55">
        <v>0</v>
      </c>
      <c r="DV9" s="56"/>
      <c r="DW9" s="56" t="s">
        <v>296</v>
      </c>
      <c r="DX9" s="55">
        <v>1</v>
      </c>
      <c r="DY9" s="56" t="s">
        <v>503</v>
      </c>
      <c r="DZ9" s="56"/>
      <c r="EA9" s="56" t="s">
        <v>303</v>
      </c>
      <c r="EB9" s="56" t="s">
        <v>331</v>
      </c>
      <c r="EC9" s="55">
        <v>0</v>
      </c>
      <c r="ED9" s="56"/>
      <c r="EE9" s="56"/>
      <c r="EF9" s="56" t="s">
        <v>298</v>
      </c>
      <c r="EG9" s="98" t="s">
        <v>298</v>
      </c>
      <c r="EH9" s="97">
        <f t="shared" si="5"/>
        <v>1</v>
      </c>
      <c r="EI9" s="56" t="s">
        <v>331</v>
      </c>
      <c r="EJ9" s="55">
        <v>0</v>
      </c>
      <c r="EK9" s="56"/>
      <c r="EL9" s="56"/>
      <c r="EM9" s="56" t="s">
        <v>504</v>
      </c>
      <c r="EN9" s="56"/>
      <c r="EO9" s="56" t="s">
        <v>328</v>
      </c>
      <c r="EP9" s="55">
        <v>1</v>
      </c>
      <c r="EQ9" s="56" t="s">
        <v>374</v>
      </c>
      <c r="ER9" s="56" t="s">
        <v>303</v>
      </c>
      <c r="ES9" s="56" t="s">
        <v>331</v>
      </c>
      <c r="ET9" s="55">
        <v>0</v>
      </c>
      <c r="EU9" s="56"/>
      <c r="EV9" s="56"/>
      <c r="EW9" s="56" t="s">
        <v>305</v>
      </c>
      <c r="EX9" s="98" t="s">
        <v>298</v>
      </c>
      <c r="EY9" s="97" t="str">
        <f t="shared" si="6"/>
        <v/>
      </c>
      <c r="EZ9" s="55">
        <v>0</v>
      </c>
      <c r="FA9" s="56"/>
      <c r="FB9" s="56"/>
      <c r="FC9" s="56"/>
      <c r="FD9" s="55">
        <v>0</v>
      </c>
      <c r="FE9" s="56"/>
      <c r="FF9" s="56" t="s">
        <v>328</v>
      </c>
      <c r="FG9" s="55">
        <v>1</v>
      </c>
      <c r="FH9" s="56" t="s">
        <v>505</v>
      </c>
      <c r="FI9" s="56"/>
      <c r="FJ9" s="56"/>
      <c r="FK9" s="56"/>
      <c r="FL9" s="56"/>
      <c r="FM9" s="56"/>
      <c r="FN9" s="56"/>
      <c r="FO9" s="56"/>
      <c r="FP9" s="55">
        <v>0</v>
      </c>
      <c r="FQ9" s="56"/>
      <c r="FR9" s="56"/>
      <c r="FS9" s="56"/>
      <c r="FT9" s="50"/>
      <c r="FU9" s="56" t="s">
        <v>351</v>
      </c>
      <c r="FV9" s="56" t="s">
        <v>506</v>
      </c>
      <c r="FW9" s="56"/>
      <c r="FX9" s="55">
        <v>-1</v>
      </c>
      <c r="FY9" s="55">
        <v>-1</v>
      </c>
      <c r="FZ9" s="55">
        <v>-1</v>
      </c>
      <c r="GA9" s="55">
        <v>-1</v>
      </c>
      <c r="GB9" s="55">
        <v>-1</v>
      </c>
      <c r="GC9" s="55">
        <v>-1</v>
      </c>
      <c r="GD9" s="55">
        <v>-1</v>
      </c>
      <c r="GE9" s="55">
        <v>-1</v>
      </c>
      <c r="GF9" s="55">
        <v>-1</v>
      </c>
      <c r="GG9" s="55">
        <v>-1</v>
      </c>
      <c r="GH9" s="55">
        <v>-1</v>
      </c>
      <c r="GI9" s="55">
        <v>-1</v>
      </c>
      <c r="GJ9" s="55">
        <v>-1</v>
      </c>
      <c r="GK9" s="55">
        <v>-1</v>
      </c>
      <c r="GL9" s="55">
        <v>-1</v>
      </c>
      <c r="GM9" s="55">
        <v>-15</v>
      </c>
      <c r="GN9" s="57"/>
      <c r="GO9" s="57"/>
      <c r="GP9" s="56" t="s">
        <v>319</v>
      </c>
      <c r="GQ9" s="56" t="s">
        <v>320</v>
      </c>
      <c r="GR9" s="56" t="s">
        <v>277</v>
      </c>
      <c r="GS9" s="55">
        <v>15</v>
      </c>
      <c r="GT9" s="55">
        <v>15</v>
      </c>
      <c r="GU9" s="55">
        <v>31</v>
      </c>
      <c r="GV9" s="55">
        <v>12</v>
      </c>
      <c r="GW9" s="58"/>
    </row>
    <row r="10" spans="1:205" s="49" customFormat="1" x14ac:dyDescent="0.25">
      <c r="A10" s="1">
        <v>193</v>
      </c>
      <c r="B10" s="19" t="s">
        <v>347</v>
      </c>
      <c r="C10" s="19">
        <v>57.5</v>
      </c>
      <c r="D10" s="2" t="s">
        <v>353</v>
      </c>
      <c r="E10" s="2" t="s">
        <v>320</v>
      </c>
      <c r="F10" s="2" t="s">
        <v>282</v>
      </c>
      <c r="G10" s="2" t="s">
        <v>282</v>
      </c>
      <c r="H10" s="2" t="s">
        <v>282</v>
      </c>
      <c r="I10" s="2" t="s">
        <v>282</v>
      </c>
      <c r="J10" s="2" t="s">
        <v>282</v>
      </c>
      <c r="K10" s="2" t="s">
        <v>281</v>
      </c>
      <c r="L10" s="2" t="s">
        <v>282</v>
      </c>
      <c r="M10" s="2" t="s">
        <v>282</v>
      </c>
      <c r="N10" s="2" t="s">
        <v>282</v>
      </c>
      <c r="O10" s="1">
        <v>0</v>
      </c>
      <c r="P10" s="2"/>
      <c r="Q10" s="2"/>
      <c r="R10" s="2" t="s">
        <v>337</v>
      </c>
      <c r="S10" s="2"/>
      <c r="T10" s="2" t="s">
        <v>378</v>
      </c>
      <c r="U10" s="2"/>
      <c r="V10" s="2"/>
      <c r="W10" s="2"/>
      <c r="X10" s="2" t="s">
        <v>346</v>
      </c>
      <c r="Y10" s="1">
        <v>0</v>
      </c>
      <c r="Z10" s="2"/>
      <c r="AA10" s="2"/>
      <c r="AB10" s="2" t="s">
        <v>303</v>
      </c>
      <c r="AC10" s="2" t="s">
        <v>331</v>
      </c>
      <c r="AD10" s="1">
        <v>0</v>
      </c>
      <c r="AE10" s="2"/>
      <c r="AF10" s="2"/>
      <c r="AG10" s="2" t="s">
        <v>298</v>
      </c>
      <c r="AH10" s="98" t="s">
        <v>298</v>
      </c>
      <c r="AI10" s="97">
        <f t="shared" si="0"/>
        <v>1</v>
      </c>
      <c r="AJ10" s="2" t="s">
        <v>331</v>
      </c>
      <c r="AK10" s="1">
        <v>0</v>
      </c>
      <c r="AL10" s="2"/>
      <c r="AM10" s="2"/>
      <c r="AN10" s="1">
        <v>0</v>
      </c>
      <c r="AO10" s="2"/>
      <c r="AP10" s="2"/>
      <c r="AQ10" s="2" t="s">
        <v>366</v>
      </c>
      <c r="AR10" s="1">
        <v>0</v>
      </c>
      <c r="AS10" s="2"/>
      <c r="AT10" s="2"/>
      <c r="AU10" s="2" t="s">
        <v>301</v>
      </c>
      <c r="AV10" s="2" t="s">
        <v>287</v>
      </c>
      <c r="AW10" s="1">
        <v>0</v>
      </c>
      <c r="AX10" s="2"/>
      <c r="AY10" s="2"/>
      <c r="AZ10" s="2"/>
      <c r="BA10" s="98"/>
      <c r="BB10" s="97"/>
      <c r="BC10" s="2"/>
      <c r="BD10" s="1">
        <v>0</v>
      </c>
      <c r="BE10" s="2"/>
      <c r="BF10" s="2"/>
      <c r="BG10" s="1">
        <v>0</v>
      </c>
      <c r="BH10" s="2"/>
      <c r="BI10" s="2"/>
      <c r="BJ10" s="2" t="s">
        <v>310</v>
      </c>
      <c r="BK10" s="2" t="s">
        <v>339</v>
      </c>
      <c r="BL10" s="1">
        <v>1</v>
      </c>
      <c r="BM10" s="2"/>
      <c r="BN10" s="2" t="s">
        <v>297</v>
      </c>
      <c r="BO10" s="2" t="s">
        <v>324</v>
      </c>
      <c r="BP10" s="2" t="s">
        <v>339</v>
      </c>
      <c r="BQ10" s="1">
        <v>0</v>
      </c>
      <c r="BR10" s="2"/>
      <c r="BS10" s="2"/>
      <c r="BT10" s="1">
        <v>0</v>
      </c>
      <c r="BU10" s="2"/>
      <c r="BV10" s="2" t="s">
        <v>296</v>
      </c>
      <c r="BW10" s="1">
        <v>1</v>
      </c>
      <c r="BX10" s="2" t="s">
        <v>548</v>
      </c>
      <c r="BY10" s="2" t="s">
        <v>286</v>
      </c>
      <c r="BZ10" s="2" t="s">
        <v>297</v>
      </c>
      <c r="CA10" s="1">
        <v>0</v>
      </c>
      <c r="CB10" s="2"/>
      <c r="CC10" s="2"/>
      <c r="CD10" s="2" t="s">
        <v>288</v>
      </c>
      <c r="CE10" s="97" t="s">
        <v>288</v>
      </c>
      <c r="CF10" s="97">
        <f t="shared" si="2"/>
        <v>1</v>
      </c>
      <c r="CG10" s="2" t="s">
        <v>287</v>
      </c>
      <c r="CH10" s="1">
        <v>0</v>
      </c>
      <c r="CI10" s="2"/>
      <c r="CJ10" s="2"/>
      <c r="CK10" s="1">
        <v>1</v>
      </c>
      <c r="CL10" s="2" t="s">
        <v>549</v>
      </c>
      <c r="CM10" s="2" t="s">
        <v>328</v>
      </c>
      <c r="CN10" s="1">
        <v>0</v>
      </c>
      <c r="CO10" s="2"/>
      <c r="CP10" s="2"/>
      <c r="CQ10" s="2" t="s">
        <v>294</v>
      </c>
      <c r="CR10" s="2" t="s">
        <v>297</v>
      </c>
      <c r="CS10" s="1">
        <v>0</v>
      </c>
      <c r="CT10" s="2"/>
      <c r="CU10" s="2"/>
      <c r="CV10" s="2" t="s">
        <v>288</v>
      </c>
      <c r="CW10" s="98"/>
      <c r="CX10" s="97" t="str">
        <f t="shared" si="3"/>
        <v/>
      </c>
      <c r="CY10" s="2" t="s">
        <v>297</v>
      </c>
      <c r="CZ10" s="1">
        <v>0</v>
      </c>
      <c r="DA10" s="2"/>
      <c r="DB10" s="2"/>
      <c r="DC10" s="1">
        <v>0</v>
      </c>
      <c r="DD10" s="2"/>
      <c r="DE10" s="2" t="s">
        <v>299</v>
      </c>
      <c r="DF10" s="1">
        <v>0</v>
      </c>
      <c r="DG10" s="2"/>
      <c r="DH10" s="2"/>
      <c r="DI10" s="2" t="s">
        <v>301</v>
      </c>
      <c r="DJ10" s="2" t="s">
        <v>339</v>
      </c>
      <c r="DK10" s="1">
        <v>1</v>
      </c>
      <c r="DL10" s="2" t="s">
        <v>297</v>
      </c>
      <c r="DM10" s="2"/>
      <c r="DN10" s="2" t="s">
        <v>324</v>
      </c>
      <c r="DO10" s="98"/>
      <c r="DP10" s="97" t="str">
        <f t="shared" si="4"/>
        <v/>
      </c>
      <c r="DQ10" s="2" t="s">
        <v>339</v>
      </c>
      <c r="DR10" s="1">
        <v>0</v>
      </c>
      <c r="DS10" s="2"/>
      <c r="DT10" s="2"/>
      <c r="DU10" s="1">
        <v>0</v>
      </c>
      <c r="DV10" s="2"/>
      <c r="DW10" s="2" t="s">
        <v>328</v>
      </c>
      <c r="DX10" s="1">
        <v>1</v>
      </c>
      <c r="DY10" s="2" t="s">
        <v>550</v>
      </c>
      <c r="DZ10" s="2"/>
      <c r="EA10" s="2" t="s">
        <v>303</v>
      </c>
      <c r="EB10" s="2" t="s">
        <v>331</v>
      </c>
      <c r="EC10" s="1">
        <v>1</v>
      </c>
      <c r="ED10" s="2" t="s">
        <v>297</v>
      </c>
      <c r="EE10" s="2"/>
      <c r="EF10" s="2" t="s">
        <v>298</v>
      </c>
      <c r="EG10" s="98" t="s">
        <v>305</v>
      </c>
      <c r="EH10" s="97" t="str">
        <f t="shared" si="5"/>
        <v/>
      </c>
      <c r="EI10" s="2" t="s">
        <v>331</v>
      </c>
      <c r="EJ10" s="1">
        <v>0</v>
      </c>
      <c r="EK10" s="2"/>
      <c r="EL10" s="2"/>
      <c r="EM10" s="2"/>
      <c r="EN10" s="2"/>
      <c r="EO10" s="2" t="s">
        <v>328</v>
      </c>
      <c r="EP10" s="1">
        <v>0</v>
      </c>
      <c r="EQ10" s="2"/>
      <c r="ER10" s="2" t="s">
        <v>303</v>
      </c>
      <c r="ES10" s="2" t="s">
        <v>331</v>
      </c>
      <c r="ET10" s="1">
        <v>0</v>
      </c>
      <c r="EU10" s="2"/>
      <c r="EV10" s="2"/>
      <c r="EW10" s="2" t="s">
        <v>298</v>
      </c>
      <c r="EX10" s="98" t="s">
        <v>298</v>
      </c>
      <c r="EY10" s="97">
        <f t="shared" si="6"/>
        <v>1</v>
      </c>
      <c r="EZ10" s="1">
        <v>0</v>
      </c>
      <c r="FA10" s="2"/>
      <c r="FB10" s="2"/>
      <c r="FC10" s="2" t="s">
        <v>551</v>
      </c>
      <c r="FD10" s="1">
        <v>0</v>
      </c>
      <c r="FE10" s="2"/>
      <c r="FF10" s="2" t="s">
        <v>296</v>
      </c>
      <c r="FG10" s="1">
        <v>1</v>
      </c>
      <c r="FH10" s="2" t="s">
        <v>552</v>
      </c>
      <c r="FI10" s="2"/>
      <c r="FJ10" s="2"/>
      <c r="FK10" s="2"/>
      <c r="FL10" s="2"/>
      <c r="FM10" s="2"/>
      <c r="FN10" s="2"/>
      <c r="FO10" s="2"/>
      <c r="FP10" s="1">
        <v>0</v>
      </c>
      <c r="FQ10" s="2"/>
      <c r="FR10" s="2"/>
      <c r="FS10" s="2"/>
      <c r="FT10"/>
      <c r="FU10" s="2" t="s">
        <v>317</v>
      </c>
      <c r="FV10" s="2" t="s">
        <v>553</v>
      </c>
      <c r="FW10" s="2"/>
      <c r="FX10" s="1">
        <v>-1</v>
      </c>
      <c r="FY10" s="1">
        <v>-1</v>
      </c>
      <c r="FZ10" s="1">
        <v>-1</v>
      </c>
      <c r="GA10" s="1">
        <v>-1</v>
      </c>
      <c r="GB10" s="1">
        <v>-1</v>
      </c>
      <c r="GC10" s="1">
        <v>-1</v>
      </c>
      <c r="GD10" s="1">
        <v>-1</v>
      </c>
      <c r="GE10" s="1">
        <v>-1</v>
      </c>
      <c r="GF10" s="1">
        <v>-1</v>
      </c>
      <c r="GG10" s="1">
        <v>-1</v>
      </c>
      <c r="GH10" s="1">
        <v>-1</v>
      </c>
      <c r="GI10" s="1">
        <v>-1</v>
      </c>
      <c r="GJ10" s="1">
        <v>-1</v>
      </c>
      <c r="GK10" s="1">
        <v>-1</v>
      </c>
      <c r="GL10" s="1">
        <v>-1</v>
      </c>
      <c r="GM10" s="1">
        <v>-15</v>
      </c>
      <c r="GN10" s="3"/>
      <c r="GO10" s="3"/>
      <c r="GP10" s="2" t="s">
        <v>319</v>
      </c>
      <c r="GQ10" s="2" t="s">
        <v>320</v>
      </c>
      <c r="GR10" s="2" t="s">
        <v>277</v>
      </c>
      <c r="GS10" s="1">
        <v>15</v>
      </c>
      <c r="GT10" s="1">
        <v>15</v>
      </c>
      <c r="GU10" s="1">
        <v>44</v>
      </c>
      <c r="GV10" s="1">
        <v>19</v>
      </c>
      <c r="GW10" s="4"/>
    </row>
    <row r="11" spans="1:205" s="17" customFormat="1" ht="13.8" thickBot="1" x14ac:dyDescent="0.3">
      <c r="A11" s="13">
        <v>195</v>
      </c>
      <c r="B11" s="21" t="s">
        <v>347</v>
      </c>
      <c r="C11" s="21">
        <v>57.5</v>
      </c>
      <c r="D11" s="14" t="s">
        <v>279</v>
      </c>
      <c r="E11" s="14" t="s">
        <v>280</v>
      </c>
      <c r="F11" s="14" t="s">
        <v>281</v>
      </c>
      <c r="G11" s="14" t="s">
        <v>281</v>
      </c>
      <c r="H11" s="14" t="s">
        <v>282</v>
      </c>
      <c r="I11" s="14" t="s">
        <v>282</v>
      </c>
      <c r="J11" s="14" t="s">
        <v>281</v>
      </c>
      <c r="K11" s="14" t="s">
        <v>281</v>
      </c>
      <c r="L11" s="14" t="s">
        <v>282</v>
      </c>
      <c r="M11" s="14" t="s">
        <v>282</v>
      </c>
      <c r="N11" s="14" t="s">
        <v>282</v>
      </c>
      <c r="O11" s="13">
        <v>0</v>
      </c>
      <c r="P11" s="14"/>
      <c r="Q11" s="14"/>
      <c r="R11" s="14" t="s">
        <v>337</v>
      </c>
      <c r="S11" s="14"/>
      <c r="T11" s="14" t="s">
        <v>757</v>
      </c>
      <c r="U11" s="14"/>
      <c r="V11" s="14"/>
      <c r="W11" s="14"/>
      <c r="X11" s="14" t="s">
        <v>346</v>
      </c>
      <c r="Y11" s="13">
        <v>0</v>
      </c>
      <c r="Z11" s="14"/>
      <c r="AA11" s="14"/>
      <c r="AB11" s="14" t="s">
        <v>301</v>
      </c>
      <c r="AC11" s="14" t="s">
        <v>331</v>
      </c>
      <c r="AD11" s="13">
        <v>0</v>
      </c>
      <c r="AE11" s="14"/>
      <c r="AF11" s="14"/>
      <c r="AG11" s="14" t="s">
        <v>288</v>
      </c>
      <c r="AH11" s="98" t="s">
        <v>305</v>
      </c>
      <c r="AI11" s="97" t="str">
        <f t="shared" si="0"/>
        <v/>
      </c>
      <c r="AJ11" s="14" t="s">
        <v>331</v>
      </c>
      <c r="AK11" s="13">
        <v>0</v>
      </c>
      <c r="AL11" s="14"/>
      <c r="AM11" s="14"/>
      <c r="AN11" s="13">
        <v>1</v>
      </c>
      <c r="AO11" s="14" t="s">
        <v>554</v>
      </c>
      <c r="AP11" s="14"/>
      <c r="AQ11" s="14" t="s">
        <v>366</v>
      </c>
      <c r="AR11" s="13">
        <v>1</v>
      </c>
      <c r="AS11" s="14" t="s">
        <v>341</v>
      </c>
      <c r="AT11" s="14"/>
      <c r="AU11" s="14" t="s">
        <v>301</v>
      </c>
      <c r="AV11" s="14" t="s">
        <v>297</v>
      </c>
      <c r="AW11" s="13">
        <v>0</v>
      </c>
      <c r="AX11" s="14"/>
      <c r="AY11" s="14"/>
      <c r="AZ11" s="14" t="s">
        <v>288</v>
      </c>
      <c r="BA11" s="98" t="s">
        <v>840</v>
      </c>
      <c r="BB11" s="97">
        <v>1</v>
      </c>
      <c r="BC11" s="14" t="s">
        <v>287</v>
      </c>
      <c r="BD11" s="13">
        <v>0</v>
      </c>
      <c r="BE11" s="14"/>
      <c r="BF11" s="14"/>
      <c r="BG11" s="13">
        <v>0</v>
      </c>
      <c r="BH11" s="14"/>
      <c r="BI11" s="14" t="s">
        <v>328</v>
      </c>
      <c r="BJ11" s="14" t="s">
        <v>301</v>
      </c>
      <c r="BK11" s="14" t="s">
        <v>297</v>
      </c>
      <c r="BL11" s="13">
        <v>1</v>
      </c>
      <c r="BM11" s="14" t="s">
        <v>531</v>
      </c>
      <c r="BN11" s="14"/>
      <c r="BO11" s="14" t="s">
        <v>324</v>
      </c>
      <c r="BP11" s="14" t="s">
        <v>339</v>
      </c>
      <c r="BQ11" s="13">
        <v>0</v>
      </c>
      <c r="BR11" s="14"/>
      <c r="BS11" s="14"/>
      <c r="BT11" s="13">
        <v>1</v>
      </c>
      <c r="BU11" s="14" t="s">
        <v>555</v>
      </c>
      <c r="BV11" s="14" t="s">
        <v>299</v>
      </c>
      <c r="BW11" s="13">
        <v>1</v>
      </c>
      <c r="BX11" s="14" t="s">
        <v>556</v>
      </c>
      <c r="BY11" s="14" t="s">
        <v>294</v>
      </c>
      <c r="BZ11" s="14" t="s">
        <v>297</v>
      </c>
      <c r="CA11" s="13">
        <v>0</v>
      </c>
      <c r="CB11" s="14"/>
      <c r="CC11" s="14"/>
      <c r="CD11" s="14" t="s">
        <v>288</v>
      </c>
      <c r="CE11" s="97"/>
      <c r="CF11" s="97" t="str">
        <f t="shared" si="2"/>
        <v/>
      </c>
      <c r="CG11" s="14" t="s">
        <v>521</v>
      </c>
      <c r="CH11" s="13">
        <v>0</v>
      </c>
      <c r="CI11" s="14"/>
      <c r="CJ11" s="14"/>
      <c r="CK11" s="13">
        <v>0</v>
      </c>
      <c r="CL11" s="14"/>
      <c r="CM11" s="14" t="s">
        <v>299</v>
      </c>
      <c r="CN11" s="13">
        <v>1</v>
      </c>
      <c r="CO11" s="14" t="s">
        <v>557</v>
      </c>
      <c r="CP11" s="14"/>
      <c r="CQ11" s="14" t="s">
        <v>303</v>
      </c>
      <c r="CR11" s="14" t="s">
        <v>297</v>
      </c>
      <c r="CS11" s="13">
        <v>0</v>
      </c>
      <c r="CT11" s="14"/>
      <c r="CU11" s="14"/>
      <c r="CV11" s="14" t="s">
        <v>298</v>
      </c>
      <c r="CW11" s="98" t="s">
        <v>298</v>
      </c>
      <c r="CX11" s="97">
        <f t="shared" si="3"/>
        <v>1</v>
      </c>
      <c r="CY11" s="14" t="s">
        <v>302</v>
      </c>
      <c r="CZ11" s="13">
        <v>0</v>
      </c>
      <c r="DA11" s="14"/>
      <c r="DB11" s="14"/>
      <c r="DC11" s="13">
        <v>0</v>
      </c>
      <c r="DD11" s="14"/>
      <c r="DE11" s="14" t="s">
        <v>328</v>
      </c>
      <c r="DF11" s="13">
        <v>2</v>
      </c>
      <c r="DG11" s="14" t="s">
        <v>329</v>
      </c>
      <c r="DH11" s="14" t="s">
        <v>558</v>
      </c>
      <c r="DI11" s="14" t="s">
        <v>303</v>
      </c>
      <c r="DJ11" s="14" t="s">
        <v>302</v>
      </c>
      <c r="DK11" s="13">
        <v>0</v>
      </c>
      <c r="DL11" s="14"/>
      <c r="DM11" s="14"/>
      <c r="DN11" s="14" t="s">
        <v>305</v>
      </c>
      <c r="DO11" s="98" t="s">
        <v>305</v>
      </c>
      <c r="DP11" s="97">
        <f t="shared" si="4"/>
        <v>1</v>
      </c>
      <c r="DQ11" s="14" t="s">
        <v>331</v>
      </c>
      <c r="DR11" s="13">
        <v>0</v>
      </c>
      <c r="DS11" s="14"/>
      <c r="DT11" s="14"/>
      <c r="DU11" s="13">
        <v>0</v>
      </c>
      <c r="DV11" s="14"/>
      <c r="DW11" s="14" t="s">
        <v>292</v>
      </c>
      <c r="DX11" s="13">
        <v>1</v>
      </c>
      <c r="DY11" s="14" t="s">
        <v>559</v>
      </c>
      <c r="DZ11" s="14"/>
      <c r="EA11" s="14" t="s">
        <v>303</v>
      </c>
      <c r="EB11" s="14" t="s">
        <v>331</v>
      </c>
      <c r="EC11" s="13">
        <v>0</v>
      </c>
      <c r="ED11" s="14"/>
      <c r="EE11" s="14"/>
      <c r="EF11" s="14" t="s">
        <v>298</v>
      </c>
      <c r="EG11" s="98" t="s">
        <v>288</v>
      </c>
      <c r="EH11" s="97" t="str">
        <f t="shared" si="5"/>
        <v/>
      </c>
      <c r="EI11" s="14"/>
      <c r="EJ11" s="13">
        <v>0</v>
      </c>
      <c r="EK11" s="14"/>
      <c r="EL11" s="14"/>
      <c r="EM11" s="14"/>
      <c r="EN11" s="14"/>
      <c r="EO11" s="14" t="s">
        <v>328</v>
      </c>
      <c r="EP11" s="13">
        <v>1</v>
      </c>
      <c r="EQ11" s="14" t="s">
        <v>560</v>
      </c>
      <c r="ER11" s="14" t="s">
        <v>303</v>
      </c>
      <c r="ES11" s="14" t="s">
        <v>331</v>
      </c>
      <c r="ET11" s="13">
        <v>0</v>
      </c>
      <c r="EU11" s="14"/>
      <c r="EV11" s="14"/>
      <c r="EW11" s="14" t="s">
        <v>305</v>
      </c>
      <c r="EX11" s="98" t="s">
        <v>305</v>
      </c>
      <c r="EY11" s="97">
        <f t="shared" si="6"/>
        <v>1</v>
      </c>
      <c r="EZ11" s="13">
        <v>0</v>
      </c>
      <c r="FA11" s="14"/>
      <c r="FB11" s="14"/>
      <c r="FC11" s="14" t="s">
        <v>561</v>
      </c>
      <c r="FD11" s="13">
        <v>0</v>
      </c>
      <c r="FE11" s="14"/>
      <c r="FF11" s="14" t="s">
        <v>299</v>
      </c>
      <c r="FG11" s="13">
        <v>0</v>
      </c>
      <c r="FH11" s="14"/>
      <c r="FI11" s="14"/>
      <c r="FJ11" s="14"/>
      <c r="FK11" s="14"/>
      <c r="FL11" s="14"/>
      <c r="FM11" s="14"/>
      <c r="FN11" s="14"/>
      <c r="FO11" s="14"/>
      <c r="FP11" s="13">
        <v>1</v>
      </c>
      <c r="FQ11" s="14" t="s">
        <v>562</v>
      </c>
      <c r="FR11" s="14"/>
      <c r="FS11" s="14"/>
      <c r="FU11" s="14" t="s">
        <v>335</v>
      </c>
      <c r="FV11" s="14" t="s">
        <v>563</v>
      </c>
      <c r="FW11" s="14" t="s">
        <v>564</v>
      </c>
      <c r="FX11" s="13">
        <v>-1</v>
      </c>
      <c r="FY11" s="13">
        <v>-1</v>
      </c>
      <c r="FZ11" s="13">
        <v>-1</v>
      </c>
      <c r="GA11" s="13">
        <v>-1</v>
      </c>
      <c r="GB11" s="13">
        <v>-1</v>
      </c>
      <c r="GC11" s="13">
        <v>-1</v>
      </c>
      <c r="GD11" s="13">
        <v>-1</v>
      </c>
      <c r="GE11" s="13">
        <v>-1</v>
      </c>
      <c r="GF11" s="13">
        <v>-1</v>
      </c>
      <c r="GG11" s="13">
        <v>-1</v>
      </c>
      <c r="GH11" s="13">
        <v>-1</v>
      </c>
      <c r="GI11" s="13">
        <v>-1</v>
      </c>
      <c r="GJ11" s="13">
        <v>-1</v>
      </c>
      <c r="GK11" s="13">
        <v>-1</v>
      </c>
      <c r="GL11" s="13">
        <v>-1</v>
      </c>
      <c r="GM11" s="13">
        <v>-15</v>
      </c>
      <c r="GN11" s="15"/>
      <c r="GO11" s="15"/>
      <c r="GP11" s="14" t="s">
        <v>319</v>
      </c>
      <c r="GQ11" s="14" t="s">
        <v>320</v>
      </c>
      <c r="GR11" s="14" t="s">
        <v>277</v>
      </c>
      <c r="GS11" s="13">
        <v>15</v>
      </c>
      <c r="GT11" s="13">
        <v>15</v>
      </c>
      <c r="GU11" s="13">
        <v>34</v>
      </c>
      <c r="GV11" s="13">
        <v>10</v>
      </c>
      <c r="GW11" s="16"/>
    </row>
    <row r="12" spans="1:205" s="50" customFormat="1" x14ac:dyDescent="0.25">
      <c r="A12" s="1">
        <v>134</v>
      </c>
      <c r="B12" s="18" t="s">
        <v>376</v>
      </c>
      <c r="C12" s="18">
        <v>72.5</v>
      </c>
      <c r="D12" s="2" t="s">
        <v>279</v>
      </c>
      <c r="E12" s="2" t="s">
        <v>377</v>
      </c>
      <c r="F12" s="2" t="s">
        <v>281</v>
      </c>
      <c r="G12" s="2" t="s">
        <v>282</v>
      </c>
      <c r="H12" s="2" t="s">
        <v>281</v>
      </c>
      <c r="I12" s="2" t="s">
        <v>282</v>
      </c>
      <c r="J12" s="2" t="s">
        <v>282</v>
      </c>
      <c r="K12" s="2" t="s">
        <v>281</v>
      </c>
      <c r="L12" s="2" t="s">
        <v>282</v>
      </c>
      <c r="M12" s="2" t="s">
        <v>282</v>
      </c>
      <c r="N12" s="2" t="s">
        <v>282</v>
      </c>
      <c r="O12" s="1">
        <v>0</v>
      </c>
      <c r="P12" s="2"/>
      <c r="Q12" s="2"/>
      <c r="R12" s="2" t="s">
        <v>337</v>
      </c>
      <c r="S12" s="2"/>
      <c r="T12" s="2" t="s">
        <v>338</v>
      </c>
      <c r="U12" s="2"/>
      <c r="V12" s="2" t="s">
        <v>348</v>
      </c>
      <c r="W12" s="2"/>
      <c r="X12" s="2" t="s">
        <v>350</v>
      </c>
      <c r="Y12" s="1">
        <v>0</v>
      </c>
      <c r="Z12" s="2"/>
      <c r="AA12" s="2"/>
      <c r="AB12" s="2" t="s">
        <v>303</v>
      </c>
      <c r="AC12" s="2" t="s">
        <v>331</v>
      </c>
      <c r="AD12" s="1">
        <v>0</v>
      </c>
      <c r="AE12" s="2"/>
      <c r="AF12" s="2"/>
      <c r="AG12" s="2" t="s">
        <v>298</v>
      </c>
      <c r="AH12" s="98" t="s">
        <v>298</v>
      </c>
      <c r="AI12" s="97">
        <f t="shared" si="0"/>
        <v>1</v>
      </c>
      <c r="AJ12" s="2" t="s">
        <v>331</v>
      </c>
      <c r="AK12" s="1">
        <v>0</v>
      </c>
      <c r="AL12" s="2"/>
      <c r="AM12" s="2"/>
      <c r="AN12" s="1">
        <v>0</v>
      </c>
      <c r="AO12" s="2"/>
      <c r="AP12" s="2"/>
      <c r="AQ12" s="2" t="s">
        <v>296</v>
      </c>
      <c r="AR12" s="1">
        <v>0</v>
      </c>
      <c r="AS12" s="2"/>
      <c r="AT12" s="2"/>
      <c r="AU12" s="2" t="s">
        <v>294</v>
      </c>
      <c r="AV12" s="2" t="s">
        <v>331</v>
      </c>
      <c r="AW12" s="1">
        <v>0</v>
      </c>
      <c r="AX12" s="2"/>
      <c r="AY12" s="2"/>
      <c r="AZ12" s="2" t="s">
        <v>298</v>
      </c>
      <c r="BA12" s="98"/>
      <c r="BB12" s="97" t="str">
        <f t="shared" si="1"/>
        <v/>
      </c>
      <c r="BC12" s="2" t="s">
        <v>331</v>
      </c>
      <c r="BD12" s="1">
        <v>0</v>
      </c>
      <c r="BE12" s="2"/>
      <c r="BF12" s="2"/>
      <c r="BG12" s="1">
        <v>0</v>
      </c>
      <c r="BH12" s="2"/>
      <c r="BI12" s="2" t="s">
        <v>299</v>
      </c>
      <c r="BJ12" s="2"/>
      <c r="BK12" s="2"/>
      <c r="BL12" s="1">
        <v>0</v>
      </c>
      <c r="BM12" s="2"/>
      <c r="BN12" s="2"/>
      <c r="BO12" s="2"/>
      <c r="BP12" s="2"/>
      <c r="BQ12" s="1">
        <v>0</v>
      </c>
      <c r="BR12" s="2"/>
      <c r="BS12" s="2"/>
      <c r="BT12" s="1">
        <v>0</v>
      </c>
      <c r="BU12" s="2"/>
      <c r="BV12" s="2"/>
      <c r="BW12" s="1">
        <v>0</v>
      </c>
      <c r="BX12" s="2"/>
      <c r="BY12" s="2" t="s">
        <v>294</v>
      </c>
      <c r="BZ12" s="2" t="s">
        <v>302</v>
      </c>
      <c r="CA12" s="1">
        <v>0</v>
      </c>
      <c r="CB12" s="2"/>
      <c r="CC12" s="2"/>
      <c r="CD12" s="2" t="s">
        <v>298</v>
      </c>
      <c r="CE12" s="97"/>
      <c r="CF12" s="97" t="str">
        <f t="shared" si="2"/>
        <v/>
      </c>
      <c r="CG12" s="2" t="s">
        <v>302</v>
      </c>
      <c r="CH12" s="1">
        <v>0</v>
      </c>
      <c r="CI12" s="2"/>
      <c r="CJ12" s="2"/>
      <c r="CK12" s="1">
        <v>0</v>
      </c>
      <c r="CL12" s="2"/>
      <c r="CM12" s="2" t="s">
        <v>299</v>
      </c>
      <c r="CN12" s="1">
        <v>0</v>
      </c>
      <c r="CO12" s="2"/>
      <c r="CP12" s="2"/>
      <c r="CQ12" s="2" t="s">
        <v>310</v>
      </c>
      <c r="CR12" s="2" t="s">
        <v>297</v>
      </c>
      <c r="CS12" s="1">
        <v>0</v>
      </c>
      <c r="CT12" s="2"/>
      <c r="CU12" s="2"/>
      <c r="CV12" s="2" t="s">
        <v>305</v>
      </c>
      <c r="CW12" s="98"/>
      <c r="CX12" s="97" t="str">
        <f t="shared" si="3"/>
        <v/>
      </c>
      <c r="CY12" s="2" t="s">
        <v>297</v>
      </c>
      <c r="CZ12" s="1">
        <v>0</v>
      </c>
      <c r="DA12" s="2"/>
      <c r="DB12" s="2"/>
      <c r="DC12" s="1">
        <v>0</v>
      </c>
      <c r="DD12" s="2"/>
      <c r="DE12" s="2" t="s">
        <v>296</v>
      </c>
      <c r="DF12" s="1">
        <v>0</v>
      </c>
      <c r="DG12" s="2"/>
      <c r="DH12" s="2"/>
      <c r="DI12" s="2" t="s">
        <v>301</v>
      </c>
      <c r="DJ12" s="2" t="s">
        <v>302</v>
      </c>
      <c r="DK12" s="1">
        <v>0</v>
      </c>
      <c r="DL12" s="2"/>
      <c r="DM12" s="2"/>
      <c r="DN12" s="2" t="s">
        <v>305</v>
      </c>
      <c r="DO12" s="98"/>
      <c r="DP12" s="97" t="str">
        <f t="shared" si="4"/>
        <v/>
      </c>
      <c r="DQ12" s="2" t="s">
        <v>302</v>
      </c>
      <c r="DR12" s="1">
        <v>0</v>
      </c>
      <c r="DS12" s="2"/>
      <c r="DT12" s="2"/>
      <c r="DU12" s="1">
        <v>0</v>
      </c>
      <c r="DV12" s="2"/>
      <c r="DW12" s="2" t="s">
        <v>299</v>
      </c>
      <c r="DX12" s="1">
        <v>0</v>
      </c>
      <c r="DY12" s="2"/>
      <c r="DZ12" s="2"/>
      <c r="EA12" s="2" t="s">
        <v>294</v>
      </c>
      <c r="EB12" s="2" t="s">
        <v>331</v>
      </c>
      <c r="EC12" s="1">
        <v>0</v>
      </c>
      <c r="ED12" s="2"/>
      <c r="EE12" s="2"/>
      <c r="EF12" s="2" t="s">
        <v>305</v>
      </c>
      <c r="EG12" s="98"/>
      <c r="EH12" s="97" t="str">
        <f t="shared" si="5"/>
        <v/>
      </c>
      <c r="EI12" s="2" t="s">
        <v>302</v>
      </c>
      <c r="EJ12" s="1">
        <v>0</v>
      </c>
      <c r="EK12" s="2"/>
      <c r="EL12" s="2"/>
      <c r="EM12" s="2"/>
      <c r="EN12" s="2"/>
      <c r="EO12" s="2" t="s">
        <v>296</v>
      </c>
      <c r="EP12" s="1">
        <v>0</v>
      </c>
      <c r="EQ12" s="2"/>
      <c r="ER12" s="2" t="s">
        <v>303</v>
      </c>
      <c r="ES12" s="2" t="s">
        <v>331</v>
      </c>
      <c r="ET12" s="1">
        <v>0</v>
      </c>
      <c r="EU12" s="2"/>
      <c r="EV12" s="2"/>
      <c r="EW12" s="2" t="s">
        <v>305</v>
      </c>
      <c r="EX12" s="98" t="s">
        <v>298</v>
      </c>
      <c r="EY12" s="97" t="str">
        <f t="shared" si="6"/>
        <v/>
      </c>
      <c r="EZ12" s="1">
        <v>0</v>
      </c>
      <c r="FA12" s="2"/>
      <c r="FB12" s="2"/>
      <c r="FC12" s="2"/>
      <c r="FD12" s="1">
        <v>0</v>
      </c>
      <c r="FE12" s="2"/>
      <c r="FF12" s="2" t="s">
        <v>296</v>
      </c>
      <c r="FG12" s="1">
        <v>0</v>
      </c>
      <c r="FH12" s="2"/>
      <c r="FI12" s="2"/>
      <c r="FJ12" s="2"/>
      <c r="FK12" s="2"/>
      <c r="FL12" s="2"/>
      <c r="FM12" s="2"/>
      <c r="FN12" s="2"/>
      <c r="FO12" s="2"/>
      <c r="FP12" s="1">
        <v>0</v>
      </c>
      <c r="FQ12" s="2"/>
      <c r="FR12" s="2"/>
      <c r="FS12" s="2"/>
      <c r="FT12"/>
      <c r="FU12" s="2" t="s">
        <v>317</v>
      </c>
      <c r="FV12" s="2"/>
      <c r="FW12" s="2"/>
      <c r="FX12" s="1">
        <v>-1</v>
      </c>
      <c r="FY12" s="1">
        <v>-1</v>
      </c>
      <c r="FZ12" s="1">
        <v>-1</v>
      </c>
      <c r="GA12" s="1">
        <v>-1</v>
      </c>
      <c r="GB12" s="1">
        <v>-1</v>
      </c>
      <c r="GC12" s="1">
        <v>-1</v>
      </c>
      <c r="GD12" s="1">
        <v>-1</v>
      </c>
      <c r="GE12" s="1">
        <v>-1</v>
      </c>
      <c r="GF12" s="1">
        <v>-1</v>
      </c>
      <c r="GG12" s="1">
        <v>-1</v>
      </c>
      <c r="GH12" s="1">
        <v>-1</v>
      </c>
      <c r="GI12" s="1">
        <v>-1</v>
      </c>
      <c r="GJ12" s="1">
        <v>-1</v>
      </c>
      <c r="GK12" s="1">
        <v>-1</v>
      </c>
      <c r="GL12" s="1">
        <v>-1</v>
      </c>
      <c r="GM12" s="1">
        <v>-15</v>
      </c>
      <c r="GN12" s="3"/>
      <c r="GO12" s="3"/>
      <c r="GP12" s="2"/>
      <c r="GQ12" s="2" t="s">
        <v>320</v>
      </c>
      <c r="GR12" s="2" t="s">
        <v>277</v>
      </c>
      <c r="GS12" s="1">
        <v>15</v>
      </c>
      <c r="GT12" s="1">
        <v>15</v>
      </c>
      <c r="GU12" s="1">
        <v>56</v>
      </c>
      <c r="GV12" s="1">
        <v>28</v>
      </c>
      <c r="GW12" s="4"/>
    </row>
    <row r="13" spans="1:205" x14ac:dyDescent="0.25">
      <c r="A13" s="1">
        <v>147</v>
      </c>
      <c r="B13" s="18" t="s">
        <v>376</v>
      </c>
      <c r="C13" s="18">
        <v>72.5</v>
      </c>
      <c r="D13" s="2" t="s">
        <v>353</v>
      </c>
      <c r="E13" s="2" t="s">
        <v>377</v>
      </c>
      <c r="F13" s="2" t="s">
        <v>281</v>
      </c>
      <c r="G13" s="2" t="s">
        <v>282</v>
      </c>
      <c r="H13" s="2" t="s">
        <v>281</v>
      </c>
      <c r="I13" s="2" t="s">
        <v>282</v>
      </c>
      <c r="J13" s="2" t="s">
        <v>282</v>
      </c>
      <c r="K13" s="2" t="s">
        <v>281</v>
      </c>
      <c r="L13" s="2" t="s">
        <v>282</v>
      </c>
      <c r="M13" s="2" t="s">
        <v>282</v>
      </c>
      <c r="N13" s="2" t="s">
        <v>282</v>
      </c>
      <c r="O13" s="1">
        <v>1</v>
      </c>
      <c r="P13" s="2" t="s">
        <v>402</v>
      </c>
      <c r="Q13" s="2"/>
      <c r="R13" s="2" t="s">
        <v>337</v>
      </c>
      <c r="S13" s="2"/>
      <c r="T13" s="2" t="s">
        <v>403</v>
      </c>
      <c r="U13" s="2"/>
      <c r="V13" s="2"/>
      <c r="W13" s="2"/>
      <c r="X13" s="2" t="s">
        <v>350</v>
      </c>
      <c r="Y13" s="1">
        <v>1</v>
      </c>
      <c r="Z13" s="2" t="s">
        <v>374</v>
      </c>
      <c r="AA13" s="2"/>
      <c r="AB13" s="2" t="s">
        <v>303</v>
      </c>
      <c r="AC13" s="2" t="s">
        <v>331</v>
      </c>
      <c r="AD13" s="1">
        <v>0</v>
      </c>
      <c r="AE13" s="2"/>
      <c r="AF13" s="2"/>
      <c r="AG13" s="2" t="s">
        <v>298</v>
      </c>
      <c r="AH13" s="98" t="s">
        <v>298</v>
      </c>
      <c r="AI13" s="97">
        <f t="shared" si="0"/>
        <v>1</v>
      </c>
      <c r="AJ13" s="2" t="s">
        <v>331</v>
      </c>
      <c r="AK13" s="1">
        <v>0</v>
      </c>
      <c r="AL13" s="2"/>
      <c r="AM13" s="2"/>
      <c r="AN13" s="1">
        <v>1</v>
      </c>
      <c r="AO13" s="2" t="s">
        <v>404</v>
      </c>
      <c r="AP13" s="2"/>
      <c r="AQ13" s="2" t="s">
        <v>299</v>
      </c>
      <c r="AR13" s="1">
        <v>1</v>
      </c>
      <c r="AS13" s="2" t="s">
        <v>405</v>
      </c>
      <c r="AT13" s="2"/>
      <c r="AU13" s="2" t="s">
        <v>294</v>
      </c>
      <c r="AV13" s="2" t="s">
        <v>297</v>
      </c>
      <c r="AW13" s="1">
        <v>1</v>
      </c>
      <c r="AX13" s="2" t="s">
        <v>287</v>
      </c>
      <c r="AY13" s="2"/>
      <c r="AZ13" s="2" t="s">
        <v>288</v>
      </c>
      <c r="BA13" s="98" t="s">
        <v>324</v>
      </c>
      <c r="BB13" s="97" t="str">
        <f t="shared" si="1"/>
        <v/>
      </c>
      <c r="BC13" s="2" t="s">
        <v>339</v>
      </c>
      <c r="BD13" s="1">
        <v>1</v>
      </c>
      <c r="BE13" s="2" t="s">
        <v>287</v>
      </c>
      <c r="BF13" s="2"/>
      <c r="BG13" s="1">
        <v>1</v>
      </c>
      <c r="BH13" s="2" t="s">
        <v>406</v>
      </c>
      <c r="BI13" s="2" t="s">
        <v>299</v>
      </c>
      <c r="BJ13" s="2" t="s">
        <v>294</v>
      </c>
      <c r="BK13" s="2" t="s">
        <v>297</v>
      </c>
      <c r="BL13" s="1">
        <v>1</v>
      </c>
      <c r="BM13" s="2" t="s">
        <v>339</v>
      </c>
      <c r="BN13" s="2"/>
      <c r="BO13" s="2" t="s">
        <v>324</v>
      </c>
      <c r="BP13" s="2" t="s">
        <v>297</v>
      </c>
      <c r="BQ13" s="1">
        <v>1</v>
      </c>
      <c r="BR13" s="2" t="s">
        <v>339</v>
      </c>
      <c r="BS13" s="2"/>
      <c r="BT13" s="1">
        <v>1</v>
      </c>
      <c r="BU13" s="2" t="s">
        <v>407</v>
      </c>
      <c r="BV13" s="2" t="s">
        <v>296</v>
      </c>
      <c r="BW13" s="1">
        <v>0</v>
      </c>
      <c r="BX13" s="2"/>
      <c r="BY13" s="2" t="s">
        <v>301</v>
      </c>
      <c r="BZ13" s="2" t="s">
        <v>297</v>
      </c>
      <c r="CA13" s="1">
        <v>1</v>
      </c>
      <c r="CB13" s="2" t="s">
        <v>406</v>
      </c>
      <c r="CC13" s="2"/>
      <c r="CD13" s="2" t="s">
        <v>324</v>
      </c>
      <c r="CE13" s="97"/>
      <c r="CF13" s="97" t="str">
        <f t="shared" si="2"/>
        <v/>
      </c>
      <c r="CG13" s="2" t="s">
        <v>297</v>
      </c>
      <c r="CH13" s="1">
        <v>1</v>
      </c>
      <c r="CI13" s="2" t="s">
        <v>302</v>
      </c>
      <c r="CJ13" s="2"/>
      <c r="CK13" s="1">
        <v>1</v>
      </c>
      <c r="CL13" s="2" t="s">
        <v>408</v>
      </c>
      <c r="CM13" s="2" t="s">
        <v>299</v>
      </c>
      <c r="CN13" s="1">
        <v>1</v>
      </c>
      <c r="CO13" s="2" t="s">
        <v>409</v>
      </c>
      <c r="CP13" s="2"/>
      <c r="CQ13" s="2" t="s">
        <v>294</v>
      </c>
      <c r="CR13" s="2" t="s">
        <v>297</v>
      </c>
      <c r="CS13" s="1">
        <v>1</v>
      </c>
      <c r="CT13" s="2" t="s">
        <v>302</v>
      </c>
      <c r="CU13" s="2"/>
      <c r="CV13" s="2" t="s">
        <v>324</v>
      </c>
      <c r="CW13" s="98" t="s">
        <v>837</v>
      </c>
      <c r="CX13" s="97" t="str">
        <f t="shared" si="3"/>
        <v/>
      </c>
      <c r="CY13" s="2" t="s">
        <v>297</v>
      </c>
      <c r="CZ13" s="1">
        <v>1</v>
      </c>
      <c r="DA13" s="2" t="s">
        <v>387</v>
      </c>
      <c r="DB13" s="2"/>
      <c r="DC13" s="1">
        <v>1</v>
      </c>
      <c r="DD13" s="2" t="s">
        <v>406</v>
      </c>
      <c r="DE13" s="2" t="s">
        <v>299</v>
      </c>
      <c r="DF13" s="1">
        <v>1</v>
      </c>
      <c r="DG13" s="2" t="s">
        <v>410</v>
      </c>
      <c r="DH13" s="2"/>
      <c r="DI13" s="2" t="s">
        <v>294</v>
      </c>
      <c r="DJ13" s="2" t="s">
        <v>302</v>
      </c>
      <c r="DK13" s="1">
        <v>1</v>
      </c>
      <c r="DL13" s="2"/>
      <c r="DM13" s="2" t="s">
        <v>387</v>
      </c>
      <c r="DN13" s="2" t="s">
        <v>305</v>
      </c>
      <c r="DO13" s="98"/>
      <c r="DP13" s="97" t="str">
        <f t="shared" si="4"/>
        <v/>
      </c>
      <c r="DQ13" s="2" t="s">
        <v>302</v>
      </c>
      <c r="DR13" s="1">
        <v>1</v>
      </c>
      <c r="DS13" s="2" t="s">
        <v>387</v>
      </c>
      <c r="DT13" s="2"/>
      <c r="DU13" s="1">
        <v>1</v>
      </c>
      <c r="DV13" s="2" t="s">
        <v>406</v>
      </c>
      <c r="DW13" s="2" t="s">
        <v>299</v>
      </c>
      <c r="DX13" s="1">
        <v>1</v>
      </c>
      <c r="DY13" s="2" t="s">
        <v>411</v>
      </c>
      <c r="DZ13" s="2"/>
      <c r="EA13" s="2" t="s">
        <v>303</v>
      </c>
      <c r="EB13" s="2" t="s">
        <v>331</v>
      </c>
      <c r="EC13" s="1">
        <v>1</v>
      </c>
      <c r="ED13" s="2" t="s">
        <v>406</v>
      </c>
      <c r="EE13" s="2"/>
      <c r="EF13" s="2" t="s">
        <v>298</v>
      </c>
      <c r="EG13" s="98" t="s">
        <v>298</v>
      </c>
      <c r="EH13" s="97">
        <f t="shared" si="5"/>
        <v>1</v>
      </c>
      <c r="EI13" s="2" t="s">
        <v>331</v>
      </c>
      <c r="EJ13" s="1">
        <v>1</v>
      </c>
      <c r="EK13" s="2" t="s">
        <v>302</v>
      </c>
      <c r="EL13" s="2"/>
      <c r="EM13" s="2" t="s">
        <v>412</v>
      </c>
      <c r="EN13" s="2" t="s">
        <v>406</v>
      </c>
      <c r="EO13" s="2" t="s">
        <v>299</v>
      </c>
      <c r="EP13" s="1">
        <v>1</v>
      </c>
      <c r="EQ13" s="2" t="s">
        <v>374</v>
      </c>
      <c r="ER13" s="2" t="s">
        <v>303</v>
      </c>
      <c r="ES13" s="2" t="s">
        <v>331</v>
      </c>
      <c r="ET13" s="1">
        <v>1</v>
      </c>
      <c r="EU13" s="2" t="s">
        <v>302</v>
      </c>
      <c r="EV13" s="2"/>
      <c r="EW13" s="2" t="s">
        <v>298</v>
      </c>
      <c r="EX13" s="98" t="s">
        <v>298</v>
      </c>
      <c r="EY13" s="97">
        <f t="shared" si="6"/>
        <v>1</v>
      </c>
      <c r="EZ13" s="1">
        <v>1</v>
      </c>
      <c r="FA13" s="2" t="s">
        <v>302</v>
      </c>
      <c r="FB13" s="2"/>
      <c r="FC13" s="2" t="s">
        <v>413</v>
      </c>
      <c r="FD13" s="1">
        <v>1</v>
      </c>
      <c r="FE13" s="2" t="s">
        <v>406</v>
      </c>
      <c r="FF13" s="2" t="s">
        <v>299</v>
      </c>
      <c r="FG13" s="1">
        <v>1</v>
      </c>
      <c r="FH13" s="2" t="s">
        <v>404</v>
      </c>
      <c r="FI13" s="2"/>
      <c r="FJ13" s="2"/>
      <c r="FK13" s="2"/>
      <c r="FL13" s="2" t="s">
        <v>414</v>
      </c>
      <c r="FM13" s="2" t="s">
        <v>415</v>
      </c>
      <c r="FN13" s="2" t="s">
        <v>339</v>
      </c>
      <c r="FO13" s="2" t="s">
        <v>416</v>
      </c>
      <c r="FP13" s="1">
        <v>2</v>
      </c>
      <c r="FQ13" s="2" t="s">
        <v>417</v>
      </c>
      <c r="FR13" s="2" t="s">
        <v>418</v>
      </c>
      <c r="FS13" s="2"/>
      <c r="FU13" s="2" t="s">
        <v>317</v>
      </c>
      <c r="FV13" s="2" t="s">
        <v>419</v>
      </c>
      <c r="FW13" s="2" t="s">
        <v>420</v>
      </c>
      <c r="FX13" s="1">
        <v>-1</v>
      </c>
      <c r="FY13" s="1">
        <v>-1</v>
      </c>
      <c r="FZ13" s="1">
        <v>-1</v>
      </c>
      <c r="GA13" s="1">
        <v>-1</v>
      </c>
      <c r="GB13" s="1">
        <v>-1</v>
      </c>
      <c r="GC13" s="1">
        <v>-1</v>
      </c>
      <c r="GD13" s="1">
        <v>-1</v>
      </c>
      <c r="GE13" s="1">
        <v>-1</v>
      </c>
      <c r="GF13" s="1">
        <v>-1</v>
      </c>
      <c r="GG13" s="1">
        <v>-1</v>
      </c>
      <c r="GH13" s="1">
        <v>-1</v>
      </c>
      <c r="GI13" s="1">
        <v>-1</v>
      </c>
      <c r="GJ13" s="1">
        <v>-1</v>
      </c>
      <c r="GK13" s="1">
        <v>-1</v>
      </c>
      <c r="GL13" s="1">
        <v>-1</v>
      </c>
      <c r="GM13" s="1">
        <v>-15</v>
      </c>
      <c r="GN13" s="3"/>
      <c r="GO13" s="3"/>
      <c r="GP13" s="2" t="s">
        <v>319</v>
      </c>
      <c r="GQ13" s="2" t="s">
        <v>320</v>
      </c>
      <c r="GR13" s="2" t="s">
        <v>277</v>
      </c>
      <c r="GS13" s="1">
        <v>15</v>
      </c>
      <c r="GT13" s="1">
        <v>15</v>
      </c>
      <c r="GU13" s="1">
        <v>4</v>
      </c>
      <c r="GV13" s="1">
        <v>1</v>
      </c>
      <c r="GW13" s="4"/>
    </row>
    <row r="14" spans="1:205" s="62" customFormat="1" ht="13.8" thickBot="1" x14ac:dyDescent="0.3">
      <c r="A14" s="74">
        <v>215</v>
      </c>
      <c r="B14" s="73" t="s">
        <v>376</v>
      </c>
      <c r="C14" s="73">
        <v>72.5</v>
      </c>
      <c r="D14" s="73" t="s">
        <v>353</v>
      </c>
      <c r="E14" s="73" t="s">
        <v>422</v>
      </c>
      <c r="F14" s="73" t="s">
        <v>282</v>
      </c>
      <c r="G14" s="73" t="s">
        <v>282</v>
      </c>
      <c r="H14" s="73" t="s">
        <v>281</v>
      </c>
      <c r="I14" s="73" t="s">
        <v>282</v>
      </c>
      <c r="J14" s="73" t="s">
        <v>282</v>
      </c>
      <c r="K14" s="73" t="s">
        <v>281</v>
      </c>
      <c r="L14" s="73" t="s">
        <v>282</v>
      </c>
      <c r="M14" s="73" t="s">
        <v>282</v>
      </c>
      <c r="N14" s="73" t="s">
        <v>282</v>
      </c>
      <c r="O14" s="74">
        <v>0</v>
      </c>
      <c r="P14" s="73"/>
      <c r="Q14" s="73"/>
      <c r="R14" s="73" t="s">
        <v>337</v>
      </c>
      <c r="S14" s="73"/>
      <c r="T14" s="75" t="s">
        <v>424</v>
      </c>
      <c r="U14" s="73"/>
      <c r="V14" s="73"/>
      <c r="W14" s="73"/>
      <c r="X14" s="73" t="s">
        <v>350</v>
      </c>
      <c r="Y14" s="74">
        <v>2</v>
      </c>
      <c r="Z14" s="73" t="s">
        <v>453</v>
      </c>
      <c r="AA14" s="73" t="s">
        <v>365</v>
      </c>
      <c r="AB14" s="73" t="s">
        <v>303</v>
      </c>
      <c r="AC14" s="73" t="s">
        <v>302</v>
      </c>
      <c r="AD14" s="74">
        <v>0</v>
      </c>
      <c r="AE14" s="73"/>
      <c r="AF14" s="73"/>
      <c r="AG14" s="73" t="s">
        <v>305</v>
      </c>
      <c r="AH14" s="98" t="s">
        <v>298</v>
      </c>
      <c r="AI14" s="97" t="str">
        <f t="shared" si="0"/>
        <v/>
      </c>
      <c r="AJ14" s="73" t="s">
        <v>287</v>
      </c>
      <c r="AK14" s="74">
        <v>0</v>
      </c>
      <c r="AL14" s="73"/>
      <c r="AM14" s="73"/>
      <c r="AN14" s="74">
        <v>0</v>
      </c>
      <c r="AO14" s="73"/>
      <c r="AP14" s="73"/>
      <c r="AQ14" s="73" t="s">
        <v>299</v>
      </c>
      <c r="AR14" s="74">
        <v>1</v>
      </c>
      <c r="AS14" s="73" t="s">
        <v>643</v>
      </c>
      <c r="AT14" s="73"/>
      <c r="AU14" s="73" t="s">
        <v>301</v>
      </c>
      <c r="AV14" s="73" t="s">
        <v>287</v>
      </c>
      <c r="AW14" s="74">
        <v>0</v>
      </c>
      <c r="AX14" s="73"/>
      <c r="AY14" s="73"/>
      <c r="AZ14" s="73" t="s">
        <v>324</v>
      </c>
      <c r="BA14" s="98" t="s">
        <v>840</v>
      </c>
      <c r="BB14" s="97">
        <v>1</v>
      </c>
      <c r="BC14" s="73" t="s">
        <v>287</v>
      </c>
      <c r="BD14" s="74">
        <v>0</v>
      </c>
      <c r="BE14" s="73"/>
      <c r="BF14" s="73"/>
      <c r="BG14" s="74">
        <v>1</v>
      </c>
      <c r="BH14" s="73" t="s">
        <v>644</v>
      </c>
      <c r="BI14" s="73" t="s">
        <v>296</v>
      </c>
      <c r="BJ14" s="73"/>
      <c r="BK14" s="73"/>
      <c r="BL14" s="74">
        <v>0</v>
      </c>
      <c r="BM14" s="73"/>
      <c r="BN14" s="73"/>
      <c r="BO14" s="73"/>
      <c r="BP14" s="73"/>
      <c r="BQ14" s="74">
        <v>0</v>
      </c>
      <c r="BR14" s="73"/>
      <c r="BS14" s="73"/>
      <c r="BT14" s="74">
        <v>0</v>
      </c>
      <c r="BU14" s="73"/>
      <c r="BV14" s="73"/>
      <c r="BW14" s="74">
        <v>1</v>
      </c>
      <c r="BX14" s="73" t="s">
        <v>645</v>
      </c>
      <c r="BY14" s="73" t="s">
        <v>310</v>
      </c>
      <c r="BZ14" s="73" t="s">
        <v>297</v>
      </c>
      <c r="CA14" s="74">
        <v>0</v>
      </c>
      <c r="CB14" s="73"/>
      <c r="CC14" s="73"/>
      <c r="CD14" s="73" t="s">
        <v>324</v>
      </c>
      <c r="CE14" s="97" t="s">
        <v>841</v>
      </c>
      <c r="CF14" s="97">
        <v>1</v>
      </c>
      <c r="CG14" s="73" t="s">
        <v>339</v>
      </c>
      <c r="CH14" s="74">
        <v>0</v>
      </c>
      <c r="CI14" s="73"/>
      <c r="CJ14" s="73"/>
      <c r="CK14" s="74">
        <v>1</v>
      </c>
      <c r="CL14" s="73" t="s">
        <v>646</v>
      </c>
      <c r="CM14" s="73" t="s">
        <v>296</v>
      </c>
      <c r="CN14" s="74">
        <v>1</v>
      </c>
      <c r="CO14" s="73" t="s">
        <v>647</v>
      </c>
      <c r="CP14" s="73"/>
      <c r="CQ14" s="73" t="s">
        <v>303</v>
      </c>
      <c r="CR14" s="73" t="s">
        <v>297</v>
      </c>
      <c r="CS14" s="74">
        <v>0</v>
      </c>
      <c r="CT14" s="73"/>
      <c r="CU14" s="73"/>
      <c r="CV14" s="73" t="s">
        <v>305</v>
      </c>
      <c r="CW14" s="98" t="s">
        <v>298</v>
      </c>
      <c r="CX14" s="97" t="str">
        <f t="shared" si="3"/>
        <v/>
      </c>
      <c r="CY14" s="73" t="s">
        <v>500</v>
      </c>
      <c r="CZ14" s="74">
        <v>0</v>
      </c>
      <c r="DA14" s="73"/>
      <c r="DB14" s="73"/>
      <c r="DC14" s="74">
        <v>0</v>
      </c>
      <c r="DD14" s="73"/>
      <c r="DE14" s="73" t="s">
        <v>296</v>
      </c>
      <c r="DF14" s="74">
        <v>1</v>
      </c>
      <c r="DG14" s="73" t="s">
        <v>648</v>
      </c>
      <c r="DH14" s="73"/>
      <c r="DI14" s="73" t="s">
        <v>303</v>
      </c>
      <c r="DJ14" s="73" t="s">
        <v>302</v>
      </c>
      <c r="DK14" s="74">
        <v>0</v>
      </c>
      <c r="DL14" s="73"/>
      <c r="DM14" s="73"/>
      <c r="DN14" s="73" t="s">
        <v>305</v>
      </c>
      <c r="DO14" s="98" t="s">
        <v>305</v>
      </c>
      <c r="DP14" s="97">
        <f t="shared" si="4"/>
        <v>1</v>
      </c>
      <c r="DQ14" s="73" t="s">
        <v>302</v>
      </c>
      <c r="DR14" s="74">
        <v>0</v>
      </c>
      <c r="DS14" s="73"/>
      <c r="DT14" s="73"/>
      <c r="DU14" s="74">
        <v>0</v>
      </c>
      <c r="DV14" s="73"/>
      <c r="DW14" s="73" t="s">
        <v>299</v>
      </c>
      <c r="DX14" s="74">
        <v>1</v>
      </c>
      <c r="DY14" s="73" t="s">
        <v>362</v>
      </c>
      <c r="DZ14" s="73"/>
      <c r="EA14" s="73" t="s">
        <v>303</v>
      </c>
      <c r="EB14" s="73" t="s">
        <v>331</v>
      </c>
      <c r="EC14" s="74">
        <v>0</v>
      </c>
      <c r="ED14" s="73"/>
      <c r="EE14" s="73"/>
      <c r="EF14" s="73" t="s">
        <v>298</v>
      </c>
      <c r="EG14" s="98" t="s">
        <v>298</v>
      </c>
      <c r="EH14" s="97">
        <f t="shared" si="5"/>
        <v>1</v>
      </c>
      <c r="EI14" s="73" t="s">
        <v>331</v>
      </c>
      <c r="EJ14" s="74">
        <v>0</v>
      </c>
      <c r="EK14" s="73"/>
      <c r="EL14" s="73"/>
      <c r="EM14" s="73" t="s">
        <v>649</v>
      </c>
      <c r="EN14" s="73"/>
      <c r="EO14" s="73" t="s">
        <v>296</v>
      </c>
      <c r="EP14" s="74">
        <v>1</v>
      </c>
      <c r="EQ14" s="73" t="s">
        <v>650</v>
      </c>
      <c r="ER14" s="73" t="s">
        <v>303</v>
      </c>
      <c r="ES14" s="73" t="s">
        <v>331</v>
      </c>
      <c r="ET14" s="74">
        <v>0</v>
      </c>
      <c r="EU14" s="73"/>
      <c r="EV14" s="73"/>
      <c r="EW14" s="73" t="s">
        <v>305</v>
      </c>
      <c r="EX14" s="98" t="s">
        <v>298</v>
      </c>
      <c r="EY14" s="97" t="str">
        <f t="shared" si="6"/>
        <v/>
      </c>
      <c r="EZ14" s="74">
        <v>0</v>
      </c>
      <c r="FA14" s="73"/>
      <c r="FB14" s="73"/>
      <c r="FC14" s="73" t="s">
        <v>651</v>
      </c>
      <c r="FD14" s="74">
        <v>0</v>
      </c>
      <c r="FE14" s="73"/>
      <c r="FF14" s="73" t="s">
        <v>296</v>
      </c>
      <c r="FG14" s="74">
        <v>0</v>
      </c>
      <c r="FH14" s="73"/>
      <c r="FI14" s="73"/>
      <c r="FJ14" s="73"/>
      <c r="FK14" s="73"/>
      <c r="FL14" s="73"/>
      <c r="FM14" s="73"/>
      <c r="FN14" s="73"/>
      <c r="FO14" s="73"/>
      <c r="FP14" s="74">
        <v>0</v>
      </c>
      <c r="FQ14" s="73"/>
      <c r="FR14" s="73"/>
      <c r="FS14" s="73"/>
      <c r="FT14" s="75"/>
      <c r="FU14" s="73" t="s">
        <v>351</v>
      </c>
      <c r="FV14" s="73"/>
      <c r="FW14" s="73"/>
      <c r="FX14" s="74">
        <v>-1</v>
      </c>
      <c r="FY14" s="74">
        <v>-1</v>
      </c>
      <c r="FZ14" s="74">
        <v>-1</v>
      </c>
      <c r="GA14" s="74">
        <v>-1</v>
      </c>
      <c r="GB14" s="74">
        <v>-1</v>
      </c>
      <c r="GC14" s="74">
        <v>-1</v>
      </c>
      <c r="GD14" s="74">
        <v>-1</v>
      </c>
      <c r="GE14" s="74">
        <v>-1</v>
      </c>
      <c r="GF14" s="74">
        <v>-1</v>
      </c>
      <c r="GG14" s="74">
        <v>-1</v>
      </c>
      <c r="GH14" s="74">
        <v>-1</v>
      </c>
      <c r="GI14" s="74">
        <v>-1</v>
      </c>
      <c r="GJ14" s="74">
        <v>-1</v>
      </c>
      <c r="GK14" s="74">
        <v>-1</v>
      </c>
      <c r="GL14" s="74">
        <v>-1</v>
      </c>
      <c r="GM14" s="74">
        <v>-15</v>
      </c>
      <c r="GN14" s="76"/>
      <c r="GO14" s="76"/>
      <c r="GP14" s="73" t="s">
        <v>319</v>
      </c>
      <c r="GQ14" s="73" t="s">
        <v>320</v>
      </c>
      <c r="GR14" s="73" t="s">
        <v>277</v>
      </c>
      <c r="GS14" s="74">
        <v>15</v>
      </c>
      <c r="GT14" s="74">
        <v>15</v>
      </c>
      <c r="GU14" s="74">
        <v>40</v>
      </c>
      <c r="GV14" s="74">
        <v>16</v>
      </c>
      <c r="GW14" s="77"/>
    </row>
    <row r="15" spans="1:205" s="83" customFormat="1" ht="13.8" thickBot="1" x14ac:dyDescent="0.3">
      <c r="A15" s="78">
        <v>208</v>
      </c>
      <c r="B15" s="79" t="s">
        <v>278</v>
      </c>
      <c r="C15" s="79">
        <v>10</v>
      </c>
      <c r="D15" s="79" t="s">
        <v>279</v>
      </c>
      <c r="E15" s="79" t="s">
        <v>320</v>
      </c>
      <c r="F15" s="79" t="s">
        <v>282</v>
      </c>
      <c r="G15" s="79" t="s">
        <v>281</v>
      </c>
      <c r="H15" s="79" t="s">
        <v>282</v>
      </c>
      <c r="I15" s="79" t="s">
        <v>282</v>
      </c>
      <c r="J15" s="79" t="s">
        <v>282</v>
      </c>
      <c r="K15" s="79" t="s">
        <v>282</v>
      </c>
      <c r="L15" s="79" t="s">
        <v>282</v>
      </c>
      <c r="M15" s="79" t="s">
        <v>282</v>
      </c>
      <c r="N15" s="79" t="s">
        <v>282</v>
      </c>
      <c r="O15" s="78">
        <v>1</v>
      </c>
      <c r="P15" s="79" t="s">
        <v>623</v>
      </c>
      <c r="Q15" s="79"/>
      <c r="R15" s="79" t="s">
        <v>355</v>
      </c>
      <c r="S15" s="79"/>
      <c r="T15" s="79"/>
      <c r="U15" s="79" t="s">
        <v>322</v>
      </c>
      <c r="V15" s="79" t="s">
        <v>320</v>
      </c>
      <c r="W15" s="79"/>
      <c r="X15" s="79" t="s">
        <v>425</v>
      </c>
      <c r="Y15" s="78">
        <v>1</v>
      </c>
      <c r="Z15" s="79" t="s">
        <v>466</v>
      </c>
      <c r="AA15" s="79"/>
      <c r="AB15" s="79" t="s">
        <v>294</v>
      </c>
      <c r="AC15" s="79" t="s">
        <v>302</v>
      </c>
      <c r="AD15" s="78">
        <v>0</v>
      </c>
      <c r="AE15" s="79"/>
      <c r="AF15" s="79"/>
      <c r="AG15" s="79" t="s">
        <v>305</v>
      </c>
      <c r="AH15" s="98" t="s">
        <v>305</v>
      </c>
      <c r="AI15" s="97">
        <f t="shared" si="0"/>
        <v>1</v>
      </c>
      <c r="AJ15" s="79"/>
      <c r="AK15" s="78">
        <v>0</v>
      </c>
      <c r="AL15" s="79"/>
      <c r="AM15" s="79"/>
      <c r="AN15" s="78">
        <v>1</v>
      </c>
      <c r="AO15" s="79" t="s">
        <v>624</v>
      </c>
      <c r="AP15" s="79"/>
      <c r="AQ15" s="79" t="s">
        <v>299</v>
      </c>
      <c r="AR15" s="78">
        <v>0</v>
      </c>
      <c r="AS15" s="79"/>
      <c r="AT15" s="79"/>
      <c r="AU15" s="79"/>
      <c r="AV15" s="79"/>
      <c r="AW15" s="78">
        <v>0</v>
      </c>
      <c r="AX15" s="79"/>
      <c r="AY15" s="79"/>
      <c r="AZ15" s="79"/>
      <c r="BA15" s="100"/>
      <c r="BB15" s="97"/>
      <c r="BC15" s="79"/>
      <c r="BD15" s="78">
        <v>0</v>
      </c>
      <c r="BE15" s="79"/>
      <c r="BF15" s="79"/>
      <c r="BG15" s="78">
        <v>0</v>
      </c>
      <c r="BH15" s="79"/>
      <c r="BI15" s="79"/>
      <c r="BJ15" s="79" t="s">
        <v>294</v>
      </c>
      <c r="BK15" s="79"/>
      <c r="BL15" s="78">
        <v>0</v>
      </c>
      <c r="BM15" s="79"/>
      <c r="BN15" s="79"/>
      <c r="BO15" s="79"/>
      <c r="BP15" s="79"/>
      <c r="BQ15" s="78">
        <v>0</v>
      </c>
      <c r="BR15" s="79"/>
      <c r="BS15" s="79"/>
      <c r="BT15" s="78">
        <v>0</v>
      </c>
      <c r="BU15" s="79"/>
      <c r="BV15" s="79"/>
      <c r="BW15" s="78">
        <v>1</v>
      </c>
      <c r="BX15" s="79" t="s">
        <v>385</v>
      </c>
      <c r="BY15" s="79" t="s">
        <v>301</v>
      </c>
      <c r="BZ15" s="79" t="s">
        <v>297</v>
      </c>
      <c r="CA15" s="78">
        <v>0</v>
      </c>
      <c r="CB15" s="79"/>
      <c r="CC15" s="79"/>
      <c r="CD15" s="79" t="s">
        <v>288</v>
      </c>
      <c r="CE15" s="97" t="s">
        <v>288</v>
      </c>
      <c r="CF15" s="97">
        <f t="shared" si="2"/>
        <v>1</v>
      </c>
      <c r="CG15" s="79" t="s">
        <v>339</v>
      </c>
      <c r="CH15" s="78">
        <v>0</v>
      </c>
      <c r="CI15" s="79"/>
      <c r="CJ15" s="79"/>
      <c r="CK15" s="78">
        <v>0</v>
      </c>
      <c r="CL15" s="79"/>
      <c r="CM15" s="79" t="s">
        <v>299</v>
      </c>
      <c r="CN15" s="78">
        <v>0</v>
      </c>
      <c r="CO15" s="79"/>
      <c r="CP15" s="79"/>
      <c r="CQ15" s="79"/>
      <c r="CR15" s="79"/>
      <c r="CS15" s="78">
        <v>0</v>
      </c>
      <c r="CT15" s="79"/>
      <c r="CU15" s="79"/>
      <c r="CV15" s="79"/>
      <c r="CW15" s="100"/>
      <c r="CX15" s="97">
        <f t="shared" si="3"/>
        <v>1</v>
      </c>
      <c r="CY15" s="79"/>
      <c r="CZ15" s="78">
        <v>0</v>
      </c>
      <c r="DA15" s="79"/>
      <c r="DB15" s="79"/>
      <c r="DC15" s="78">
        <v>0</v>
      </c>
      <c r="DD15" s="79"/>
      <c r="DE15" s="79"/>
      <c r="DF15" s="78">
        <v>1</v>
      </c>
      <c r="DG15" s="79" t="s">
        <v>625</v>
      </c>
      <c r="DH15" s="79"/>
      <c r="DI15" s="79" t="s">
        <v>294</v>
      </c>
      <c r="DJ15" s="79" t="s">
        <v>302</v>
      </c>
      <c r="DK15" s="78">
        <v>0</v>
      </c>
      <c r="DL15" s="79"/>
      <c r="DM15" s="79"/>
      <c r="DN15" s="79" t="s">
        <v>288</v>
      </c>
      <c r="DO15" s="98" t="s">
        <v>305</v>
      </c>
      <c r="DP15" s="97" t="str">
        <f t="shared" si="4"/>
        <v/>
      </c>
      <c r="DQ15" s="79" t="s">
        <v>302</v>
      </c>
      <c r="DR15" s="78">
        <v>0</v>
      </c>
      <c r="DS15" s="79"/>
      <c r="DT15" s="79"/>
      <c r="DU15" s="78">
        <v>1</v>
      </c>
      <c r="DV15" s="79" t="s">
        <v>626</v>
      </c>
      <c r="DW15" s="79" t="s">
        <v>299</v>
      </c>
      <c r="DX15" s="78">
        <v>0</v>
      </c>
      <c r="DY15" s="79"/>
      <c r="DZ15" s="79"/>
      <c r="EA15" s="79"/>
      <c r="EB15" s="79"/>
      <c r="EC15" s="78">
        <v>0</v>
      </c>
      <c r="ED15" s="79"/>
      <c r="EE15" s="79"/>
      <c r="EF15" s="79"/>
      <c r="EG15" s="98"/>
      <c r="EH15" s="97"/>
      <c r="EI15" s="79"/>
      <c r="EJ15" s="78">
        <v>0</v>
      </c>
      <c r="EK15" s="79"/>
      <c r="EL15" s="79"/>
      <c r="EM15" s="79"/>
      <c r="EN15" s="79"/>
      <c r="EO15" s="79"/>
      <c r="EP15" s="78">
        <v>0</v>
      </c>
      <c r="EQ15" s="79"/>
      <c r="ER15" s="79"/>
      <c r="ES15" s="79"/>
      <c r="ET15" s="78">
        <v>0</v>
      </c>
      <c r="EU15" s="79"/>
      <c r="EV15" s="79"/>
      <c r="EW15" s="79"/>
      <c r="EX15" s="98"/>
      <c r="EY15" s="97"/>
      <c r="EZ15" s="78">
        <v>0</v>
      </c>
      <c r="FA15" s="79"/>
      <c r="FB15" s="79"/>
      <c r="FC15" s="79"/>
      <c r="FD15" s="78">
        <v>0</v>
      </c>
      <c r="FE15" s="79"/>
      <c r="FF15" s="79"/>
      <c r="FG15" s="78">
        <v>1</v>
      </c>
      <c r="FH15" s="79" t="s">
        <v>621</v>
      </c>
      <c r="FI15" s="79"/>
      <c r="FJ15" s="79"/>
      <c r="FK15" s="79"/>
      <c r="FL15" s="79"/>
      <c r="FM15" s="79"/>
      <c r="FN15" s="79"/>
      <c r="FO15" s="79"/>
      <c r="FP15" s="78">
        <v>1</v>
      </c>
      <c r="FQ15" s="79" t="s">
        <v>627</v>
      </c>
      <c r="FR15" s="79"/>
      <c r="FS15" s="79"/>
      <c r="FT15" s="80"/>
      <c r="FU15" s="79" t="s">
        <v>351</v>
      </c>
      <c r="FV15" s="79"/>
      <c r="FW15" s="79"/>
      <c r="FX15" s="78">
        <v>-1</v>
      </c>
      <c r="FY15" s="78">
        <v>-1</v>
      </c>
      <c r="FZ15" s="78">
        <v>-1</v>
      </c>
      <c r="GA15" s="78">
        <v>-1</v>
      </c>
      <c r="GB15" s="78">
        <v>-1</v>
      </c>
      <c r="GC15" s="78">
        <v>-1</v>
      </c>
      <c r="GD15" s="78">
        <v>-1</v>
      </c>
      <c r="GE15" s="78">
        <v>-1</v>
      </c>
      <c r="GF15" s="78">
        <v>-1</v>
      </c>
      <c r="GG15" s="78">
        <v>-1</v>
      </c>
      <c r="GH15" s="78">
        <v>-1</v>
      </c>
      <c r="GI15" s="78">
        <v>-1</v>
      </c>
      <c r="GJ15" s="78">
        <v>-1</v>
      </c>
      <c r="GK15" s="78">
        <v>-1</v>
      </c>
      <c r="GL15" s="78">
        <v>-1</v>
      </c>
      <c r="GM15" s="78">
        <v>-15</v>
      </c>
      <c r="GN15" s="81"/>
      <c r="GO15" s="81"/>
      <c r="GP15" s="79"/>
      <c r="GQ15" s="79" t="s">
        <v>320</v>
      </c>
      <c r="GR15" s="79" t="s">
        <v>277</v>
      </c>
      <c r="GS15" s="78">
        <v>15</v>
      </c>
      <c r="GT15" s="78">
        <v>15</v>
      </c>
      <c r="GU15" s="78">
        <v>68</v>
      </c>
      <c r="GV15" s="78">
        <v>56</v>
      </c>
      <c r="GW15" s="82"/>
    </row>
    <row r="16" spans="1:205" x14ac:dyDescent="0.25">
      <c r="A16" s="65">
        <v>130</v>
      </c>
      <c r="B16" s="61" t="s">
        <v>321</v>
      </c>
      <c r="C16" s="61">
        <v>22</v>
      </c>
      <c r="D16" s="61" t="s">
        <v>353</v>
      </c>
      <c r="E16" s="61" t="s">
        <v>354</v>
      </c>
      <c r="F16" s="61" t="s">
        <v>281</v>
      </c>
      <c r="G16" s="61" t="s">
        <v>281</v>
      </c>
      <c r="H16" s="61" t="s">
        <v>281</v>
      </c>
      <c r="I16" s="61" t="s">
        <v>282</v>
      </c>
      <c r="J16" s="61" t="s">
        <v>282</v>
      </c>
      <c r="K16" s="61" t="s">
        <v>281</v>
      </c>
      <c r="L16" s="61" t="s">
        <v>281</v>
      </c>
      <c r="M16" s="61" t="s">
        <v>281</v>
      </c>
      <c r="N16" s="61" t="s">
        <v>282</v>
      </c>
      <c r="O16" s="65">
        <v>0</v>
      </c>
      <c r="P16" s="61"/>
      <c r="Q16" s="61"/>
      <c r="R16" s="61" t="s">
        <v>355</v>
      </c>
      <c r="S16" s="61"/>
      <c r="T16" s="61"/>
      <c r="U16" s="61" t="s">
        <v>284</v>
      </c>
      <c r="V16" s="61" t="s">
        <v>422</v>
      </c>
      <c r="W16" s="61"/>
      <c r="X16" s="61" t="s">
        <v>316</v>
      </c>
      <c r="Y16" s="65">
        <v>0</v>
      </c>
      <c r="Z16" s="61"/>
      <c r="AA16" s="61"/>
      <c r="AB16" s="61" t="s">
        <v>303</v>
      </c>
      <c r="AC16" s="61" t="s">
        <v>331</v>
      </c>
      <c r="AD16" s="65">
        <v>1</v>
      </c>
      <c r="AE16" s="61" t="s">
        <v>356</v>
      </c>
      <c r="AF16" s="61"/>
      <c r="AG16" s="61" t="s">
        <v>298</v>
      </c>
      <c r="AH16" s="98" t="s">
        <v>305</v>
      </c>
      <c r="AI16" s="97" t="str">
        <f t="shared" si="0"/>
        <v/>
      </c>
      <c r="AJ16" s="61" t="s">
        <v>331</v>
      </c>
      <c r="AK16" s="65">
        <v>0</v>
      </c>
      <c r="AL16" s="61"/>
      <c r="AM16" s="61"/>
      <c r="AN16" s="65">
        <v>0</v>
      </c>
      <c r="AO16" s="61"/>
      <c r="AP16" s="61"/>
      <c r="AQ16" s="61" t="s">
        <v>328</v>
      </c>
      <c r="AR16" s="65">
        <v>1</v>
      </c>
      <c r="AS16" s="61" t="s">
        <v>357</v>
      </c>
      <c r="AT16" s="61"/>
      <c r="AU16" s="61" t="s">
        <v>294</v>
      </c>
      <c r="AV16" s="61" t="s">
        <v>287</v>
      </c>
      <c r="AW16" s="65">
        <v>0</v>
      </c>
      <c r="AX16" s="61"/>
      <c r="AY16" s="61"/>
      <c r="AZ16" s="61" t="s">
        <v>288</v>
      </c>
      <c r="BA16" s="98" t="s">
        <v>840</v>
      </c>
      <c r="BB16" s="97">
        <v>1</v>
      </c>
      <c r="BC16" s="61" t="s">
        <v>287</v>
      </c>
      <c r="BD16" s="65">
        <v>0</v>
      </c>
      <c r="BE16" s="61"/>
      <c r="BF16" s="61"/>
      <c r="BG16" s="65">
        <v>0</v>
      </c>
      <c r="BH16" s="61"/>
      <c r="BI16" s="61" t="s">
        <v>299</v>
      </c>
      <c r="BJ16" s="61"/>
      <c r="BK16" s="61"/>
      <c r="BL16" s="65">
        <v>0</v>
      </c>
      <c r="BM16" s="61"/>
      <c r="BN16" s="61"/>
      <c r="BO16" s="61"/>
      <c r="BP16" s="61"/>
      <c r="BQ16" s="65">
        <v>0</v>
      </c>
      <c r="BR16" s="61"/>
      <c r="BS16" s="61"/>
      <c r="BT16" s="65">
        <v>0</v>
      </c>
      <c r="BU16" s="61"/>
      <c r="BV16" s="61"/>
      <c r="BW16" s="65">
        <v>0</v>
      </c>
      <c r="BX16" s="61"/>
      <c r="BY16" s="61"/>
      <c r="BZ16" s="61"/>
      <c r="CA16" s="65">
        <v>0</v>
      </c>
      <c r="CB16" s="61"/>
      <c r="CC16" s="61"/>
      <c r="CD16" s="61"/>
      <c r="CE16" s="97"/>
      <c r="CG16" s="61"/>
      <c r="CH16" s="65">
        <v>0</v>
      </c>
      <c r="CI16" s="61"/>
      <c r="CJ16" s="61"/>
      <c r="CK16" s="65">
        <v>0</v>
      </c>
      <c r="CL16" s="61"/>
      <c r="CM16" s="61"/>
      <c r="CN16" s="65">
        <v>2</v>
      </c>
      <c r="CO16" s="61" t="s">
        <v>358</v>
      </c>
      <c r="CP16" s="61" t="s">
        <v>359</v>
      </c>
      <c r="CQ16" s="61" t="s">
        <v>303</v>
      </c>
      <c r="CR16" s="61" t="s">
        <v>297</v>
      </c>
      <c r="CS16" s="65">
        <v>0</v>
      </c>
      <c r="CT16" s="61"/>
      <c r="CU16" s="61"/>
      <c r="CV16" s="61" t="s">
        <v>305</v>
      </c>
      <c r="CW16" s="98" t="s">
        <v>298</v>
      </c>
      <c r="CY16" s="61" t="s">
        <v>339</v>
      </c>
      <c r="CZ16" s="65">
        <v>0</v>
      </c>
      <c r="DA16" s="61"/>
      <c r="DB16" s="61"/>
      <c r="DC16" s="65">
        <v>0</v>
      </c>
      <c r="DD16" s="61"/>
      <c r="DE16" s="61" t="s">
        <v>299</v>
      </c>
      <c r="DF16" s="65">
        <v>1</v>
      </c>
      <c r="DG16" s="61" t="s">
        <v>360</v>
      </c>
      <c r="DH16" s="61"/>
      <c r="DI16" s="61" t="s">
        <v>301</v>
      </c>
      <c r="DJ16" s="61" t="s">
        <v>339</v>
      </c>
      <c r="DK16" s="65">
        <v>0</v>
      </c>
      <c r="DL16" s="61"/>
      <c r="DM16" s="61"/>
      <c r="DN16" s="61" t="s">
        <v>324</v>
      </c>
      <c r="DO16" s="98" t="s">
        <v>324</v>
      </c>
      <c r="DP16" s="97">
        <f t="shared" si="4"/>
        <v>1</v>
      </c>
      <c r="DQ16" s="61" t="s">
        <v>287</v>
      </c>
      <c r="DR16" s="65">
        <v>0</v>
      </c>
      <c r="DS16" s="61"/>
      <c r="DT16" s="61"/>
      <c r="DU16" s="65">
        <v>1</v>
      </c>
      <c r="DV16" s="61" t="s">
        <v>361</v>
      </c>
      <c r="DW16" s="61" t="s">
        <v>299</v>
      </c>
      <c r="DX16" s="65">
        <v>1</v>
      </c>
      <c r="DY16" s="61" t="s">
        <v>362</v>
      </c>
      <c r="DZ16" s="61"/>
      <c r="EA16" s="61" t="s">
        <v>303</v>
      </c>
      <c r="EB16" s="61" t="s">
        <v>331</v>
      </c>
      <c r="EC16" s="65">
        <v>0</v>
      </c>
      <c r="ED16" s="61"/>
      <c r="EE16" s="61"/>
      <c r="EF16" s="61" t="s">
        <v>298</v>
      </c>
      <c r="EG16" s="98" t="s">
        <v>305</v>
      </c>
      <c r="EH16" s="97" t="str">
        <f t="shared" si="5"/>
        <v/>
      </c>
      <c r="EI16" s="61" t="s">
        <v>331</v>
      </c>
      <c r="EJ16" s="65">
        <v>0</v>
      </c>
      <c r="EK16" s="61"/>
      <c r="EL16" s="61"/>
      <c r="EM16" s="61"/>
      <c r="EN16" s="61"/>
      <c r="EO16" s="61" t="s">
        <v>299</v>
      </c>
      <c r="EP16" s="65">
        <v>0</v>
      </c>
      <c r="EQ16" s="61"/>
      <c r="ER16" s="61" t="s">
        <v>294</v>
      </c>
      <c r="ES16" s="61" t="s">
        <v>331</v>
      </c>
      <c r="ET16" s="65">
        <v>0</v>
      </c>
      <c r="EU16" s="61"/>
      <c r="EV16" s="61"/>
      <c r="EW16" s="61" t="s">
        <v>298</v>
      </c>
      <c r="EX16" s="98" t="s">
        <v>305</v>
      </c>
      <c r="EY16" s="97" t="str">
        <f t="shared" si="6"/>
        <v/>
      </c>
      <c r="EZ16" s="65">
        <v>0</v>
      </c>
      <c r="FA16" s="61"/>
      <c r="FB16" s="61"/>
      <c r="FC16" s="61"/>
      <c r="FD16" s="65">
        <v>0</v>
      </c>
      <c r="FE16" s="61"/>
      <c r="FF16" s="61" t="s">
        <v>299</v>
      </c>
      <c r="FG16" s="65">
        <v>0</v>
      </c>
      <c r="FH16" s="61"/>
      <c r="FI16" s="61"/>
      <c r="FJ16" s="61"/>
      <c r="FK16" s="61"/>
      <c r="FL16" s="61"/>
      <c r="FM16" s="61"/>
      <c r="FN16" s="61"/>
      <c r="FO16" s="61"/>
      <c r="FP16" s="65">
        <v>1</v>
      </c>
      <c r="FQ16" s="61" t="s">
        <v>363</v>
      </c>
      <c r="FR16" s="61"/>
      <c r="FS16" s="61"/>
      <c r="FT16" s="49"/>
      <c r="FU16" s="61" t="s">
        <v>317</v>
      </c>
      <c r="FV16" s="61" t="s">
        <v>364</v>
      </c>
      <c r="FW16" s="61"/>
      <c r="FX16" s="65">
        <v>-1</v>
      </c>
      <c r="FY16" s="65">
        <v>-1</v>
      </c>
      <c r="FZ16" s="65">
        <v>-1</v>
      </c>
      <c r="GA16" s="65">
        <v>-1</v>
      </c>
      <c r="GB16" s="65">
        <v>-1</v>
      </c>
      <c r="GC16" s="65">
        <v>-1</v>
      </c>
      <c r="GD16" s="65">
        <v>-1</v>
      </c>
      <c r="GE16" s="65">
        <v>-1</v>
      </c>
      <c r="GF16" s="65">
        <v>-1</v>
      </c>
      <c r="GG16" s="65">
        <v>-1</v>
      </c>
      <c r="GH16" s="65">
        <v>-1</v>
      </c>
      <c r="GI16" s="65">
        <v>-1</v>
      </c>
      <c r="GJ16" s="65">
        <v>-1</v>
      </c>
      <c r="GK16" s="65">
        <v>-1</v>
      </c>
      <c r="GL16" s="65">
        <v>-1</v>
      </c>
      <c r="GM16" s="65">
        <v>-15</v>
      </c>
      <c r="GN16" s="66"/>
      <c r="GO16" s="66"/>
      <c r="GP16" s="61"/>
      <c r="GQ16" s="61" t="s">
        <v>320</v>
      </c>
      <c r="GR16" s="61" t="s">
        <v>277</v>
      </c>
      <c r="GS16" s="65">
        <v>15</v>
      </c>
      <c r="GT16" s="65">
        <v>15</v>
      </c>
      <c r="GU16" s="65">
        <v>51</v>
      </c>
      <c r="GV16" s="65">
        <v>28</v>
      </c>
      <c r="GW16" s="67"/>
    </row>
    <row r="17" spans="1:205" s="40" customFormat="1" x14ac:dyDescent="0.25">
      <c r="A17" s="65">
        <v>131</v>
      </c>
      <c r="B17" s="61" t="s">
        <v>321</v>
      </c>
      <c r="C17" s="61">
        <v>22</v>
      </c>
      <c r="D17" s="61" t="s">
        <v>279</v>
      </c>
      <c r="E17" s="61" t="s">
        <v>348</v>
      </c>
      <c r="F17" s="61" t="s">
        <v>281</v>
      </c>
      <c r="G17" s="61" t="s">
        <v>281</v>
      </c>
      <c r="H17" s="61" t="s">
        <v>282</v>
      </c>
      <c r="I17" s="61" t="s">
        <v>282</v>
      </c>
      <c r="J17" s="61" t="s">
        <v>282</v>
      </c>
      <c r="K17" s="61" t="s">
        <v>281</v>
      </c>
      <c r="L17" s="61" t="s">
        <v>281</v>
      </c>
      <c r="M17" s="61" t="s">
        <v>281</v>
      </c>
      <c r="N17" s="61" t="s">
        <v>282</v>
      </c>
      <c r="O17" s="65">
        <v>0</v>
      </c>
      <c r="P17" s="61"/>
      <c r="Q17" s="61"/>
      <c r="R17" s="61" t="s">
        <v>355</v>
      </c>
      <c r="S17" s="61"/>
      <c r="T17" s="61"/>
      <c r="U17" s="61" t="s">
        <v>322</v>
      </c>
      <c r="V17" s="61"/>
      <c r="W17" s="61"/>
      <c r="X17" s="61" t="s">
        <v>316</v>
      </c>
      <c r="Y17" s="65">
        <v>1</v>
      </c>
      <c r="Z17" s="61" t="s">
        <v>365</v>
      </c>
      <c r="AA17" s="61"/>
      <c r="AB17" s="61" t="s">
        <v>294</v>
      </c>
      <c r="AC17" s="61" t="s">
        <v>302</v>
      </c>
      <c r="AD17" s="65">
        <v>0</v>
      </c>
      <c r="AE17" s="61"/>
      <c r="AF17" s="61"/>
      <c r="AG17" s="61" t="s">
        <v>298</v>
      </c>
      <c r="AH17" s="98" t="s">
        <v>305</v>
      </c>
      <c r="AI17" s="97" t="str">
        <f t="shared" si="0"/>
        <v/>
      </c>
      <c r="AJ17" s="61" t="s">
        <v>302</v>
      </c>
      <c r="AK17" s="65">
        <v>0</v>
      </c>
      <c r="AL17" s="61"/>
      <c r="AM17" s="61"/>
      <c r="AN17" s="65">
        <v>0</v>
      </c>
      <c r="AO17" s="61"/>
      <c r="AP17" s="61"/>
      <c r="AQ17" s="61" t="s">
        <v>366</v>
      </c>
      <c r="AR17" s="65">
        <v>1</v>
      </c>
      <c r="AS17" s="61" t="s">
        <v>367</v>
      </c>
      <c r="AT17" s="61"/>
      <c r="AU17" s="61" t="s">
        <v>301</v>
      </c>
      <c r="AV17" s="61" t="s">
        <v>287</v>
      </c>
      <c r="AW17" s="65">
        <v>0</v>
      </c>
      <c r="AX17" s="61"/>
      <c r="AY17" s="61"/>
      <c r="AZ17" s="61" t="s">
        <v>324</v>
      </c>
      <c r="BA17" s="98" t="s">
        <v>324</v>
      </c>
      <c r="BB17" s="97">
        <f t="shared" si="1"/>
        <v>1</v>
      </c>
      <c r="BC17" s="61" t="s">
        <v>297</v>
      </c>
      <c r="BD17" s="65">
        <v>0</v>
      </c>
      <c r="BE17" s="61"/>
      <c r="BF17" s="61"/>
      <c r="BG17" s="65">
        <v>1</v>
      </c>
      <c r="BH17" s="61" t="s">
        <v>368</v>
      </c>
      <c r="BI17" s="61" t="s">
        <v>296</v>
      </c>
      <c r="BJ17" s="61"/>
      <c r="BK17" s="61"/>
      <c r="BL17" s="65">
        <v>0</v>
      </c>
      <c r="BM17" s="61"/>
      <c r="BN17" s="61"/>
      <c r="BO17" s="61"/>
      <c r="BP17" s="61"/>
      <c r="BQ17" s="65">
        <v>0</v>
      </c>
      <c r="BR17" s="61"/>
      <c r="BS17" s="61"/>
      <c r="BT17" s="65">
        <v>0</v>
      </c>
      <c r="BU17" s="61"/>
      <c r="BV17" s="61"/>
      <c r="BW17" s="65">
        <v>1</v>
      </c>
      <c r="BX17" s="61" t="s">
        <v>369</v>
      </c>
      <c r="BY17" s="61" t="s">
        <v>301</v>
      </c>
      <c r="BZ17" s="61" t="s">
        <v>297</v>
      </c>
      <c r="CA17" s="65">
        <v>0</v>
      </c>
      <c r="CB17" s="61"/>
      <c r="CC17" s="61"/>
      <c r="CD17" s="61" t="s">
        <v>288</v>
      </c>
      <c r="CE17" s="97" t="s">
        <v>288</v>
      </c>
      <c r="CF17" s="97">
        <f t="shared" si="2"/>
        <v>1</v>
      </c>
      <c r="CG17" s="61" t="s">
        <v>297</v>
      </c>
      <c r="CH17" s="65">
        <v>0</v>
      </c>
      <c r="CI17" s="61"/>
      <c r="CJ17" s="61"/>
      <c r="CK17" s="65">
        <v>0</v>
      </c>
      <c r="CL17" s="61"/>
      <c r="CM17" s="61" t="s">
        <v>328</v>
      </c>
      <c r="CN17" s="65">
        <v>1</v>
      </c>
      <c r="CO17" s="61" t="s">
        <v>370</v>
      </c>
      <c r="CP17" s="61"/>
      <c r="CQ17" s="61" t="s">
        <v>301</v>
      </c>
      <c r="CR17" s="61" t="s">
        <v>302</v>
      </c>
      <c r="CS17" s="65">
        <v>0</v>
      </c>
      <c r="CT17" s="61"/>
      <c r="CU17" s="61"/>
      <c r="CV17" s="61" t="s">
        <v>305</v>
      </c>
      <c r="CW17" s="98" t="s">
        <v>305</v>
      </c>
      <c r="CX17" s="97">
        <f t="shared" si="3"/>
        <v>1</v>
      </c>
      <c r="CY17" s="61" t="s">
        <v>302</v>
      </c>
      <c r="CZ17" s="65">
        <v>0</v>
      </c>
      <c r="DA17" s="61"/>
      <c r="DB17" s="61"/>
      <c r="DC17" s="65">
        <v>0</v>
      </c>
      <c r="DD17" s="61"/>
      <c r="DE17" s="61" t="s">
        <v>328</v>
      </c>
      <c r="DF17" s="65">
        <v>2</v>
      </c>
      <c r="DG17" s="61" t="s">
        <v>371</v>
      </c>
      <c r="DH17" s="61" t="s">
        <v>372</v>
      </c>
      <c r="DI17" s="61" t="s">
        <v>294</v>
      </c>
      <c r="DJ17" s="61" t="s">
        <v>302</v>
      </c>
      <c r="DK17" s="65">
        <v>0</v>
      </c>
      <c r="DL17" s="61"/>
      <c r="DM17" s="61"/>
      <c r="DN17" s="61" t="s">
        <v>298</v>
      </c>
      <c r="DO17" s="98" t="s">
        <v>298</v>
      </c>
      <c r="DP17" s="97">
        <f t="shared" si="4"/>
        <v>1</v>
      </c>
      <c r="DQ17" s="61" t="s">
        <v>297</v>
      </c>
      <c r="DR17" s="65">
        <v>0</v>
      </c>
      <c r="DS17" s="61"/>
      <c r="DT17" s="61"/>
      <c r="DU17" s="65">
        <v>0</v>
      </c>
      <c r="DV17" s="61"/>
      <c r="DW17" s="61" t="s">
        <v>296</v>
      </c>
      <c r="DX17" s="65">
        <v>1</v>
      </c>
      <c r="DY17" s="61" t="s">
        <v>373</v>
      </c>
      <c r="DZ17" s="61"/>
      <c r="EA17" s="61" t="s">
        <v>294</v>
      </c>
      <c r="EB17" s="61" t="s">
        <v>331</v>
      </c>
      <c r="EC17" s="65">
        <v>0</v>
      </c>
      <c r="ED17" s="61"/>
      <c r="EE17" s="61"/>
      <c r="EF17" s="61" t="s">
        <v>298</v>
      </c>
      <c r="EG17" s="98" t="s">
        <v>298</v>
      </c>
      <c r="EH17" s="97">
        <f t="shared" si="5"/>
        <v>1</v>
      </c>
      <c r="EI17" s="61" t="s">
        <v>331</v>
      </c>
      <c r="EJ17" s="65">
        <v>0</v>
      </c>
      <c r="EK17" s="61"/>
      <c r="EL17" s="61"/>
      <c r="EM17" s="61"/>
      <c r="EN17" s="61"/>
      <c r="EO17" s="61" t="s">
        <v>296</v>
      </c>
      <c r="EP17" s="65">
        <v>1</v>
      </c>
      <c r="EQ17" s="61" t="s">
        <v>374</v>
      </c>
      <c r="ER17" s="61" t="s">
        <v>294</v>
      </c>
      <c r="ES17" s="61" t="s">
        <v>331</v>
      </c>
      <c r="ET17" s="65">
        <v>1</v>
      </c>
      <c r="EU17" s="61" t="s">
        <v>302</v>
      </c>
      <c r="EV17" s="61"/>
      <c r="EW17" s="61" t="s">
        <v>305</v>
      </c>
      <c r="EX17" s="98" t="s">
        <v>305</v>
      </c>
      <c r="EY17" s="97">
        <f t="shared" si="6"/>
        <v>1</v>
      </c>
      <c r="EZ17" s="65">
        <v>0</v>
      </c>
      <c r="FA17" s="61"/>
      <c r="FB17" s="61"/>
      <c r="FC17" s="61"/>
      <c r="FD17" s="65">
        <v>0</v>
      </c>
      <c r="FE17" s="61"/>
      <c r="FF17" s="61" t="s">
        <v>296</v>
      </c>
      <c r="FG17" s="65">
        <v>0</v>
      </c>
      <c r="FH17" s="61"/>
      <c r="FI17" s="61"/>
      <c r="FJ17" s="61"/>
      <c r="FK17" s="61"/>
      <c r="FL17" s="61"/>
      <c r="FM17" s="61"/>
      <c r="FN17" s="61"/>
      <c r="FO17" s="61"/>
      <c r="FP17" s="65">
        <v>0</v>
      </c>
      <c r="FQ17" s="61"/>
      <c r="FR17" s="61"/>
      <c r="FS17" s="61"/>
      <c r="FT17" s="49"/>
      <c r="FU17" s="61" t="s">
        <v>335</v>
      </c>
      <c r="FV17" s="61" t="s">
        <v>375</v>
      </c>
      <c r="FW17" s="61"/>
      <c r="FX17" s="65">
        <v>-1</v>
      </c>
      <c r="FY17" s="65">
        <v>-1</v>
      </c>
      <c r="FZ17" s="65">
        <v>-1</v>
      </c>
      <c r="GA17" s="65">
        <v>-1</v>
      </c>
      <c r="GB17" s="65">
        <v>-1</v>
      </c>
      <c r="GC17" s="65">
        <v>-1</v>
      </c>
      <c r="GD17" s="65">
        <v>-1</v>
      </c>
      <c r="GE17" s="65">
        <v>-1</v>
      </c>
      <c r="GF17" s="65">
        <v>-1</v>
      </c>
      <c r="GG17" s="65">
        <v>-1</v>
      </c>
      <c r="GH17" s="65">
        <v>-1</v>
      </c>
      <c r="GI17" s="65">
        <v>-1</v>
      </c>
      <c r="GJ17" s="65">
        <v>-1</v>
      </c>
      <c r="GK17" s="65">
        <v>-1</v>
      </c>
      <c r="GL17" s="65">
        <v>-1</v>
      </c>
      <c r="GM17" s="65">
        <v>-15</v>
      </c>
      <c r="GN17" s="66"/>
      <c r="GO17" s="66"/>
      <c r="GP17" s="61" t="s">
        <v>319</v>
      </c>
      <c r="GQ17" s="61" t="s">
        <v>320</v>
      </c>
      <c r="GR17" s="61" t="s">
        <v>277</v>
      </c>
      <c r="GS17" s="65">
        <v>15</v>
      </c>
      <c r="GT17" s="65">
        <v>15</v>
      </c>
      <c r="GU17" s="65">
        <v>41</v>
      </c>
      <c r="GV17" s="65">
        <v>16</v>
      </c>
      <c r="GW17" s="67"/>
    </row>
    <row r="18" spans="1:205" s="40" customFormat="1" x14ac:dyDescent="0.25">
      <c r="A18" s="65">
        <v>137</v>
      </c>
      <c r="B18" s="61" t="s">
        <v>321</v>
      </c>
      <c r="C18" s="61">
        <v>22</v>
      </c>
      <c r="D18" s="61" t="s">
        <v>279</v>
      </c>
      <c r="E18" s="61" t="s">
        <v>280</v>
      </c>
      <c r="F18" s="61" t="s">
        <v>281</v>
      </c>
      <c r="G18" s="61" t="s">
        <v>281</v>
      </c>
      <c r="H18" s="61" t="s">
        <v>282</v>
      </c>
      <c r="I18" s="61" t="s">
        <v>282</v>
      </c>
      <c r="J18" s="61" t="s">
        <v>282</v>
      </c>
      <c r="K18" s="61" t="s">
        <v>281</v>
      </c>
      <c r="L18" s="61" t="s">
        <v>281</v>
      </c>
      <c r="M18" s="61" t="s">
        <v>282</v>
      </c>
      <c r="N18" s="61" t="s">
        <v>282</v>
      </c>
      <c r="O18" s="65">
        <v>0</v>
      </c>
      <c r="P18" s="61"/>
      <c r="Q18" s="61"/>
      <c r="R18" s="61" t="s">
        <v>355</v>
      </c>
      <c r="S18" s="61"/>
      <c r="T18" s="61"/>
      <c r="U18" s="61" t="s">
        <v>284</v>
      </c>
      <c r="V18" s="61"/>
      <c r="W18" s="61"/>
      <c r="X18" s="61" t="s">
        <v>393</v>
      </c>
      <c r="Y18" s="65">
        <v>1</v>
      </c>
      <c r="Z18" s="61" t="s">
        <v>386</v>
      </c>
      <c r="AA18" s="61"/>
      <c r="AB18" s="61" t="s">
        <v>294</v>
      </c>
      <c r="AC18" s="61" t="s">
        <v>287</v>
      </c>
      <c r="AD18" s="65">
        <v>1</v>
      </c>
      <c r="AE18" s="61" t="s">
        <v>297</v>
      </c>
      <c r="AF18" s="61"/>
      <c r="AG18" s="61" t="s">
        <v>324</v>
      </c>
      <c r="AH18" s="98" t="s">
        <v>305</v>
      </c>
      <c r="AI18" s="97" t="str">
        <f t="shared" si="0"/>
        <v/>
      </c>
      <c r="AJ18" s="61" t="s">
        <v>302</v>
      </c>
      <c r="AK18" s="65">
        <v>1</v>
      </c>
      <c r="AL18" s="61" t="s">
        <v>387</v>
      </c>
      <c r="AM18" s="61"/>
      <c r="AN18" s="65">
        <v>1</v>
      </c>
      <c r="AO18" s="61" t="s">
        <v>388</v>
      </c>
      <c r="AP18" s="61"/>
      <c r="AQ18" s="61" t="s">
        <v>328</v>
      </c>
      <c r="AR18" s="65">
        <v>1</v>
      </c>
      <c r="AS18" s="61" t="s">
        <v>386</v>
      </c>
      <c r="AT18" s="61"/>
      <c r="AU18" s="61" t="s">
        <v>294</v>
      </c>
      <c r="AV18" s="61" t="s">
        <v>287</v>
      </c>
      <c r="AW18" s="65">
        <v>1</v>
      </c>
      <c r="AX18" s="61" t="s">
        <v>297</v>
      </c>
      <c r="AY18" s="61"/>
      <c r="AZ18" s="61" t="s">
        <v>324</v>
      </c>
      <c r="BA18" s="98" t="s">
        <v>840</v>
      </c>
      <c r="BB18" s="97">
        <v>1</v>
      </c>
      <c r="BC18" s="61" t="s">
        <v>302</v>
      </c>
      <c r="BD18" s="65">
        <v>1</v>
      </c>
      <c r="BE18" s="61" t="s">
        <v>387</v>
      </c>
      <c r="BF18" s="61"/>
      <c r="BG18" s="65">
        <v>1</v>
      </c>
      <c r="BH18" s="61" t="s">
        <v>389</v>
      </c>
      <c r="BI18" s="61" t="s">
        <v>328</v>
      </c>
      <c r="BJ18" s="61"/>
      <c r="BK18" s="61"/>
      <c r="BL18" s="65">
        <v>0</v>
      </c>
      <c r="BM18" s="61"/>
      <c r="BN18" s="61"/>
      <c r="BO18" s="61"/>
      <c r="BP18" s="61"/>
      <c r="BQ18" s="65">
        <v>0</v>
      </c>
      <c r="BR18" s="61"/>
      <c r="BS18" s="61"/>
      <c r="BT18" s="65">
        <v>0</v>
      </c>
      <c r="BU18" s="61"/>
      <c r="BV18" s="61"/>
      <c r="BW18" s="65">
        <v>0</v>
      </c>
      <c r="BX18" s="61"/>
      <c r="BY18" s="61"/>
      <c r="BZ18" s="61"/>
      <c r="CA18" s="65">
        <v>0</v>
      </c>
      <c r="CB18" s="61"/>
      <c r="CC18" s="61"/>
      <c r="CD18" s="61"/>
      <c r="CE18" s="97"/>
      <c r="CF18" s="97"/>
      <c r="CG18" s="61"/>
      <c r="CH18" s="65">
        <v>0</v>
      </c>
      <c r="CI18" s="61"/>
      <c r="CJ18" s="61"/>
      <c r="CK18" s="65">
        <v>0</v>
      </c>
      <c r="CL18" s="61"/>
      <c r="CM18" s="61"/>
      <c r="CN18" s="65">
        <v>0</v>
      </c>
      <c r="CO18" s="61"/>
      <c r="CP18" s="61"/>
      <c r="CQ18" s="61"/>
      <c r="CR18" s="61"/>
      <c r="CS18" s="65">
        <v>0</v>
      </c>
      <c r="CT18" s="61"/>
      <c r="CU18" s="61"/>
      <c r="CV18" s="61"/>
      <c r="CW18" s="98"/>
      <c r="CX18" s="97"/>
      <c r="CY18" s="61"/>
      <c r="CZ18" s="65">
        <v>0</v>
      </c>
      <c r="DA18" s="61"/>
      <c r="DB18" s="61"/>
      <c r="DC18" s="65">
        <v>0</v>
      </c>
      <c r="DD18" s="61"/>
      <c r="DE18" s="61"/>
      <c r="DF18" s="65">
        <v>0</v>
      </c>
      <c r="DG18" s="61"/>
      <c r="DH18" s="61"/>
      <c r="DI18" s="61"/>
      <c r="DJ18" s="61"/>
      <c r="DK18" s="65">
        <v>0</v>
      </c>
      <c r="DL18" s="61"/>
      <c r="DM18" s="61"/>
      <c r="DN18" s="61"/>
      <c r="DO18" s="98"/>
      <c r="DP18" s="97"/>
      <c r="DQ18" s="61"/>
      <c r="DR18" s="65">
        <v>0</v>
      </c>
      <c r="DS18" s="61"/>
      <c r="DT18" s="61"/>
      <c r="DU18" s="65">
        <v>0</v>
      </c>
      <c r="DV18" s="61"/>
      <c r="DW18" s="61"/>
      <c r="DX18" s="65">
        <v>0</v>
      </c>
      <c r="DY18" s="61"/>
      <c r="DZ18" s="61"/>
      <c r="EA18" s="61"/>
      <c r="EB18" s="61"/>
      <c r="EC18" s="65">
        <v>0</v>
      </c>
      <c r="ED18" s="61"/>
      <c r="EE18" s="61"/>
      <c r="EF18" s="61"/>
      <c r="EG18" s="98"/>
      <c r="EH18" s="97"/>
      <c r="EI18" s="61"/>
      <c r="EJ18" s="65">
        <v>0</v>
      </c>
      <c r="EK18" s="61"/>
      <c r="EL18" s="61"/>
      <c r="EM18" s="61"/>
      <c r="EN18" s="61"/>
      <c r="EO18" s="61"/>
      <c r="EP18" s="65">
        <v>0</v>
      </c>
      <c r="EQ18" s="61"/>
      <c r="ER18" s="61"/>
      <c r="ES18" s="61"/>
      <c r="ET18" s="65">
        <v>0</v>
      </c>
      <c r="EU18" s="61"/>
      <c r="EV18" s="61"/>
      <c r="EW18" s="61"/>
      <c r="EX18" s="98"/>
      <c r="EY18" s="97"/>
      <c r="EZ18" s="65">
        <v>0</v>
      </c>
      <c r="FA18" s="61"/>
      <c r="FB18" s="61"/>
      <c r="FC18" s="61"/>
      <c r="FD18" s="65">
        <v>0</v>
      </c>
      <c r="FE18" s="61"/>
      <c r="FF18" s="61"/>
      <c r="FG18" s="65">
        <v>3</v>
      </c>
      <c r="FH18" s="61" t="s">
        <v>390</v>
      </c>
      <c r="FI18" s="61" t="s">
        <v>391</v>
      </c>
      <c r="FJ18" s="61" t="s">
        <v>329</v>
      </c>
      <c r="FK18" s="61"/>
      <c r="FL18" s="61"/>
      <c r="FM18" s="61"/>
      <c r="FN18" s="61"/>
      <c r="FO18" s="61"/>
      <c r="FP18" s="65">
        <v>1</v>
      </c>
      <c r="FQ18" s="61" t="s">
        <v>392</v>
      </c>
      <c r="FR18" s="61"/>
      <c r="FS18" s="61"/>
      <c r="FT18" s="49"/>
      <c r="FU18" s="61" t="s">
        <v>351</v>
      </c>
      <c r="FV18" s="61"/>
      <c r="FW18" s="61"/>
      <c r="FX18" s="65">
        <v>-1</v>
      </c>
      <c r="FY18" s="65">
        <v>-1</v>
      </c>
      <c r="FZ18" s="65">
        <v>-1</v>
      </c>
      <c r="GA18" s="65">
        <v>-1</v>
      </c>
      <c r="GB18" s="65">
        <v>-1</v>
      </c>
      <c r="GC18" s="65">
        <v>-1</v>
      </c>
      <c r="GD18" s="65">
        <v>-1</v>
      </c>
      <c r="GE18" s="65">
        <v>-1</v>
      </c>
      <c r="GF18" s="65">
        <v>-1</v>
      </c>
      <c r="GG18" s="65">
        <v>-1</v>
      </c>
      <c r="GH18" s="65">
        <v>-1</v>
      </c>
      <c r="GI18" s="65">
        <v>-1</v>
      </c>
      <c r="GJ18" s="65">
        <v>-1</v>
      </c>
      <c r="GK18" s="65">
        <v>-1</v>
      </c>
      <c r="GL18" s="65">
        <v>-1</v>
      </c>
      <c r="GM18" s="65">
        <v>-15</v>
      </c>
      <c r="GN18" s="66"/>
      <c r="GO18" s="66"/>
      <c r="GP18" s="61"/>
      <c r="GQ18" s="61" t="s">
        <v>320</v>
      </c>
      <c r="GR18" s="61" t="s">
        <v>277</v>
      </c>
      <c r="GS18" s="65">
        <v>15</v>
      </c>
      <c r="GT18" s="65">
        <v>15</v>
      </c>
      <c r="GU18" s="65">
        <v>70</v>
      </c>
      <c r="GV18" s="65">
        <v>62</v>
      </c>
      <c r="GW18" s="67"/>
    </row>
    <row r="19" spans="1:205" s="40" customFormat="1" x14ac:dyDescent="0.25">
      <c r="A19" s="1">
        <v>138</v>
      </c>
      <c r="B19" s="19" t="s">
        <v>321</v>
      </c>
      <c r="C19" s="19">
        <v>22</v>
      </c>
      <c r="D19" s="2" t="s">
        <v>279</v>
      </c>
      <c r="E19" s="2" t="s">
        <v>320</v>
      </c>
      <c r="F19" s="2" t="s">
        <v>282</v>
      </c>
      <c r="G19" s="2" t="s">
        <v>282</v>
      </c>
      <c r="H19" s="2" t="s">
        <v>282</v>
      </c>
      <c r="I19" s="2" t="s">
        <v>282</v>
      </c>
      <c r="J19" s="2" t="s">
        <v>281</v>
      </c>
      <c r="K19" s="2" t="s">
        <v>282</v>
      </c>
      <c r="L19" s="2" t="s">
        <v>282</v>
      </c>
      <c r="M19" s="2" t="s">
        <v>282</v>
      </c>
      <c r="N19" s="2" t="s">
        <v>282</v>
      </c>
      <c r="O19" s="1">
        <v>0</v>
      </c>
      <c r="P19" s="2"/>
      <c r="Q19" s="2"/>
      <c r="R19" s="2" t="s">
        <v>355</v>
      </c>
      <c r="S19" s="2"/>
      <c r="T19" s="2"/>
      <c r="U19" s="2" t="s">
        <v>394</v>
      </c>
      <c r="V19" s="2"/>
      <c r="W19" s="2"/>
      <c r="X19" s="2" t="s">
        <v>346</v>
      </c>
      <c r="Y19" s="1">
        <v>0</v>
      </c>
      <c r="Z19" s="2"/>
      <c r="AA19" s="2"/>
      <c r="AB19" s="2" t="s">
        <v>303</v>
      </c>
      <c r="AC19" s="2" t="s">
        <v>302</v>
      </c>
      <c r="AD19" s="1">
        <v>0</v>
      </c>
      <c r="AE19" s="2"/>
      <c r="AF19" s="2"/>
      <c r="AG19" s="2" t="s">
        <v>298</v>
      </c>
      <c r="AH19" s="98" t="s">
        <v>305</v>
      </c>
      <c r="AI19" s="97" t="str">
        <f t="shared" si="0"/>
        <v/>
      </c>
      <c r="AJ19" s="2" t="s">
        <v>302</v>
      </c>
      <c r="AK19" s="1">
        <v>0</v>
      </c>
      <c r="AL19" s="2"/>
      <c r="AM19" s="2"/>
      <c r="AN19" s="1">
        <v>0</v>
      </c>
      <c r="AO19" s="2"/>
      <c r="AP19" s="2"/>
      <c r="AQ19" s="2" t="s">
        <v>299</v>
      </c>
      <c r="AR19" s="1"/>
      <c r="AS19" s="2"/>
      <c r="AT19" s="2"/>
      <c r="AU19" s="2"/>
      <c r="AV19" s="2"/>
      <c r="AW19" s="1"/>
      <c r="AX19" s="2"/>
      <c r="AY19" s="2"/>
      <c r="AZ19" s="2"/>
      <c r="BA19" s="98"/>
      <c r="BB19" s="97"/>
      <c r="BC19" s="2"/>
      <c r="BD19" s="1"/>
      <c r="BE19" s="2"/>
      <c r="BF19" s="2"/>
      <c r="BG19" s="1"/>
      <c r="BH19" s="2"/>
      <c r="BI19" s="2"/>
      <c r="BJ19" s="2"/>
      <c r="BK19" s="2"/>
      <c r="BL19" s="1"/>
      <c r="BM19" s="2"/>
      <c r="BN19" s="2"/>
      <c r="BO19" s="2"/>
      <c r="BP19" s="2"/>
      <c r="BQ19" s="1"/>
      <c r="BR19" s="2"/>
      <c r="BS19" s="2"/>
      <c r="BT19" s="1"/>
      <c r="BU19" s="2"/>
      <c r="BV19" s="2"/>
      <c r="BW19" s="1"/>
      <c r="BX19" s="2"/>
      <c r="BY19" s="2"/>
      <c r="BZ19" s="2"/>
      <c r="CA19" s="1"/>
      <c r="CB19" s="2"/>
      <c r="CC19" s="2"/>
      <c r="CD19" s="2"/>
      <c r="CE19" s="97"/>
      <c r="CF19" s="97"/>
      <c r="CG19" s="2"/>
      <c r="CH19" s="1"/>
      <c r="CI19" s="2"/>
      <c r="CJ19" s="2"/>
      <c r="CK19" s="1"/>
      <c r="CL19" s="2"/>
      <c r="CM19" s="2"/>
      <c r="CN19" s="1"/>
      <c r="CO19" s="2"/>
      <c r="CP19" s="2"/>
      <c r="CQ19" s="2"/>
      <c r="CR19" s="2"/>
      <c r="CS19" s="1"/>
      <c r="CT19" s="2"/>
      <c r="CU19" s="2"/>
      <c r="CV19" s="2"/>
      <c r="CW19" s="98"/>
      <c r="CX19" s="97"/>
      <c r="CY19" s="2"/>
      <c r="CZ19" s="1"/>
      <c r="DA19" s="2"/>
      <c r="DB19" s="2"/>
      <c r="DC19" s="1"/>
      <c r="DD19" s="2"/>
      <c r="DE19" s="2"/>
      <c r="DF19" s="1"/>
      <c r="DG19" s="2"/>
      <c r="DH19" s="2"/>
      <c r="DI19" s="2"/>
      <c r="DJ19" s="2"/>
      <c r="DK19" s="1"/>
      <c r="DL19" s="2"/>
      <c r="DM19" s="2"/>
      <c r="DN19" s="2"/>
      <c r="DO19" s="98"/>
      <c r="DP19" s="97"/>
      <c r="DQ19" s="2"/>
      <c r="DR19" s="1"/>
      <c r="DS19" s="2"/>
      <c r="DT19" s="2"/>
      <c r="DU19" s="1"/>
      <c r="DV19" s="2"/>
      <c r="DW19" s="2"/>
      <c r="DX19" s="1"/>
      <c r="DY19" s="2"/>
      <c r="DZ19" s="2"/>
      <c r="EA19" s="2"/>
      <c r="EB19" s="2"/>
      <c r="EC19" s="1"/>
      <c r="ED19" s="2"/>
      <c r="EE19" s="2"/>
      <c r="EF19" s="2"/>
      <c r="EG19" s="98"/>
      <c r="EH19" s="97"/>
      <c r="EI19" s="2"/>
      <c r="EJ19" s="1"/>
      <c r="EK19" s="2"/>
      <c r="EL19" s="2"/>
      <c r="EM19" s="2"/>
      <c r="EN19" s="2"/>
      <c r="EO19" s="2"/>
      <c r="EP19" s="1"/>
      <c r="EQ19" s="2"/>
      <c r="ER19" s="2"/>
      <c r="ES19" s="2"/>
      <c r="ET19" s="1"/>
      <c r="EU19" s="2"/>
      <c r="EV19" s="2"/>
      <c r="EW19" s="2"/>
      <c r="EX19" s="98"/>
      <c r="EY19" s="97"/>
      <c r="EZ19" s="1"/>
      <c r="FA19" s="2"/>
      <c r="FB19" s="2"/>
      <c r="FC19" s="2"/>
      <c r="FD19" s="1"/>
      <c r="FE19" s="2"/>
      <c r="FF19" s="2"/>
      <c r="FG19" s="1"/>
      <c r="FH19" s="2"/>
      <c r="FI19" s="2"/>
      <c r="FJ19" s="2"/>
      <c r="FK19" s="2"/>
      <c r="FL19" s="2"/>
      <c r="FM19" s="2"/>
      <c r="FN19" s="2"/>
      <c r="FO19" s="2"/>
      <c r="FP19" s="1"/>
      <c r="FQ19" s="2"/>
      <c r="FR19" s="2"/>
      <c r="FS19" s="2"/>
      <c r="FT19"/>
      <c r="FU19" s="2"/>
      <c r="FV19" s="2"/>
      <c r="FW19" s="2"/>
      <c r="FX19" s="1">
        <v>-1</v>
      </c>
      <c r="FY19" s="1">
        <v>-1</v>
      </c>
      <c r="FZ19" s="1">
        <v>-1</v>
      </c>
      <c r="GA19" s="1">
        <v>-1</v>
      </c>
      <c r="GB19" s="1">
        <v>-1</v>
      </c>
      <c r="GC19" s="1">
        <v>-1</v>
      </c>
      <c r="GD19" s="1">
        <v>-1</v>
      </c>
      <c r="GE19" s="1"/>
      <c r="GF19" s="1"/>
      <c r="GG19" s="1"/>
      <c r="GH19" s="1"/>
      <c r="GI19" s="1"/>
      <c r="GJ19" s="1"/>
      <c r="GK19" s="1"/>
      <c r="GL19" s="1"/>
      <c r="GM19" s="1">
        <v>-7</v>
      </c>
      <c r="GN19" s="3"/>
      <c r="GO19" s="3"/>
      <c r="GP19" s="2"/>
      <c r="GQ19" s="2" t="s">
        <v>277</v>
      </c>
      <c r="GR19" s="2" t="s">
        <v>277</v>
      </c>
      <c r="GS19" s="1">
        <v>7</v>
      </c>
      <c r="GT19" s="1">
        <v>7</v>
      </c>
      <c r="GU19" s="1">
        <v>35</v>
      </c>
      <c r="GV19" s="1">
        <v>11</v>
      </c>
      <c r="GW19" s="4"/>
    </row>
    <row r="20" spans="1:205" s="40" customFormat="1" x14ac:dyDescent="0.25">
      <c r="A20" s="65">
        <v>161</v>
      </c>
      <c r="B20" s="61" t="s">
        <v>321</v>
      </c>
      <c r="C20" s="61">
        <v>22</v>
      </c>
      <c r="D20" s="61" t="s">
        <v>353</v>
      </c>
      <c r="E20" s="61" t="s">
        <v>377</v>
      </c>
      <c r="F20" s="61" t="s">
        <v>281</v>
      </c>
      <c r="G20" s="61" t="s">
        <v>281</v>
      </c>
      <c r="H20" s="61" t="s">
        <v>282</v>
      </c>
      <c r="I20" s="61" t="s">
        <v>282</v>
      </c>
      <c r="J20" s="61" t="s">
        <v>282</v>
      </c>
      <c r="K20" s="61" t="s">
        <v>281</v>
      </c>
      <c r="L20" s="61" t="s">
        <v>282</v>
      </c>
      <c r="M20" s="61" t="s">
        <v>282</v>
      </c>
      <c r="N20" s="61" t="s">
        <v>282</v>
      </c>
      <c r="O20" s="65">
        <v>0</v>
      </c>
      <c r="P20" s="61"/>
      <c r="Q20" s="61"/>
      <c r="R20" s="61" t="s">
        <v>355</v>
      </c>
      <c r="S20" s="61"/>
      <c r="T20" s="61"/>
      <c r="U20" s="61" t="s">
        <v>322</v>
      </c>
      <c r="V20" s="61"/>
      <c r="W20" s="61"/>
      <c r="X20" s="61" t="s">
        <v>346</v>
      </c>
      <c r="Y20" s="65">
        <v>0</v>
      </c>
      <c r="Z20" s="61"/>
      <c r="AA20" s="61"/>
      <c r="AB20" s="61"/>
      <c r="AC20" s="61"/>
      <c r="AD20" s="65">
        <v>0</v>
      </c>
      <c r="AE20" s="61"/>
      <c r="AF20" s="61"/>
      <c r="AG20" s="61"/>
      <c r="AH20" s="98" t="s">
        <v>305</v>
      </c>
      <c r="AI20" s="97" t="str">
        <f t="shared" si="0"/>
        <v/>
      </c>
      <c r="AJ20" s="61"/>
      <c r="AK20" s="65">
        <v>0</v>
      </c>
      <c r="AL20" s="61"/>
      <c r="AM20" s="61"/>
      <c r="AN20" s="65">
        <v>0</v>
      </c>
      <c r="AO20" s="61"/>
      <c r="AP20" s="61"/>
      <c r="AQ20" s="61"/>
      <c r="AR20" s="65"/>
      <c r="AS20" s="61"/>
      <c r="AT20" s="61"/>
      <c r="AU20" s="61"/>
      <c r="AV20" s="61"/>
      <c r="AW20" s="65"/>
      <c r="AX20" s="61"/>
      <c r="AY20" s="61"/>
      <c r="AZ20" s="61"/>
      <c r="BA20" s="98"/>
      <c r="BB20" s="97"/>
      <c r="BC20" s="61"/>
      <c r="BD20" s="65"/>
      <c r="BE20" s="61"/>
      <c r="BF20" s="61"/>
      <c r="BG20" s="65"/>
      <c r="BH20" s="61"/>
      <c r="BI20" s="61"/>
      <c r="BJ20" s="61"/>
      <c r="BK20" s="61"/>
      <c r="BL20" s="65"/>
      <c r="BM20" s="61"/>
      <c r="BN20" s="61"/>
      <c r="BO20" s="61"/>
      <c r="BP20" s="61"/>
      <c r="BQ20" s="65"/>
      <c r="BR20" s="61"/>
      <c r="BS20" s="61"/>
      <c r="BT20" s="65"/>
      <c r="BU20" s="61"/>
      <c r="BV20" s="61"/>
      <c r="BW20" s="65"/>
      <c r="BX20" s="61"/>
      <c r="BY20" s="61"/>
      <c r="BZ20" s="61"/>
      <c r="CA20" s="65"/>
      <c r="CB20" s="61"/>
      <c r="CC20" s="61"/>
      <c r="CD20" s="61"/>
      <c r="CE20" s="97"/>
      <c r="CF20" s="97"/>
      <c r="CG20" s="61"/>
      <c r="CH20" s="65"/>
      <c r="CI20" s="61"/>
      <c r="CJ20" s="61"/>
      <c r="CK20" s="65"/>
      <c r="CL20" s="61"/>
      <c r="CM20" s="61"/>
      <c r="CN20" s="65"/>
      <c r="CO20" s="61"/>
      <c r="CP20" s="61"/>
      <c r="CQ20" s="61"/>
      <c r="CR20" s="61"/>
      <c r="CS20" s="65"/>
      <c r="CT20" s="61"/>
      <c r="CU20" s="61"/>
      <c r="CV20" s="61"/>
      <c r="CW20" s="98"/>
      <c r="CX20" s="97"/>
      <c r="CY20" s="61"/>
      <c r="CZ20" s="65"/>
      <c r="DA20" s="61"/>
      <c r="DB20" s="61"/>
      <c r="DC20" s="65"/>
      <c r="DD20" s="61"/>
      <c r="DE20" s="61"/>
      <c r="DF20" s="65"/>
      <c r="DG20" s="61"/>
      <c r="DH20" s="61"/>
      <c r="DI20" s="61"/>
      <c r="DJ20" s="61"/>
      <c r="DK20" s="65"/>
      <c r="DL20" s="61"/>
      <c r="DM20" s="61"/>
      <c r="DN20" s="61"/>
      <c r="DO20" s="98"/>
      <c r="DP20" s="97"/>
      <c r="DQ20" s="61"/>
      <c r="DR20" s="65"/>
      <c r="DS20" s="61"/>
      <c r="DT20" s="61"/>
      <c r="DU20" s="65"/>
      <c r="DV20" s="61"/>
      <c r="DW20" s="61"/>
      <c r="DX20" s="65"/>
      <c r="DY20" s="61"/>
      <c r="DZ20" s="61"/>
      <c r="EA20" s="61"/>
      <c r="EB20" s="61"/>
      <c r="EC20" s="65"/>
      <c r="ED20" s="61"/>
      <c r="EE20" s="61"/>
      <c r="EF20" s="61"/>
      <c r="EG20" s="98"/>
      <c r="EH20" s="97"/>
      <c r="EI20" s="61"/>
      <c r="EJ20" s="65"/>
      <c r="EK20" s="61"/>
      <c r="EL20" s="61"/>
      <c r="EM20" s="61"/>
      <c r="EN20" s="61"/>
      <c r="EO20" s="61"/>
      <c r="EP20" s="65"/>
      <c r="EQ20" s="61"/>
      <c r="ER20" s="61"/>
      <c r="ES20" s="61"/>
      <c r="ET20" s="65"/>
      <c r="EU20" s="61"/>
      <c r="EV20" s="61"/>
      <c r="EW20" s="61"/>
      <c r="EX20" s="98"/>
      <c r="EY20" s="97"/>
      <c r="EZ20" s="65"/>
      <c r="FA20" s="61"/>
      <c r="FB20" s="61"/>
      <c r="FC20" s="61"/>
      <c r="FD20" s="65"/>
      <c r="FE20" s="61"/>
      <c r="FF20" s="61"/>
      <c r="FG20" s="65"/>
      <c r="FH20" s="61"/>
      <c r="FI20" s="61"/>
      <c r="FJ20" s="61"/>
      <c r="FK20" s="61"/>
      <c r="FL20" s="61"/>
      <c r="FM20" s="61"/>
      <c r="FN20" s="61"/>
      <c r="FO20" s="61"/>
      <c r="FP20" s="65"/>
      <c r="FQ20" s="61"/>
      <c r="FR20" s="61"/>
      <c r="FS20" s="61"/>
      <c r="FT20" s="49"/>
      <c r="FU20" s="61"/>
      <c r="FV20" s="61"/>
      <c r="FW20" s="61"/>
      <c r="FX20" s="65">
        <v>-1</v>
      </c>
      <c r="FY20" s="65">
        <v>-1</v>
      </c>
      <c r="FZ20" s="65">
        <v>-1</v>
      </c>
      <c r="GA20" s="65">
        <v>-1</v>
      </c>
      <c r="GB20" s="65">
        <v>-1</v>
      </c>
      <c r="GC20" s="65">
        <v>-1</v>
      </c>
      <c r="GD20" s="65"/>
      <c r="GE20" s="65"/>
      <c r="GF20" s="65"/>
      <c r="GG20" s="65"/>
      <c r="GH20" s="65"/>
      <c r="GI20" s="65"/>
      <c r="GJ20" s="65"/>
      <c r="GK20" s="65"/>
      <c r="GL20" s="65"/>
      <c r="GM20" s="65">
        <v>-6</v>
      </c>
      <c r="GN20" s="66"/>
      <c r="GO20" s="66"/>
      <c r="GP20" s="61"/>
      <c r="GQ20" s="61" t="s">
        <v>277</v>
      </c>
      <c r="GR20" s="61" t="s">
        <v>277</v>
      </c>
      <c r="GS20" s="65">
        <v>6</v>
      </c>
      <c r="GT20" s="65">
        <v>6</v>
      </c>
      <c r="GU20" s="65">
        <v>65</v>
      </c>
      <c r="GV20" s="65">
        <v>50</v>
      </c>
      <c r="GW20" s="67"/>
    </row>
    <row r="21" spans="1:205" s="56" customFormat="1" x14ac:dyDescent="0.25">
      <c r="A21" s="65">
        <v>242</v>
      </c>
      <c r="B21" s="61" t="s">
        <v>321</v>
      </c>
      <c r="C21" s="61">
        <v>22</v>
      </c>
      <c r="D21" s="61" t="s">
        <v>353</v>
      </c>
      <c r="E21" s="61" t="s">
        <v>377</v>
      </c>
      <c r="F21" s="61" t="s">
        <v>281</v>
      </c>
      <c r="G21" s="61" t="s">
        <v>281</v>
      </c>
      <c r="H21" s="61" t="s">
        <v>282</v>
      </c>
      <c r="I21" s="61" t="s">
        <v>282</v>
      </c>
      <c r="J21" s="61" t="s">
        <v>282</v>
      </c>
      <c r="K21" s="61" t="s">
        <v>281</v>
      </c>
      <c r="L21" s="61" t="s">
        <v>282</v>
      </c>
      <c r="M21" s="61" t="s">
        <v>282</v>
      </c>
      <c r="N21" s="61" t="s">
        <v>282</v>
      </c>
      <c r="O21" s="65">
        <v>0</v>
      </c>
      <c r="P21" s="61"/>
      <c r="Q21" s="61"/>
      <c r="R21" s="61" t="s">
        <v>355</v>
      </c>
      <c r="S21" s="61"/>
      <c r="T21" s="61"/>
      <c r="U21" s="61" t="s">
        <v>322</v>
      </c>
      <c r="V21" s="61"/>
      <c r="W21" s="61"/>
      <c r="X21" s="61" t="s">
        <v>346</v>
      </c>
      <c r="Y21" s="65">
        <v>1</v>
      </c>
      <c r="Z21" s="61" t="s">
        <v>453</v>
      </c>
      <c r="AA21" s="61"/>
      <c r="AB21" s="61" t="s">
        <v>303</v>
      </c>
      <c r="AC21" s="61" t="s">
        <v>331</v>
      </c>
      <c r="AD21" s="65">
        <v>0</v>
      </c>
      <c r="AE21" s="61"/>
      <c r="AF21" s="61"/>
      <c r="AG21" s="61" t="s">
        <v>305</v>
      </c>
      <c r="AH21" s="98" t="s">
        <v>305</v>
      </c>
      <c r="AI21" s="97">
        <f t="shared" si="0"/>
        <v>1</v>
      </c>
      <c r="AJ21" s="61" t="s">
        <v>331</v>
      </c>
      <c r="AK21" s="65">
        <v>0</v>
      </c>
      <c r="AL21" s="49"/>
      <c r="AM21" s="61"/>
      <c r="AN21" s="65">
        <v>0</v>
      </c>
      <c r="AO21" s="61"/>
      <c r="AP21" s="61"/>
      <c r="AQ21" s="61" t="s">
        <v>292</v>
      </c>
      <c r="AR21" s="65">
        <v>1</v>
      </c>
      <c r="AS21" s="61" t="s">
        <v>722</v>
      </c>
      <c r="AT21" s="61"/>
      <c r="AU21" s="61" t="s">
        <v>301</v>
      </c>
      <c r="AV21" s="61" t="s">
        <v>287</v>
      </c>
      <c r="AW21" s="65">
        <v>0</v>
      </c>
      <c r="AX21" s="61"/>
      <c r="AY21" s="61"/>
      <c r="AZ21" s="61" t="s">
        <v>324</v>
      </c>
      <c r="BA21" s="98" t="s">
        <v>840</v>
      </c>
      <c r="BB21" s="97">
        <v>1</v>
      </c>
      <c r="BC21" s="61" t="s">
        <v>302</v>
      </c>
      <c r="BD21" s="65">
        <v>0</v>
      </c>
      <c r="BE21" s="61"/>
      <c r="BF21" s="61"/>
      <c r="BG21" s="65">
        <v>1</v>
      </c>
      <c r="BH21" s="61" t="s">
        <v>723</v>
      </c>
      <c r="BI21" s="61" t="s">
        <v>292</v>
      </c>
      <c r="BJ21" s="61" t="s">
        <v>294</v>
      </c>
      <c r="BK21" s="61" t="s">
        <v>297</v>
      </c>
      <c r="BL21" s="65">
        <v>0</v>
      </c>
      <c r="BM21" s="61"/>
      <c r="BN21" s="61"/>
      <c r="BO21" s="61" t="s">
        <v>324</v>
      </c>
      <c r="BP21" s="61" t="s">
        <v>302</v>
      </c>
      <c r="BQ21" s="65">
        <v>0</v>
      </c>
      <c r="BR21" s="61"/>
      <c r="BS21" s="61"/>
      <c r="BT21" s="65">
        <v>0</v>
      </c>
      <c r="BU21" s="61"/>
      <c r="BV21" s="61" t="s">
        <v>296</v>
      </c>
      <c r="BW21" s="65">
        <v>1</v>
      </c>
      <c r="BX21" s="61" t="s">
        <v>588</v>
      </c>
      <c r="BY21" s="61" t="s">
        <v>294</v>
      </c>
      <c r="BZ21" s="61" t="s">
        <v>297</v>
      </c>
      <c r="CA21" s="65">
        <v>0</v>
      </c>
      <c r="CB21" s="61"/>
      <c r="CC21" s="61"/>
      <c r="CD21" s="61" t="s">
        <v>288</v>
      </c>
      <c r="CE21" s="97" t="s">
        <v>288</v>
      </c>
      <c r="CF21" s="97">
        <f t="shared" si="2"/>
        <v>1</v>
      </c>
      <c r="CG21" s="61" t="s">
        <v>297</v>
      </c>
      <c r="CH21" s="65">
        <v>0</v>
      </c>
      <c r="CI21" s="61"/>
      <c r="CJ21" s="61"/>
      <c r="CK21" s="65">
        <v>0</v>
      </c>
      <c r="CL21" s="61"/>
      <c r="CM21" s="61" t="s">
        <v>299</v>
      </c>
      <c r="CN21" s="65">
        <v>1</v>
      </c>
      <c r="CO21" s="61" t="s">
        <v>359</v>
      </c>
      <c r="CP21" s="61"/>
      <c r="CQ21" s="61" t="s">
        <v>303</v>
      </c>
      <c r="CR21" s="61" t="s">
        <v>297</v>
      </c>
      <c r="CS21" s="65">
        <v>0</v>
      </c>
      <c r="CT21" s="61"/>
      <c r="CU21" s="61"/>
      <c r="CV21" s="61" t="s">
        <v>305</v>
      </c>
      <c r="CW21" s="98" t="s">
        <v>305</v>
      </c>
      <c r="CX21" s="97">
        <f t="shared" si="3"/>
        <v>1</v>
      </c>
      <c r="CY21" s="61" t="s">
        <v>297</v>
      </c>
      <c r="CZ21" s="65">
        <v>0</v>
      </c>
      <c r="DA21" s="61"/>
      <c r="DB21" s="61"/>
      <c r="DC21" s="65">
        <v>0</v>
      </c>
      <c r="DD21" s="61"/>
      <c r="DE21" s="61" t="s">
        <v>299</v>
      </c>
      <c r="DF21" s="65">
        <v>1</v>
      </c>
      <c r="DG21" s="61" t="s">
        <v>372</v>
      </c>
      <c r="DH21" s="61"/>
      <c r="DI21" s="61" t="s">
        <v>303</v>
      </c>
      <c r="DJ21" s="61" t="s">
        <v>302</v>
      </c>
      <c r="DK21" s="65">
        <v>0</v>
      </c>
      <c r="DL21" s="61"/>
      <c r="DM21" s="61"/>
      <c r="DN21" s="61" t="s">
        <v>288</v>
      </c>
      <c r="DO21" s="98" t="s">
        <v>288</v>
      </c>
      <c r="DP21" s="97">
        <f t="shared" si="4"/>
        <v>1</v>
      </c>
      <c r="DQ21" s="61" t="s">
        <v>302</v>
      </c>
      <c r="DR21" s="65">
        <v>0</v>
      </c>
      <c r="DS21" s="61"/>
      <c r="DT21" s="61"/>
      <c r="DU21" s="65">
        <v>0</v>
      </c>
      <c r="DV21" s="61"/>
      <c r="DW21" s="61" t="s">
        <v>299</v>
      </c>
      <c r="DX21" s="65">
        <v>1</v>
      </c>
      <c r="DY21" s="61" t="s">
        <v>724</v>
      </c>
      <c r="DZ21" s="61"/>
      <c r="EA21" s="61" t="s">
        <v>303</v>
      </c>
      <c r="EB21" s="61" t="s">
        <v>331</v>
      </c>
      <c r="EC21" s="65">
        <v>0</v>
      </c>
      <c r="ED21" s="61"/>
      <c r="EE21" s="61"/>
      <c r="EF21" s="61" t="s">
        <v>298</v>
      </c>
      <c r="EG21" s="98" t="s">
        <v>305</v>
      </c>
      <c r="EH21" s="97" t="str">
        <f t="shared" si="5"/>
        <v/>
      </c>
      <c r="EI21" s="61" t="s">
        <v>331</v>
      </c>
      <c r="EJ21" s="65">
        <v>0</v>
      </c>
      <c r="EK21" s="61"/>
      <c r="EL21" s="61"/>
      <c r="EM21" s="61" t="s">
        <v>725</v>
      </c>
      <c r="EN21" s="61"/>
      <c r="EO21" s="61" t="s">
        <v>328</v>
      </c>
      <c r="EP21" s="65">
        <v>1</v>
      </c>
      <c r="EQ21" s="61" t="s">
        <v>726</v>
      </c>
      <c r="ER21" s="61" t="s">
        <v>303</v>
      </c>
      <c r="ES21" s="61" t="s">
        <v>331</v>
      </c>
      <c r="ET21" s="65">
        <v>0</v>
      </c>
      <c r="EU21" s="61"/>
      <c r="EV21" s="61"/>
      <c r="EW21" s="61" t="s">
        <v>305</v>
      </c>
      <c r="EX21" s="98" t="s">
        <v>305</v>
      </c>
      <c r="EY21" s="97">
        <f t="shared" si="6"/>
        <v>1</v>
      </c>
      <c r="EZ21" s="65">
        <v>0</v>
      </c>
      <c r="FA21" s="61"/>
      <c r="FB21" s="61"/>
      <c r="FC21" s="61" t="s">
        <v>727</v>
      </c>
      <c r="FD21" s="65">
        <v>0</v>
      </c>
      <c r="FE21" s="61"/>
      <c r="FF21" s="61" t="s">
        <v>328</v>
      </c>
      <c r="FG21" s="65">
        <v>0</v>
      </c>
      <c r="FH21" s="61"/>
      <c r="FI21" s="61"/>
      <c r="FJ21" s="61"/>
      <c r="FK21" s="61"/>
      <c r="FL21" s="61" t="s">
        <v>358</v>
      </c>
      <c r="FM21" s="61" t="s">
        <v>728</v>
      </c>
      <c r="FN21" s="61" t="s">
        <v>729</v>
      </c>
      <c r="FO21" s="61" t="s">
        <v>730</v>
      </c>
      <c r="FP21" s="65">
        <v>2</v>
      </c>
      <c r="FQ21" s="61" t="s">
        <v>731</v>
      </c>
      <c r="FR21" s="61" t="s">
        <v>732</v>
      </c>
      <c r="FS21" s="61"/>
      <c r="FT21" s="49"/>
      <c r="FU21" s="61" t="s">
        <v>317</v>
      </c>
      <c r="FV21" s="61" t="s">
        <v>733</v>
      </c>
      <c r="FW21" s="61"/>
      <c r="FX21" s="65">
        <v>-1</v>
      </c>
      <c r="FY21" s="65">
        <v>-1</v>
      </c>
      <c r="FZ21" s="65">
        <v>-1</v>
      </c>
      <c r="GA21" s="65">
        <v>-1</v>
      </c>
      <c r="GB21" s="65">
        <v>-1</v>
      </c>
      <c r="GC21" s="65">
        <v>-1</v>
      </c>
      <c r="GD21" s="65">
        <v>-1</v>
      </c>
      <c r="GE21" s="65">
        <v>-1</v>
      </c>
      <c r="GF21" s="65">
        <v>-1</v>
      </c>
      <c r="GG21" s="65">
        <v>-1</v>
      </c>
      <c r="GH21" s="65">
        <v>-1</v>
      </c>
      <c r="GI21" s="65">
        <v>-1</v>
      </c>
      <c r="GJ21" s="65">
        <v>-1</v>
      </c>
      <c r="GK21" s="65">
        <v>-1</v>
      </c>
      <c r="GL21" s="65">
        <v>-1</v>
      </c>
      <c r="GM21" s="65">
        <v>-15</v>
      </c>
      <c r="GN21" s="66"/>
      <c r="GO21" s="66"/>
      <c r="GP21" s="61" t="s">
        <v>319</v>
      </c>
      <c r="GQ21" s="61" t="s">
        <v>320</v>
      </c>
      <c r="GR21" s="61" t="s">
        <v>277</v>
      </c>
      <c r="GS21" s="65">
        <v>15</v>
      </c>
      <c r="GT21" s="65">
        <v>15</v>
      </c>
      <c r="GU21" s="65">
        <v>29</v>
      </c>
      <c r="GV21" s="65">
        <v>6</v>
      </c>
      <c r="GW21" s="67"/>
    </row>
    <row r="22" spans="1:205" s="45" customFormat="1" ht="13.8" thickBot="1" x14ac:dyDescent="0.3">
      <c r="A22" s="59">
        <v>246</v>
      </c>
      <c r="B22" s="60" t="s">
        <v>321</v>
      </c>
      <c r="C22" s="60">
        <v>22</v>
      </c>
      <c r="D22" s="60" t="s">
        <v>279</v>
      </c>
      <c r="E22" s="60" t="s">
        <v>377</v>
      </c>
      <c r="F22" s="60" t="s">
        <v>281</v>
      </c>
      <c r="G22" s="60" t="s">
        <v>281</v>
      </c>
      <c r="H22" s="60" t="s">
        <v>282</v>
      </c>
      <c r="I22" s="60" t="s">
        <v>282</v>
      </c>
      <c r="J22" s="60" t="s">
        <v>282</v>
      </c>
      <c r="K22" s="60" t="s">
        <v>281</v>
      </c>
      <c r="L22" s="60" t="s">
        <v>282</v>
      </c>
      <c r="M22" s="60" t="s">
        <v>282</v>
      </c>
      <c r="N22" s="60" t="s">
        <v>282</v>
      </c>
      <c r="O22" s="59">
        <v>0</v>
      </c>
      <c r="P22" s="60"/>
      <c r="Q22" s="60"/>
      <c r="R22" s="60" t="s">
        <v>355</v>
      </c>
      <c r="S22" s="60"/>
      <c r="T22" s="60"/>
      <c r="U22" s="60" t="s">
        <v>322</v>
      </c>
      <c r="V22" s="60"/>
      <c r="W22" s="60"/>
      <c r="X22" s="60" t="s">
        <v>346</v>
      </c>
      <c r="Y22" s="59">
        <v>1</v>
      </c>
      <c r="Z22" s="60" t="s">
        <v>734</v>
      </c>
      <c r="AA22" s="60"/>
      <c r="AB22" s="60" t="s">
        <v>303</v>
      </c>
      <c r="AC22" s="60" t="s">
        <v>331</v>
      </c>
      <c r="AD22" s="59">
        <v>0</v>
      </c>
      <c r="AE22" s="60"/>
      <c r="AF22" s="60"/>
      <c r="AG22" s="60" t="s">
        <v>298</v>
      </c>
      <c r="AH22" s="98" t="s">
        <v>305</v>
      </c>
      <c r="AI22" s="97" t="str">
        <f t="shared" si="0"/>
        <v/>
      </c>
      <c r="AJ22" s="60" t="s">
        <v>331</v>
      </c>
      <c r="AK22" s="59">
        <v>0</v>
      </c>
      <c r="AL22" s="60"/>
      <c r="AM22" s="60"/>
      <c r="AN22" s="59">
        <v>0</v>
      </c>
      <c r="AO22" s="60"/>
      <c r="AP22" s="60"/>
      <c r="AQ22" s="60" t="s">
        <v>299</v>
      </c>
      <c r="AR22" s="59">
        <v>1</v>
      </c>
      <c r="AS22" s="60" t="s">
        <v>385</v>
      </c>
      <c r="AT22" s="60"/>
      <c r="AU22" s="60" t="s">
        <v>294</v>
      </c>
      <c r="AV22" s="60" t="s">
        <v>287</v>
      </c>
      <c r="AW22" s="59">
        <v>0</v>
      </c>
      <c r="AX22" s="60"/>
      <c r="AY22" s="60"/>
      <c r="AZ22" s="60" t="s">
        <v>288</v>
      </c>
      <c r="BA22" s="98" t="s">
        <v>840</v>
      </c>
      <c r="BB22" s="97">
        <v>1</v>
      </c>
      <c r="BC22" s="60" t="s">
        <v>302</v>
      </c>
      <c r="BD22" s="59">
        <v>0</v>
      </c>
      <c r="BE22" s="60"/>
      <c r="BF22" s="60"/>
      <c r="BG22" s="59">
        <v>0</v>
      </c>
      <c r="BH22" s="60"/>
      <c r="BI22" s="60" t="s">
        <v>299</v>
      </c>
      <c r="BJ22" s="60" t="s">
        <v>294</v>
      </c>
      <c r="BK22" s="60" t="s">
        <v>297</v>
      </c>
      <c r="BL22" s="59">
        <v>0</v>
      </c>
      <c r="BM22" s="60"/>
      <c r="BN22" s="60"/>
      <c r="BO22" s="60" t="s">
        <v>288</v>
      </c>
      <c r="BP22" s="60" t="s">
        <v>302</v>
      </c>
      <c r="BQ22" s="59">
        <v>0</v>
      </c>
      <c r="BR22" s="60"/>
      <c r="BS22" s="60"/>
      <c r="BT22" s="59">
        <v>0</v>
      </c>
      <c r="BU22" s="60"/>
      <c r="BV22" s="60" t="s">
        <v>299</v>
      </c>
      <c r="BW22" s="59">
        <v>1</v>
      </c>
      <c r="BX22" s="60" t="s">
        <v>369</v>
      </c>
      <c r="BY22" s="60" t="s">
        <v>294</v>
      </c>
      <c r="BZ22" s="60" t="s">
        <v>297</v>
      </c>
      <c r="CA22" s="59">
        <v>0</v>
      </c>
      <c r="CB22" s="60"/>
      <c r="CC22" s="60"/>
      <c r="CD22" s="60" t="s">
        <v>288</v>
      </c>
      <c r="CE22" s="97" t="s">
        <v>288</v>
      </c>
      <c r="CF22" s="97">
        <f t="shared" si="2"/>
        <v>1</v>
      </c>
      <c r="CG22" s="60" t="s">
        <v>302</v>
      </c>
      <c r="CH22" s="59">
        <v>0</v>
      </c>
      <c r="CI22" s="60"/>
      <c r="CJ22" s="60"/>
      <c r="CK22" s="59">
        <v>0</v>
      </c>
      <c r="CL22" s="60"/>
      <c r="CM22" s="60" t="s">
        <v>299</v>
      </c>
      <c r="CN22" s="59">
        <v>1</v>
      </c>
      <c r="CO22" s="60" t="s">
        <v>359</v>
      </c>
      <c r="CP22" s="60"/>
      <c r="CQ22" s="60" t="s">
        <v>294</v>
      </c>
      <c r="CR22" s="60" t="s">
        <v>297</v>
      </c>
      <c r="CS22" s="59">
        <v>0</v>
      </c>
      <c r="CT22" s="60"/>
      <c r="CU22" s="60"/>
      <c r="CV22" s="60" t="s">
        <v>305</v>
      </c>
      <c r="CW22" s="98" t="s">
        <v>305</v>
      </c>
      <c r="CX22" s="97">
        <f t="shared" si="3"/>
        <v>1</v>
      </c>
      <c r="CY22" s="60" t="s">
        <v>302</v>
      </c>
      <c r="CZ22" s="59">
        <v>0</v>
      </c>
      <c r="DA22" s="60"/>
      <c r="DB22" s="60"/>
      <c r="DC22" s="59">
        <v>0</v>
      </c>
      <c r="DD22" s="60"/>
      <c r="DE22" s="60" t="s">
        <v>299</v>
      </c>
      <c r="DF22" s="59">
        <v>1</v>
      </c>
      <c r="DG22" s="60" t="s">
        <v>372</v>
      </c>
      <c r="DH22" s="60"/>
      <c r="DI22" s="60" t="s">
        <v>294</v>
      </c>
      <c r="DJ22" s="60" t="s">
        <v>302</v>
      </c>
      <c r="DK22" s="59">
        <v>0</v>
      </c>
      <c r="DL22" s="60"/>
      <c r="DM22" s="60"/>
      <c r="DN22" s="60" t="s">
        <v>288</v>
      </c>
      <c r="DO22" s="98" t="s">
        <v>288</v>
      </c>
      <c r="DP22" s="97">
        <f t="shared" si="4"/>
        <v>1</v>
      </c>
      <c r="DQ22" s="60" t="s">
        <v>302</v>
      </c>
      <c r="DR22" s="59">
        <v>0</v>
      </c>
      <c r="DS22" s="60"/>
      <c r="DT22" s="60"/>
      <c r="DU22" s="59">
        <v>0</v>
      </c>
      <c r="DV22" s="60"/>
      <c r="DW22" s="60" t="s">
        <v>299</v>
      </c>
      <c r="DX22" s="59">
        <v>1</v>
      </c>
      <c r="DY22" s="60" t="s">
        <v>308</v>
      </c>
      <c r="DZ22" s="60"/>
      <c r="EA22" s="60" t="s">
        <v>303</v>
      </c>
      <c r="EB22" s="60" t="s">
        <v>331</v>
      </c>
      <c r="EC22" s="59">
        <v>0</v>
      </c>
      <c r="ED22" s="60"/>
      <c r="EE22" s="60"/>
      <c r="EF22" s="60" t="s">
        <v>298</v>
      </c>
      <c r="EG22" s="98" t="s">
        <v>305</v>
      </c>
      <c r="EH22" s="97" t="str">
        <f t="shared" si="5"/>
        <v/>
      </c>
      <c r="EI22" s="60" t="s">
        <v>331</v>
      </c>
      <c r="EJ22" s="59">
        <v>0</v>
      </c>
      <c r="EK22" s="60"/>
      <c r="EL22" s="60"/>
      <c r="EM22" s="60" t="s">
        <v>735</v>
      </c>
      <c r="EN22" s="60"/>
      <c r="EO22" s="60" t="s">
        <v>299</v>
      </c>
      <c r="EP22" s="59">
        <v>1</v>
      </c>
      <c r="EQ22" s="60" t="s">
        <v>705</v>
      </c>
      <c r="ER22" s="60" t="s">
        <v>303</v>
      </c>
      <c r="ES22" s="60" t="s">
        <v>331</v>
      </c>
      <c r="ET22" s="59">
        <v>0</v>
      </c>
      <c r="EU22" s="60"/>
      <c r="EV22" s="60"/>
      <c r="EW22" s="60" t="s">
        <v>298</v>
      </c>
      <c r="EX22" s="98" t="s">
        <v>305</v>
      </c>
      <c r="EY22" s="97" t="str">
        <f t="shared" si="6"/>
        <v/>
      </c>
      <c r="EZ22" s="59">
        <v>0</v>
      </c>
      <c r="FA22" s="60"/>
      <c r="FB22" s="60"/>
      <c r="FC22" s="60" t="s">
        <v>736</v>
      </c>
      <c r="FD22" s="59">
        <v>0</v>
      </c>
      <c r="FE22" s="60"/>
      <c r="FF22" s="60" t="s">
        <v>299</v>
      </c>
      <c r="FG22" s="59">
        <v>0</v>
      </c>
      <c r="FH22" s="60"/>
      <c r="FI22" s="60"/>
      <c r="FJ22" s="60"/>
      <c r="FK22" s="60"/>
      <c r="FL22" s="60" t="s">
        <v>370</v>
      </c>
      <c r="FM22" s="60" t="s">
        <v>737</v>
      </c>
      <c r="FN22" s="60"/>
      <c r="FO22" s="60"/>
      <c r="FP22" s="59">
        <v>0</v>
      </c>
      <c r="FQ22" s="60"/>
      <c r="FR22" s="60"/>
      <c r="FS22" s="60"/>
      <c r="FT22" s="62"/>
      <c r="FU22" s="60" t="s">
        <v>317</v>
      </c>
      <c r="FV22" s="60"/>
      <c r="FW22" s="60"/>
      <c r="FX22" s="59">
        <v>-1</v>
      </c>
      <c r="FY22" s="59">
        <v>-1</v>
      </c>
      <c r="FZ22" s="59">
        <v>-1</v>
      </c>
      <c r="GA22" s="59">
        <v>-1</v>
      </c>
      <c r="GB22" s="59">
        <v>-1</v>
      </c>
      <c r="GC22" s="59">
        <v>-1</v>
      </c>
      <c r="GD22" s="59">
        <v>-1</v>
      </c>
      <c r="GE22" s="59">
        <v>-1</v>
      </c>
      <c r="GF22" s="59">
        <v>-1</v>
      </c>
      <c r="GG22" s="59">
        <v>-1</v>
      </c>
      <c r="GH22" s="59">
        <v>-1</v>
      </c>
      <c r="GI22" s="59">
        <v>-1</v>
      </c>
      <c r="GJ22" s="59">
        <v>-1</v>
      </c>
      <c r="GK22" s="59">
        <v>-1</v>
      </c>
      <c r="GL22" s="59">
        <v>-1</v>
      </c>
      <c r="GM22" s="59">
        <v>-15</v>
      </c>
      <c r="GN22" s="63"/>
      <c r="GO22" s="63"/>
      <c r="GP22" s="60" t="s">
        <v>319</v>
      </c>
      <c r="GQ22" s="60" t="s">
        <v>320</v>
      </c>
      <c r="GR22" s="60" t="s">
        <v>277</v>
      </c>
      <c r="GS22" s="59">
        <v>15</v>
      </c>
      <c r="GT22" s="59">
        <v>15</v>
      </c>
      <c r="GU22" s="59">
        <v>35</v>
      </c>
      <c r="GV22" s="59">
        <v>9</v>
      </c>
      <c r="GW22" s="64"/>
    </row>
    <row r="23" spans="1:205" s="40" customFormat="1" x14ac:dyDescent="0.25">
      <c r="A23" s="65">
        <v>171</v>
      </c>
      <c r="B23" s="61" t="s">
        <v>421</v>
      </c>
      <c r="C23" s="61">
        <v>39.5</v>
      </c>
      <c r="D23" s="61" t="s">
        <v>279</v>
      </c>
      <c r="E23" s="61" t="s">
        <v>280</v>
      </c>
      <c r="F23" s="61" t="s">
        <v>281</v>
      </c>
      <c r="G23" s="61" t="s">
        <v>281</v>
      </c>
      <c r="H23" s="61" t="s">
        <v>282</v>
      </c>
      <c r="I23" s="61" t="s">
        <v>282</v>
      </c>
      <c r="J23" s="61" t="s">
        <v>282</v>
      </c>
      <c r="K23" s="61" t="s">
        <v>281</v>
      </c>
      <c r="L23" s="61" t="s">
        <v>282</v>
      </c>
      <c r="M23" s="61" t="s">
        <v>281</v>
      </c>
      <c r="N23" s="61" t="s">
        <v>282</v>
      </c>
      <c r="O23" s="65">
        <v>0</v>
      </c>
      <c r="P23" s="61"/>
      <c r="Q23" s="61"/>
      <c r="R23" s="61" t="s">
        <v>355</v>
      </c>
      <c r="S23" s="61"/>
      <c r="T23" s="61"/>
      <c r="U23" s="61" t="s">
        <v>322</v>
      </c>
      <c r="V23" s="61" t="s">
        <v>377</v>
      </c>
      <c r="W23" s="61"/>
      <c r="X23" s="61" t="s">
        <v>482</v>
      </c>
      <c r="Y23" s="65">
        <v>1</v>
      </c>
      <c r="Z23" s="61" t="s">
        <v>466</v>
      </c>
      <c r="AA23" s="61"/>
      <c r="AB23" s="61" t="s">
        <v>294</v>
      </c>
      <c r="AC23" s="61" t="s">
        <v>331</v>
      </c>
      <c r="AD23" s="65">
        <v>1</v>
      </c>
      <c r="AE23" s="61" t="s">
        <v>297</v>
      </c>
      <c r="AF23" s="61"/>
      <c r="AG23" s="61" t="s">
        <v>305</v>
      </c>
      <c r="AH23" s="98" t="s">
        <v>305</v>
      </c>
      <c r="AI23" s="97">
        <f t="shared" si="0"/>
        <v>1</v>
      </c>
      <c r="AJ23" s="61" t="s">
        <v>339</v>
      </c>
      <c r="AK23" s="65">
        <v>0</v>
      </c>
      <c r="AL23" s="61"/>
      <c r="AM23" s="61"/>
      <c r="AN23" s="65">
        <v>1</v>
      </c>
      <c r="AO23" s="61" t="s">
        <v>467</v>
      </c>
      <c r="AP23" s="61"/>
      <c r="AQ23" s="61" t="s">
        <v>299</v>
      </c>
      <c r="AR23" s="65">
        <v>1</v>
      </c>
      <c r="AS23" s="61" t="s">
        <v>468</v>
      </c>
      <c r="AT23" s="61"/>
      <c r="AU23" s="61" t="s">
        <v>301</v>
      </c>
      <c r="AV23" s="61" t="s">
        <v>331</v>
      </c>
      <c r="AW23" s="65">
        <v>1</v>
      </c>
      <c r="AX23" s="61"/>
      <c r="AY23" s="61" t="s">
        <v>302</v>
      </c>
      <c r="AZ23" s="61" t="s">
        <v>324</v>
      </c>
      <c r="BA23" s="98"/>
      <c r="BB23" s="97"/>
      <c r="BC23" s="61" t="s">
        <v>287</v>
      </c>
      <c r="BD23" s="65">
        <v>1</v>
      </c>
      <c r="BE23" s="61"/>
      <c r="BF23" s="61" t="s">
        <v>339</v>
      </c>
      <c r="BG23" s="65">
        <v>1</v>
      </c>
      <c r="BH23" s="61" t="s">
        <v>469</v>
      </c>
      <c r="BI23" s="61" t="s">
        <v>296</v>
      </c>
      <c r="BJ23" s="61" t="s">
        <v>286</v>
      </c>
      <c r="BK23" s="61" t="s">
        <v>331</v>
      </c>
      <c r="BL23" s="65">
        <v>0</v>
      </c>
      <c r="BM23" s="61"/>
      <c r="BN23" s="61"/>
      <c r="BO23" s="61" t="s">
        <v>305</v>
      </c>
      <c r="BP23" s="61" t="s">
        <v>339</v>
      </c>
      <c r="BQ23" s="65">
        <v>1</v>
      </c>
      <c r="BR23" s="61"/>
      <c r="BS23" s="61" t="s">
        <v>287</v>
      </c>
      <c r="BT23" s="65">
        <v>1</v>
      </c>
      <c r="BU23" s="61" t="s">
        <v>470</v>
      </c>
      <c r="BV23" s="61" t="s">
        <v>296</v>
      </c>
      <c r="BW23" s="65">
        <v>1</v>
      </c>
      <c r="BX23" s="61" t="s">
        <v>471</v>
      </c>
      <c r="BY23" s="61" t="s">
        <v>286</v>
      </c>
      <c r="BZ23" s="61" t="s">
        <v>339</v>
      </c>
      <c r="CA23" s="65">
        <v>1</v>
      </c>
      <c r="CB23" s="61"/>
      <c r="CC23" s="61" t="s">
        <v>297</v>
      </c>
      <c r="CD23" s="61" t="s">
        <v>324</v>
      </c>
      <c r="CE23" s="97" t="s">
        <v>841</v>
      </c>
      <c r="CF23" s="97">
        <v>1</v>
      </c>
      <c r="CG23" s="61" t="s">
        <v>339</v>
      </c>
      <c r="CH23" s="65">
        <v>1</v>
      </c>
      <c r="CI23" s="61"/>
      <c r="CJ23" s="61" t="s">
        <v>472</v>
      </c>
      <c r="CK23" s="65">
        <v>1</v>
      </c>
      <c r="CL23" s="61" t="s">
        <v>470</v>
      </c>
      <c r="CM23" s="61" t="s">
        <v>296</v>
      </c>
      <c r="CN23" s="65">
        <v>1</v>
      </c>
      <c r="CO23" s="61" t="s">
        <v>473</v>
      </c>
      <c r="CP23" s="61"/>
      <c r="CQ23" s="61" t="s">
        <v>301</v>
      </c>
      <c r="CR23" s="61" t="s">
        <v>297</v>
      </c>
      <c r="CS23" s="65">
        <v>0</v>
      </c>
      <c r="CT23" s="61"/>
      <c r="CU23" s="61"/>
      <c r="CV23" s="61" t="s">
        <v>288</v>
      </c>
      <c r="CW23" s="98" t="s">
        <v>305</v>
      </c>
      <c r="CX23" s="97" t="str">
        <f t="shared" si="3"/>
        <v/>
      </c>
      <c r="CY23" s="61" t="s">
        <v>339</v>
      </c>
      <c r="CZ23" s="65">
        <v>0</v>
      </c>
      <c r="DA23" s="61"/>
      <c r="DB23" s="61"/>
      <c r="DC23" s="65">
        <v>1</v>
      </c>
      <c r="DD23" s="61" t="s">
        <v>474</v>
      </c>
      <c r="DE23" s="61" t="s">
        <v>296</v>
      </c>
      <c r="DF23" s="65">
        <v>1</v>
      </c>
      <c r="DG23" s="61" t="s">
        <v>475</v>
      </c>
      <c r="DH23" s="61"/>
      <c r="DI23" s="61" t="s">
        <v>286</v>
      </c>
      <c r="DJ23" s="61" t="s">
        <v>297</v>
      </c>
      <c r="DK23" s="65">
        <v>0</v>
      </c>
      <c r="DL23" s="61"/>
      <c r="DM23" s="61"/>
      <c r="DN23" s="61" t="s">
        <v>288</v>
      </c>
      <c r="DO23" s="98" t="s">
        <v>288</v>
      </c>
      <c r="DP23" s="97">
        <f t="shared" si="4"/>
        <v>1</v>
      </c>
      <c r="DQ23" s="61" t="s">
        <v>287</v>
      </c>
      <c r="DR23" s="65">
        <v>1</v>
      </c>
      <c r="DS23" s="61" t="s">
        <v>339</v>
      </c>
      <c r="DT23" s="61"/>
      <c r="DU23" s="65">
        <v>1</v>
      </c>
      <c r="DV23" s="61" t="s">
        <v>476</v>
      </c>
      <c r="DW23" s="61" t="s">
        <v>299</v>
      </c>
      <c r="DX23" s="65">
        <v>1</v>
      </c>
      <c r="DY23" s="61" t="s">
        <v>477</v>
      </c>
      <c r="DZ23" s="61"/>
      <c r="EA23" s="61" t="s">
        <v>294</v>
      </c>
      <c r="EB23" s="61" t="s">
        <v>331</v>
      </c>
      <c r="EC23" s="65">
        <v>0</v>
      </c>
      <c r="ED23" s="61"/>
      <c r="EE23" s="61"/>
      <c r="EF23" s="61" t="s">
        <v>305</v>
      </c>
      <c r="EG23" s="98" t="s">
        <v>305</v>
      </c>
      <c r="EH23" s="97">
        <f t="shared" si="5"/>
        <v>1</v>
      </c>
      <c r="EI23" s="61" t="s">
        <v>331</v>
      </c>
      <c r="EJ23" s="65">
        <v>0</v>
      </c>
      <c r="EK23" s="61"/>
      <c r="EL23" s="61"/>
      <c r="EM23" s="61" t="s">
        <v>478</v>
      </c>
      <c r="EN23" s="61" t="s">
        <v>467</v>
      </c>
      <c r="EO23" s="61" t="s">
        <v>299</v>
      </c>
      <c r="EP23" s="65">
        <v>1</v>
      </c>
      <c r="EQ23" s="61" t="s">
        <v>479</v>
      </c>
      <c r="ER23" s="61" t="s">
        <v>294</v>
      </c>
      <c r="ES23" s="61" t="s">
        <v>331</v>
      </c>
      <c r="ET23" s="65">
        <v>0</v>
      </c>
      <c r="EU23" s="61"/>
      <c r="EV23" s="61"/>
      <c r="EW23" s="61" t="s">
        <v>305</v>
      </c>
      <c r="EX23" s="98" t="s">
        <v>305</v>
      </c>
      <c r="EY23" s="97">
        <f t="shared" si="6"/>
        <v>1</v>
      </c>
      <c r="EZ23" s="65">
        <v>0</v>
      </c>
      <c r="FA23" s="61"/>
      <c r="FB23" s="61"/>
      <c r="FC23" s="61" t="s">
        <v>480</v>
      </c>
      <c r="FD23" s="65">
        <v>1</v>
      </c>
      <c r="FE23" s="61" t="s">
        <v>467</v>
      </c>
      <c r="FF23" s="61" t="s">
        <v>296</v>
      </c>
      <c r="FG23" s="65">
        <v>1</v>
      </c>
      <c r="FH23" s="61" t="s">
        <v>404</v>
      </c>
      <c r="FI23" s="61"/>
      <c r="FJ23" s="61"/>
      <c r="FK23" s="61"/>
      <c r="FL23" s="61"/>
      <c r="FM23" s="61"/>
      <c r="FN23" s="61"/>
      <c r="FO23" s="61"/>
      <c r="FP23" s="65">
        <v>1</v>
      </c>
      <c r="FQ23" s="61" t="s">
        <v>481</v>
      </c>
      <c r="FR23" s="61"/>
      <c r="FS23" s="61"/>
      <c r="FT23" s="49"/>
      <c r="FU23" s="61" t="s">
        <v>351</v>
      </c>
      <c r="FV23" s="61" t="s">
        <v>483</v>
      </c>
      <c r="FW23" s="61"/>
      <c r="FX23" s="65">
        <v>-1</v>
      </c>
      <c r="FY23" s="65">
        <v>-1</v>
      </c>
      <c r="FZ23" s="65">
        <v>-1</v>
      </c>
      <c r="GA23" s="65">
        <v>-1</v>
      </c>
      <c r="GB23" s="65">
        <v>-1</v>
      </c>
      <c r="GC23" s="65">
        <v>-1</v>
      </c>
      <c r="GD23" s="65">
        <v>-1</v>
      </c>
      <c r="GE23" s="65">
        <v>-1</v>
      </c>
      <c r="GF23" s="65">
        <v>-1</v>
      </c>
      <c r="GG23" s="65">
        <v>-1</v>
      </c>
      <c r="GH23" s="65">
        <v>-1</v>
      </c>
      <c r="GI23" s="65">
        <v>-1</v>
      </c>
      <c r="GJ23" s="65">
        <v>-1</v>
      </c>
      <c r="GK23" s="65">
        <v>-1</v>
      </c>
      <c r="GL23" s="65">
        <v>-1</v>
      </c>
      <c r="GM23" s="65">
        <v>-15</v>
      </c>
      <c r="GN23" s="66"/>
      <c r="GO23" s="66"/>
      <c r="GP23" s="61" t="s">
        <v>319</v>
      </c>
      <c r="GQ23" s="61" t="s">
        <v>320</v>
      </c>
      <c r="GR23" s="61" t="s">
        <v>277</v>
      </c>
      <c r="GS23" s="65">
        <v>15</v>
      </c>
      <c r="GT23" s="65">
        <v>15</v>
      </c>
      <c r="GU23" s="65">
        <v>17</v>
      </c>
      <c r="GV23" s="65">
        <v>3</v>
      </c>
      <c r="GW23" s="67"/>
    </row>
    <row r="24" spans="1:205" s="62" customFormat="1" ht="13.8" thickBot="1" x14ac:dyDescent="0.3">
      <c r="A24" s="59">
        <v>207</v>
      </c>
      <c r="B24" s="60" t="s">
        <v>421</v>
      </c>
      <c r="C24" s="60">
        <v>39.5</v>
      </c>
      <c r="D24" s="60"/>
      <c r="E24" s="60" t="s">
        <v>422</v>
      </c>
      <c r="F24" s="60" t="s">
        <v>281</v>
      </c>
      <c r="G24" s="60" t="s">
        <v>282</v>
      </c>
      <c r="H24" s="60" t="s">
        <v>282</v>
      </c>
      <c r="I24" s="60" t="s">
        <v>282</v>
      </c>
      <c r="J24" s="60" t="s">
        <v>282</v>
      </c>
      <c r="K24" s="60" t="s">
        <v>281</v>
      </c>
      <c r="L24" s="60" t="s">
        <v>282</v>
      </c>
      <c r="M24" s="60" t="s">
        <v>282</v>
      </c>
      <c r="N24" s="60" t="s">
        <v>282</v>
      </c>
      <c r="O24" s="59">
        <v>0</v>
      </c>
      <c r="P24" s="60"/>
      <c r="Q24" s="60"/>
      <c r="R24" s="60" t="s">
        <v>355</v>
      </c>
      <c r="S24" s="60"/>
      <c r="T24" s="60"/>
      <c r="U24" s="60" t="s">
        <v>322</v>
      </c>
      <c r="V24" s="60"/>
      <c r="W24" s="60"/>
      <c r="X24" s="60" t="s">
        <v>350</v>
      </c>
      <c r="Y24" s="59">
        <v>1</v>
      </c>
      <c r="Z24" s="60" t="s">
        <v>466</v>
      </c>
      <c r="AA24" s="60"/>
      <c r="AB24" s="60" t="s">
        <v>294</v>
      </c>
      <c r="AC24" s="60" t="s">
        <v>297</v>
      </c>
      <c r="AD24" s="59">
        <v>1</v>
      </c>
      <c r="AE24" s="60" t="s">
        <v>331</v>
      </c>
      <c r="AF24" s="60"/>
      <c r="AG24" s="60" t="s">
        <v>298</v>
      </c>
      <c r="AH24" s="98" t="s">
        <v>305</v>
      </c>
      <c r="AI24" s="97" t="str">
        <f t="shared" si="0"/>
        <v/>
      </c>
      <c r="AJ24" s="60"/>
      <c r="AK24" s="59">
        <v>0</v>
      </c>
      <c r="AL24" s="60"/>
      <c r="AM24" s="60"/>
      <c r="AN24" s="59">
        <v>0</v>
      </c>
      <c r="AO24" s="60"/>
      <c r="AP24" s="60"/>
      <c r="AQ24" s="60" t="s">
        <v>299</v>
      </c>
      <c r="AR24" s="59">
        <v>0</v>
      </c>
      <c r="AS24" s="60"/>
      <c r="AT24" s="60"/>
      <c r="AU24" s="60"/>
      <c r="AV24" s="60"/>
      <c r="AW24" s="59">
        <v>0</v>
      </c>
      <c r="AX24" s="60"/>
      <c r="AY24" s="60"/>
      <c r="AZ24" s="60"/>
      <c r="BA24" s="99"/>
      <c r="BB24" s="97"/>
      <c r="BC24" s="60"/>
      <c r="BD24" s="59">
        <v>0</v>
      </c>
      <c r="BE24" s="60"/>
      <c r="BF24" s="60"/>
      <c r="BG24" s="59">
        <v>0</v>
      </c>
      <c r="BH24" s="60"/>
      <c r="BI24" s="60"/>
      <c r="BJ24" s="60"/>
      <c r="BK24" s="60"/>
      <c r="BL24" s="59">
        <v>0</v>
      </c>
      <c r="BM24" s="60"/>
      <c r="BN24" s="60"/>
      <c r="BO24" s="60"/>
      <c r="BP24" s="60"/>
      <c r="BQ24" s="59">
        <v>0</v>
      </c>
      <c r="BR24" s="60"/>
      <c r="BS24" s="60"/>
      <c r="BT24" s="59">
        <v>0</v>
      </c>
      <c r="BU24" s="60"/>
      <c r="BV24" s="60"/>
      <c r="BW24" s="59">
        <v>0</v>
      </c>
      <c r="BX24" s="60"/>
      <c r="BY24" s="60"/>
      <c r="BZ24" s="60"/>
      <c r="CA24" s="59">
        <v>0</v>
      </c>
      <c r="CB24" s="60"/>
      <c r="CC24" s="60"/>
      <c r="CD24" s="60"/>
      <c r="CE24" s="97"/>
      <c r="CF24" s="97"/>
      <c r="CG24" s="60"/>
      <c r="CH24" s="59">
        <v>0</v>
      </c>
      <c r="CI24" s="60"/>
      <c r="CJ24" s="60"/>
      <c r="CK24" s="59">
        <v>0</v>
      </c>
      <c r="CL24" s="60"/>
      <c r="CM24" s="60"/>
      <c r="CN24" s="59">
        <v>1</v>
      </c>
      <c r="CO24" s="60" t="s">
        <v>619</v>
      </c>
      <c r="CP24" s="60"/>
      <c r="CQ24" s="60" t="s">
        <v>294</v>
      </c>
      <c r="CR24" s="60" t="s">
        <v>297</v>
      </c>
      <c r="CS24" s="59">
        <v>0</v>
      </c>
      <c r="CT24" s="60"/>
      <c r="CU24" s="60"/>
      <c r="CV24" s="60" t="s">
        <v>288</v>
      </c>
      <c r="CW24" s="98" t="s">
        <v>837</v>
      </c>
      <c r="CX24" s="97">
        <f t="shared" si="3"/>
        <v>1</v>
      </c>
      <c r="CY24" s="60" t="s">
        <v>331</v>
      </c>
      <c r="CZ24" s="59">
        <v>0</v>
      </c>
      <c r="DA24" s="60"/>
      <c r="DB24" s="60"/>
      <c r="DC24" s="59">
        <v>0</v>
      </c>
      <c r="DD24" s="60"/>
      <c r="DE24" s="60" t="s">
        <v>299</v>
      </c>
      <c r="DF24" s="59">
        <v>1</v>
      </c>
      <c r="DG24" s="60" t="s">
        <v>620</v>
      </c>
      <c r="DH24" s="60"/>
      <c r="DI24" s="60" t="s">
        <v>301</v>
      </c>
      <c r="DJ24" s="60" t="s">
        <v>297</v>
      </c>
      <c r="DK24" s="59">
        <v>0</v>
      </c>
      <c r="DL24" s="60"/>
      <c r="DM24" s="60"/>
      <c r="DN24" s="60" t="s">
        <v>324</v>
      </c>
      <c r="DO24" s="98" t="s">
        <v>324</v>
      </c>
      <c r="DP24" s="97">
        <f t="shared" si="4"/>
        <v>1</v>
      </c>
      <c r="DQ24" s="60" t="s">
        <v>297</v>
      </c>
      <c r="DR24" s="59">
        <v>0</v>
      </c>
      <c r="DS24" s="60"/>
      <c r="DT24" s="60"/>
      <c r="DU24" s="59">
        <v>0</v>
      </c>
      <c r="DV24" s="60"/>
      <c r="DW24" s="60" t="s">
        <v>299</v>
      </c>
      <c r="DX24" s="59">
        <v>0</v>
      </c>
      <c r="DY24" s="60"/>
      <c r="DZ24" s="60"/>
      <c r="EA24" s="60"/>
      <c r="EB24" s="60"/>
      <c r="EC24" s="59">
        <v>0</v>
      </c>
      <c r="ED24" s="60"/>
      <c r="EE24" s="60"/>
      <c r="EF24" s="60"/>
      <c r="EG24" s="98"/>
      <c r="EH24" s="97"/>
      <c r="EI24" s="60"/>
      <c r="EJ24" s="59">
        <v>0</v>
      </c>
      <c r="EK24" s="60"/>
      <c r="EL24" s="60"/>
      <c r="EM24" s="60"/>
      <c r="EN24" s="60"/>
      <c r="EO24" s="60"/>
      <c r="EP24" s="59">
        <v>0</v>
      </c>
      <c r="EQ24" s="60"/>
      <c r="ER24" s="60"/>
      <c r="ES24" s="60"/>
      <c r="ET24" s="59">
        <v>0</v>
      </c>
      <c r="EU24" s="60"/>
      <c r="EV24" s="60"/>
      <c r="EW24" s="60"/>
      <c r="EX24" s="98"/>
      <c r="EY24" s="97"/>
      <c r="EZ24" s="59">
        <v>0</v>
      </c>
      <c r="FA24" s="60"/>
      <c r="FB24" s="60"/>
      <c r="FC24" s="60"/>
      <c r="FD24" s="59">
        <v>0</v>
      </c>
      <c r="FE24" s="60"/>
      <c r="FF24" s="60"/>
      <c r="FG24" s="59">
        <v>1</v>
      </c>
      <c r="FH24" s="60" t="s">
        <v>621</v>
      </c>
      <c r="FI24" s="60"/>
      <c r="FJ24" s="60"/>
      <c r="FK24" s="60"/>
      <c r="FL24" s="60"/>
      <c r="FM24" s="60"/>
      <c r="FN24" s="60"/>
      <c r="FO24" s="60"/>
      <c r="FP24" s="59">
        <v>1</v>
      </c>
      <c r="FQ24" s="60" t="s">
        <v>622</v>
      </c>
      <c r="FR24" s="60"/>
      <c r="FS24" s="60"/>
      <c r="FU24" s="60" t="s">
        <v>351</v>
      </c>
      <c r="FV24" s="60"/>
      <c r="FW24" s="60"/>
      <c r="FX24" s="59">
        <v>-1</v>
      </c>
      <c r="FY24" s="59">
        <v>-1</v>
      </c>
      <c r="FZ24" s="59">
        <v>-1</v>
      </c>
      <c r="GA24" s="59">
        <v>-1</v>
      </c>
      <c r="GB24" s="59">
        <v>-1</v>
      </c>
      <c r="GC24" s="59">
        <v>-1</v>
      </c>
      <c r="GD24" s="59">
        <v>-1</v>
      </c>
      <c r="GE24" s="59">
        <v>-1</v>
      </c>
      <c r="GF24" s="59">
        <v>-1</v>
      </c>
      <c r="GG24" s="59">
        <v>-1</v>
      </c>
      <c r="GH24" s="59">
        <v>-1</v>
      </c>
      <c r="GI24" s="59">
        <v>-1</v>
      </c>
      <c r="GJ24" s="59">
        <v>-1</v>
      </c>
      <c r="GK24" s="59">
        <v>-1</v>
      </c>
      <c r="GL24" s="59">
        <v>-1</v>
      </c>
      <c r="GM24" s="59">
        <v>-15</v>
      </c>
      <c r="GN24" s="63"/>
      <c r="GO24" s="63"/>
      <c r="GP24" s="60"/>
      <c r="GQ24" s="60" t="s">
        <v>320</v>
      </c>
      <c r="GR24" s="60" t="s">
        <v>277</v>
      </c>
      <c r="GS24" s="59">
        <v>15</v>
      </c>
      <c r="GT24" s="59">
        <v>15</v>
      </c>
      <c r="GU24" s="59">
        <v>72</v>
      </c>
      <c r="GV24" s="59">
        <v>59</v>
      </c>
      <c r="GW24" s="64"/>
    </row>
    <row r="25" spans="1:205" s="40" customFormat="1" x14ac:dyDescent="0.25">
      <c r="A25" s="65">
        <v>163</v>
      </c>
      <c r="B25" s="61" t="s">
        <v>347</v>
      </c>
      <c r="C25" s="61">
        <v>57.5</v>
      </c>
      <c r="D25" s="61" t="s">
        <v>353</v>
      </c>
      <c r="E25" s="61" t="s">
        <v>320</v>
      </c>
      <c r="F25" s="61" t="s">
        <v>282</v>
      </c>
      <c r="G25" s="61" t="s">
        <v>282</v>
      </c>
      <c r="H25" s="61" t="s">
        <v>282</v>
      </c>
      <c r="I25" s="61" t="s">
        <v>282</v>
      </c>
      <c r="J25" s="61" t="s">
        <v>282</v>
      </c>
      <c r="K25" s="61" t="s">
        <v>281</v>
      </c>
      <c r="L25" s="61" t="s">
        <v>282</v>
      </c>
      <c r="M25" s="61" t="s">
        <v>282</v>
      </c>
      <c r="N25" s="61" t="s">
        <v>282</v>
      </c>
      <c r="O25" s="65">
        <v>0</v>
      </c>
      <c r="P25" s="61"/>
      <c r="Q25" s="61"/>
      <c r="R25" s="61" t="s">
        <v>355</v>
      </c>
      <c r="S25" s="61"/>
      <c r="T25" s="61"/>
      <c r="U25" s="61" t="s">
        <v>322</v>
      </c>
      <c r="V25" s="61" t="s">
        <v>280</v>
      </c>
      <c r="W25" s="61"/>
      <c r="X25" s="61" t="s">
        <v>350</v>
      </c>
      <c r="Y25" s="65">
        <v>0</v>
      </c>
      <c r="Z25" s="61"/>
      <c r="AA25" s="61"/>
      <c r="AB25" s="61" t="s">
        <v>294</v>
      </c>
      <c r="AC25" s="61" t="s">
        <v>331</v>
      </c>
      <c r="AD25" s="65">
        <v>0</v>
      </c>
      <c r="AE25" s="61"/>
      <c r="AF25" s="61"/>
      <c r="AG25" s="61"/>
      <c r="AH25" s="98" t="s">
        <v>305</v>
      </c>
      <c r="AI25" s="97" t="str">
        <f t="shared" si="0"/>
        <v/>
      </c>
      <c r="AJ25" s="61" t="s">
        <v>331</v>
      </c>
      <c r="AK25" s="65">
        <v>0</v>
      </c>
      <c r="AL25" s="61"/>
      <c r="AM25" s="61"/>
      <c r="AN25" s="65">
        <v>0</v>
      </c>
      <c r="AO25" s="61"/>
      <c r="AP25" s="61"/>
      <c r="AQ25" s="61" t="s">
        <v>328</v>
      </c>
      <c r="AR25" s="65"/>
      <c r="AS25" s="61"/>
      <c r="AT25" s="61"/>
      <c r="AU25" s="61"/>
      <c r="AV25" s="61"/>
      <c r="AW25" s="65"/>
      <c r="AX25" s="61"/>
      <c r="AY25" s="61"/>
      <c r="AZ25" s="61"/>
      <c r="BA25" s="98"/>
      <c r="BB25" s="97"/>
      <c r="BC25" s="61"/>
      <c r="BD25" s="65"/>
      <c r="BE25" s="61"/>
      <c r="BF25" s="61"/>
      <c r="BG25" s="65"/>
      <c r="BH25" s="61"/>
      <c r="BI25" s="61"/>
      <c r="BJ25" s="61"/>
      <c r="BK25" s="61"/>
      <c r="BL25" s="65"/>
      <c r="BM25" s="61"/>
      <c r="BN25" s="61"/>
      <c r="BO25" s="61"/>
      <c r="BP25" s="61"/>
      <c r="BQ25" s="65"/>
      <c r="BR25" s="61"/>
      <c r="BS25" s="61"/>
      <c r="BT25" s="65"/>
      <c r="BU25" s="61"/>
      <c r="BV25" s="61"/>
      <c r="BW25" s="65"/>
      <c r="BX25" s="61"/>
      <c r="BY25" s="61"/>
      <c r="BZ25" s="61"/>
      <c r="CA25" s="65"/>
      <c r="CB25" s="61"/>
      <c r="CC25" s="61"/>
      <c r="CD25" s="61"/>
      <c r="CE25" s="97"/>
      <c r="CF25" s="97"/>
      <c r="CG25" s="61"/>
      <c r="CH25" s="65"/>
      <c r="CI25" s="61"/>
      <c r="CJ25" s="61"/>
      <c r="CK25" s="65"/>
      <c r="CL25" s="61"/>
      <c r="CM25" s="61"/>
      <c r="CN25" s="65"/>
      <c r="CO25" s="61"/>
      <c r="CP25" s="61"/>
      <c r="CQ25" s="61"/>
      <c r="CR25" s="61"/>
      <c r="CS25" s="65"/>
      <c r="CT25" s="61"/>
      <c r="CU25" s="61"/>
      <c r="CV25" s="61"/>
      <c r="CW25" s="98"/>
      <c r="CX25" s="97"/>
      <c r="CY25" s="61"/>
      <c r="CZ25" s="65"/>
      <c r="DA25" s="61"/>
      <c r="DB25" s="61"/>
      <c r="DC25" s="65"/>
      <c r="DD25" s="61"/>
      <c r="DE25" s="61"/>
      <c r="DF25" s="65"/>
      <c r="DG25" s="61"/>
      <c r="DH25" s="61"/>
      <c r="DI25" s="61"/>
      <c r="DJ25" s="61"/>
      <c r="DK25" s="65"/>
      <c r="DL25" s="61"/>
      <c r="DM25" s="61"/>
      <c r="DN25" s="61"/>
      <c r="DO25" s="98"/>
      <c r="DP25" s="97"/>
      <c r="DQ25" s="61"/>
      <c r="DR25" s="65"/>
      <c r="DS25" s="61"/>
      <c r="DT25" s="61"/>
      <c r="DU25" s="65"/>
      <c r="DV25" s="61"/>
      <c r="DW25" s="61"/>
      <c r="DX25" s="65"/>
      <c r="DY25" s="61"/>
      <c r="DZ25" s="61"/>
      <c r="EA25" s="61"/>
      <c r="EB25" s="61"/>
      <c r="EC25" s="65"/>
      <c r="ED25" s="61"/>
      <c r="EE25" s="61"/>
      <c r="EF25" s="61"/>
      <c r="EG25" s="98"/>
      <c r="EH25" s="97"/>
      <c r="EI25" s="61"/>
      <c r="EJ25" s="65"/>
      <c r="EK25" s="61"/>
      <c r="EL25" s="61"/>
      <c r="EM25" s="61"/>
      <c r="EN25" s="61"/>
      <c r="EO25" s="61"/>
      <c r="EP25" s="65"/>
      <c r="EQ25" s="61"/>
      <c r="ER25" s="61"/>
      <c r="ES25" s="61"/>
      <c r="ET25" s="65"/>
      <c r="EU25" s="61"/>
      <c r="EV25" s="61"/>
      <c r="EW25" s="61"/>
      <c r="EX25" s="98"/>
      <c r="EY25" s="97"/>
      <c r="EZ25" s="65"/>
      <c r="FA25" s="61"/>
      <c r="FB25" s="61"/>
      <c r="FC25" s="61"/>
      <c r="FD25" s="65"/>
      <c r="FE25" s="61"/>
      <c r="FF25" s="61"/>
      <c r="FG25" s="65"/>
      <c r="FH25" s="61"/>
      <c r="FI25" s="61"/>
      <c r="FJ25" s="61"/>
      <c r="FK25" s="61"/>
      <c r="FL25" s="61"/>
      <c r="FM25" s="61"/>
      <c r="FN25" s="61"/>
      <c r="FO25" s="61"/>
      <c r="FP25" s="65"/>
      <c r="FQ25" s="61"/>
      <c r="FR25" s="61"/>
      <c r="FS25" s="61"/>
      <c r="FT25" s="49"/>
      <c r="FU25" s="61"/>
      <c r="FV25" s="61"/>
      <c r="FW25" s="61"/>
      <c r="FX25" s="65">
        <v>-1</v>
      </c>
      <c r="FY25" s="65">
        <v>-1</v>
      </c>
      <c r="FZ25" s="65">
        <v>-1</v>
      </c>
      <c r="GA25" s="65">
        <v>-1</v>
      </c>
      <c r="GB25" s="65">
        <v>-1</v>
      </c>
      <c r="GC25" s="65">
        <v>-1</v>
      </c>
      <c r="GD25" s="65"/>
      <c r="GE25" s="65"/>
      <c r="GF25" s="65"/>
      <c r="GG25" s="65"/>
      <c r="GH25" s="65"/>
      <c r="GI25" s="65"/>
      <c r="GJ25" s="65"/>
      <c r="GK25" s="65"/>
      <c r="GL25" s="65"/>
      <c r="GM25" s="65">
        <v>-6</v>
      </c>
      <c r="GN25" s="66"/>
      <c r="GO25" s="66"/>
      <c r="GP25" s="61"/>
      <c r="GQ25" s="61" t="s">
        <v>277</v>
      </c>
      <c r="GR25" s="61" t="s">
        <v>277</v>
      </c>
      <c r="GS25" s="65">
        <v>6</v>
      </c>
      <c r="GT25" s="65">
        <v>6</v>
      </c>
      <c r="GU25" s="65">
        <v>41</v>
      </c>
      <c r="GV25" s="65">
        <v>19</v>
      </c>
      <c r="GW25" s="67"/>
    </row>
    <row r="26" spans="1:205" s="40" customFormat="1" x14ac:dyDescent="0.25">
      <c r="A26" s="65">
        <v>164</v>
      </c>
      <c r="B26" s="61" t="s">
        <v>347</v>
      </c>
      <c r="C26" s="61">
        <v>57.5</v>
      </c>
      <c r="D26" s="61" t="s">
        <v>353</v>
      </c>
      <c r="E26" s="61" t="s">
        <v>320</v>
      </c>
      <c r="F26" s="61" t="s">
        <v>281</v>
      </c>
      <c r="G26" s="61" t="s">
        <v>282</v>
      </c>
      <c r="H26" s="61" t="s">
        <v>282</v>
      </c>
      <c r="I26" s="61" t="s">
        <v>282</v>
      </c>
      <c r="J26" s="61" t="s">
        <v>282</v>
      </c>
      <c r="K26" s="61" t="s">
        <v>282</v>
      </c>
      <c r="L26" s="61" t="s">
        <v>282</v>
      </c>
      <c r="M26" s="61" t="s">
        <v>282</v>
      </c>
      <c r="N26" s="61" t="s">
        <v>282</v>
      </c>
      <c r="O26" s="65">
        <v>0</v>
      </c>
      <c r="P26" s="61"/>
      <c r="Q26" s="61"/>
      <c r="R26" s="61" t="s">
        <v>355</v>
      </c>
      <c r="S26" s="61"/>
      <c r="T26" s="61"/>
      <c r="U26" s="61" t="s">
        <v>322</v>
      </c>
      <c r="V26" s="61"/>
      <c r="W26" s="61"/>
      <c r="X26" s="61" t="s">
        <v>350</v>
      </c>
      <c r="Y26" s="65"/>
      <c r="Z26" s="61"/>
      <c r="AA26" s="61"/>
      <c r="AB26" s="61"/>
      <c r="AC26" s="61"/>
      <c r="AD26" s="65"/>
      <c r="AE26" s="61"/>
      <c r="AF26" s="61"/>
      <c r="AG26" s="61"/>
      <c r="AH26" s="98" t="s">
        <v>305</v>
      </c>
      <c r="AI26" s="97" t="str">
        <f t="shared" si="0"/>
        <v/>
      </c>
      <c r="AJ26" s="61"/>
      <c r="AK26" s="65"/>
      <c r="AL26" s="61"/>
      <c r="AM26" s="61"/>
      <c r="AN26" s="65"/>
      <c r="AO26" s="61"/>
      <c r="AP26" s="61"/>
      <c r="AQ26" s="61"/>
      <c r="AR26" s="65"/>
      <c r="AS26" s="61"/>
      <c r="AT26" s="61"/>
      <c r="AU26" s="61"/>
      <c r="AV26" s="61"/>
      <c r="AW26" s="65"/>
      <c r="AX26" s="61"/>
      <c r="AY26" s="61"/>
      <c r="AZ26" s="61"/>
      <c r="BA26" s="98"/>
      <c r="BB26" s="97"/>
      <c r="BC26" s="61"/>
      <c r="BD26" s="65"/>
      <c r="BE26" s="61"/>
      <c r="BF26" s="61"/>
      <c r="BG26" s="65"/>
      <c r="BH26" s="61"/>
      <c r="BI26" s="61"/>
      <c r="BJ26" s="61"/>
      <c r="BK26" s="61"/>
      <c r="BL26" s="65"/>
      <c r="BM26" s="61"/>
      <c r="BN26" s="61"/>
      <c r="BO26" s="61"/>
      <c r="BP26" s="61"/>
      <c r="BQ26" s="65"/>
      <c r="BR26" s="61"/>
      <c r="BS26" s="61"/>
      <c r="BT26" s="65"/>
      <c r="BU26" s="61"/>
      <c r="BV26" s="61"/>
      <c r="BW26" s="65"/>
      <c r="BX26" s="61"/>
      <c r="BY26" s="61"/>
      <c r="BZ26" s="61"/>
      <c r="CA26" s="65"/>
      <c r="CB26" s="61"/>
      <c r="CC26" s="61"/>
      <c r="CD26" s="61"/>
      <c r="CE26" s="97"/>
      <c r="CF26" s="97"/>
      <c r="CG26" s="61"/>
      <c r="CH26" s="65"/>
      <c r="CI26" s="61"/>
      <c r="CJ26" s="61"/>
      <c r="CK26" s="65"/>
      <c r="CL26" s="61"/>
      <c r="CM26" s="61"/>
      <c r="CN26" s="65"/>
      <c r="CO26" s="61"/>
      <c r="CP26" s="61"/>
      <c r="CQ26" s="61"/>
      <c r="CR26" s="61"/>
      <c r="CS26" s="65"/>
      <c r="CT26" s="61"/>
      <c r="CU26" s="61"/>
      <c r="CV26" s="61"/>
      <c r="CW26" s="98"/>
      <c r="CX26" s="97"/>
      <c r="CY26" s="61"/>
      <c r="CZ26" s="65"/>
      <c r="DA26" s="61"/>
      <c r="DB26" s="61"/>
      <c r="DC26" s="65"/>
      <c r="DD26" s="61"/>
      <c r="DE26" s="61"/>
      <c r="DF26" s="65"/>
      <c r="DG26" s="61"/>
      <c r="DH26" s="61"/>
      <c r="DI26" s="61"/>
      <c r="DJ26" s="61"/>
      <c r="DK26" s="65"/>
      <c r="DL26" s="61"/>
      <c r="DM26" s="61"/>
      <c r="DN26" s="61"/>
      <c r="DO26" s="98"/>
      <c r="DP26" s="97"/>
      <c r="DQ26" s="61"/>
      <c r="DR26" s="65"/>
      <c r="DS26" s="61"/>
      <c r="DT26" s="61"/>
      <c r="DU26" s="65"/>
      <c r="DV26" s="61"/>
      <c r="DW26" s="61"/>
      <c r="DX26" s="65"/>
      <c r="DY26" s="61"/>
      <c r="DZ26" s="61"/>
      <c r="EA26" s="61"/>
      <c r="EB26" s="61"/>
      <c r="EC26" s="65"/>
      <c r="ED26" s="61"/>
      <c r="EE26" s="61"/>
      <c r="EF26" s="61"/>
      <c r="EG26" s="98"/>
      <c r="EH26" s="97"/>
      <c r="EI26" s="61"/>
      <c r="EJ26" s="65"/>
      <c r="EK26" s="61"/>
      <c r="EL26" s="61"/>
      <c r="EM26" s="61"/>
      <c r="EN26" s="61"/>
      <c r="EO26" s="61"/>
      <c r="EP26" s="65"/>
      <c r="EQ26" s="61"/>
      <c r="ER26" s="61"/>
      <c r="ES26" s="61"/>
      <c r="ET26" s="65"/>
      <c r="EU26" s="61"/>
      <c r="EV26" s="61"/>
      <c r="EW26" s="61"/>
      <c r="EX26" s="98"/>
      <c r="EY26" s="97"/>
      <c r="EZ26" s="65"/>
      <c r="FA26" s="61"/>
      <c r="FB26" s="61"/>
      <c r="FC26" s="61"/>
      <c r="FD26" s="65"/>
      <c r="FE26" s="61"/>
      <c r="FF26" s="61"/>
      <c r="FG26" s="65"/>
      <c r="FH26" s="61"/>
      <c r="FI26" s="61"/>
      <c r="FJ26" s="61"/>
      <c r="FK26" s="61"/>
      <c r="FL26" s="61"/>
      <c r="FM26" s="61"/>
      <c r="FN26" s="61"/>
      <c r="FO26" s="61"/>
      <c r="FP26" s="65"/>
      <c r="FQ26" s="61"/>
      <c r="FR26" s="61"/>
      <c r="FS26" s="61"/>
      <c r="FT26" s="49"/>
      <c r="FU26" s="61"/>
      <c r="FV26" s="61"/>
      <c r="FW26" s="61"/>
      <c r="FX26" s="65">
        <v>-1</v>
      </c>
      <c r="FY26" s="65">
        <v>-1</v>
      </c>
      <c r="FZ26" s="65">
        <v>-1</v>
      </c>
      <c r="GA26" s="65">
        <v>-1</v>
      </c>
      <c r="GB26" s="65">
        <v>-1</v>
      </c>
      <c r="GC26" s="65"/>
      <c r="GD26" s="65"/>
      <c r="GE26" s="65"/>
      <c r="GF26" s="65"/>
      <c r="GG26" s="65"/>
      <c r="GH26" s="65"/>
      <c r="GI26" s="65"/>
      <c r="GJ26" s="65"/>
      <c r="GK26" s="65"/>
      <c r="GL26" s="65"/>
      <c r="GM26" s="65">
        <v>-5</v>
      </c>
      <c r="GN26" s="66"/>
      <c r="GO26" s="66"/>
      <c r="GP26" s="61"/>
      <c r="GQ26" s="61" t="s">
        <v>277</v>
      </c>
      <c r="GR26" s="61" t="s">
        <v>277</v>
      </c>
      <c r="GS26" s="65">
        <v>5</v>
      </c>
      <c r="GT26" s="65">
        <v>5</v>
      </c>
      <c r="GU26" s="65">
        <v>14</v>
      </c>
      <c r="GV26" s="65">
        <v>1</v>
      </c>
      <c r="GW26" s="67"/>
    </row>
    <row r="27" spans="1:205" s="40" customFormat="1" x14ac:dyDescent="0.25">
      <c r="A27" s="65">
        <v>165</v>
      </c>
      <c r="B27" s="61" t="s">
        <v>347</v>
      </c>
      <c r="C27" s="61">
        <v>57.5</v>
      </c>
      <c r="D27" s="61" t="s">
        <v>353</v>
      </c>
      <c r="E27" s="61" t="s">
        <v>320</v>
      </c>
      <c r="F27" s="61" t="s">
        <v>282</v>
      </c>
      <c r="G27" s="61" t="s">
        <v>282</v>
      </c>
      <c r="H27" s="61" t="s">
        <v>282</v>
      </c>
      <c r="I27" s="61" t="s">
        <v>282</v>
      </c>
      <c r="J27" s="61" t="s">
        <v>282</v>
      </c>
      <c r="K27" s="61" t="s">
        <v>281</v>
      </c>
      <c r="L27" s="61" t="s">
        <v>282</v>
      </c>
      <c r="M27" s="61" t="s">
        <v>282</v>
      </c>
      <c r="N27" s="61" t="s">
        <v>282</v>
      </c>
      <c r="O27" s="65">
        <v>0</v>
      </c>
      <c r="P27" s="61"/>
      <c r="Q27" s="61"/>
      <c r="R27" s="61" t="s">
        <v>355</v>
      </c>
      <c r="S27" s="61"/>
      <c r="T27" s="61"/>
      <c r="U27" s="61" t="s">
        <v>322</v>
      </c>
      <c r="V27" s="61"/>
      <c r="W27" s="61"/>
      <c r="X27" s="61" t="s">
        <v>350</v>
      </c>
      <c r="Y27" s="65">
        <v>0</v>
      </c>
      <c r="Z27" s="61"/>
      <c r="AA27" s="61"/>
      <c r="AB27" s="61" t="s">
        <v>294</v>
      </c>
      <c r="AC27" s="61" t="s">
        <v>331</v>
      </c>
      <c r="AD27" s="65">
        <v>0</v>
      </c>
      <c r="AE27" s="61"/>
      <c r="AF27" s="61"/>
      <c r="AG27" s="61" t="s">
        <v>305</v>
      </c>
      <c r="AH27" s="98" t="s">
        <v>305</v>
      </c>
      <c r="AI27" s="97">
        <f t="shared" si="0"/>
        <v>1</v>
      </c>
      <c r="AJ27" s="61" t="s">
        <v>297</v>
      </c>
      <c r="AK27" s="65">
        <v>0</v>
      </c>
      <c r="AL27" s="61"/>
      <c r="AM27" s="61"/>
      <c r="AN27" s="65">
        <v>0</v>
      </c>
      <c r="AO27" s="61"/>
      <c r="AP27" s="61"/>
      <c r="AQ27" s="61" t="s">
        <v>299</v>
      </c>
      <c r="AR27" s="65"/>
      <c r="AS27" s="61"/>
      <c r="AT27" s="61"/>
      <c r="AU27" s="61"/>
      <c r="AV27" s="61"/>
      <c r="AW27" s="65"/>
      <c r="AX27" s="61"/>
      <c r="AY27" s="61"/>
      <c r="AZ27" s="61"/>
      <c r="BA27" s="98"/>
      <c r="BB27" s="97"/>
      <c r="BC27" s="61"/>
      <c r="BD27" s="65"/>
      <c r="BE27" s="61"/>
      <c r="BF27" s="61"/>
      <c r="BG27" s="65"/>
      <c r="BH27" s="61"/>
      <c r="BI27" s="61"/>
      <c r="BJ27" s="61"/>
      <c r="BK27" s="61"/>
      <c r="BL27" s="65"/>
      <c r="BM27" s="61"/>
      <c r="BN27" s="61"/>
      <c r="BO27" s="61"/>
      <c r="BP27" s="61"/>
      <c r="BQ27" s="65"/>
      <c r="BR27" s="61"/>
      <c r="BS27" s="61"/>
      <c r="BT27" s="65"/>
      <c r="BU27" s="61"/>
      <c r="BV27" s="61"/>
      <c r="BW27" s="65"/>
      <c r="BX27" s="61"/>
      <c r="BY27" s="61"/>
      <c r="BZ27" s="61"/>
      <c r="CA27" s="65"/>
      <c r="CB27" s="61"/>
      <c r="CC27" s="61"/>
      <c r="CD27" s="61"/>
      <c r="CE27" s="97"/>
      <c r="CF27" s="97"/>
      <c r="CG27" s="61"/>
      <c r="CH27" s="65"/>
      <c r="CI27" s="61"/>
      <c r="CJ27" s="61"/>
      <c r="CK27" s="65"/>
      <c r="CL27" s="61"/>
      <c r="CM27" s="61"/>
      <c r="CN27" s="65"/>
      <c r="CO27" s="61"/>
      <c r="CP27" s="61"/>
      <c r="CQ27" s="61"/>
      <c r="CR27" s="61"/>
      <c r="CS27" s="65"/>
      <c r="CT27" s="61"/>
      <c r="CU27" s="61"/>
      <c r="CV27" s="61"/>
      <c r="CW27" s="98"/>
      <c r="CX27" s="97"/>
      <c r="CY27" s="61"/>
      <c r="CZ27" s="65"/>
      <c r="DA27" s="61"/>
      <c r="DB27" s="61"/>
      <c r="DC27" s="65"/>
      <c r="DD27" s="61"/>
      <c r="DE27" s="61"/>
      <c r="DF27" s="65"/>
      <c r="DG27" s="61"/>
      <c r="DH27" s="61"/>
      <c r="DI27" s="61"/>
      <c r="DJ27" s="61"/>
      <c r="DK27" s="65"/>
      <c r="DL27" s="61"/>
      <c r="DM27" s="61"/>
      <c r="DN27" s="61"/>
      <c r="DO27" s="98"/>
      <c r="DP27" s="97"/>
      <c r="DQ27" s="61"/>
      <c r="DR27" s="65"/>
      <c r="DS27" s="61"/>
      <c r="DT27" s="61"/>
      <c r="DU27" s="65"/>
      <c r="DV27" s="61"/>
      <c r="DW27" s="61"/>
      <c r="DX27" s="65"/>
      <c r="DY27" s="61"/>
      <c r="DZ27" s="61"/>
      <c r="EA27" s="61"/>
      <c r="EB27" s="61"/>
      <c r="EC27" s="65"/>
      <c r="ED27" s="61"/>
      <c r="EE27" s="61"/>
      <c r="EF27" s="61"/>
      <c r="EG27" s="98"/>
      <c r="EH27" s="97"/>
      <c r="EI27" s="61"/>
      <c r="EJ27" s="65"/>
      <c r="EK27" s="61"/>
      <c r="EL27" s="61"/>
      <c r="EM27" s="61"/>
      <c r="EN27" s="61"/>
      <c r="EO27" s="61"/>
      <c r="EP27" s="65"/>
      <c r="EQ27" s="61"/>
      <c r="ER27" s="61"/>
      <c r="ES27" s="61"/>
      <c r="ET27" s="65"/>
      <c r="EU27" s="61"/>
      <c r="EV27" s="61"/>
      <c r="EW27" s="61"/>
      <c r="EX27" s="98"/>
      <c r="EY27" s="97"/>
      <c r="EZ27" s="65"/>
      <c r="FA27" s="61"/>
      <c r="FB27" s="61"/>
      <c r="FC27" s="61"/>
      <c r="FD27" s="65"/>
      <c r="FE27" s="61"/>
      <c r="FF27" s="61"/>
      <c r="FG27" s="65"/>
      <c r="FH27" s="61"/>
      <c r="FI27" s="61"/>
      <c r="FJ27" s="61"/>
      <c r="FK27" s="61"/>
      <c r="FL27" s="61"/>
      <c r="FM27" s="61"/>
      <c r="FN27" s="61"/>
      <c r="FO27" s="61"/>
      <c r="FP27" s="65"/>
      <c r="FQ27" s="61"/>
      <c r="FR27" s="61"/>
      <c r="FS27" s="61"/>
      <c r="FT27" s="49"/>
      <c r="FU27" s="61"/>
      <c r="FV27" s="61"/>
      <c r="FW27" s="61"/>
      <c r="FX27" s="65">
        <v>-1</v>
      </c>
      <c r="FY27" s="65">
        <v>-1</v>
      </c>
      <c r="FZ27" s="65">
        <v>-1</v>
      </c>
      <c r="GA27" s="65">
        <v>-1</v>
      </c>
      <c r="GB27" s="65">
        <v>-1</v>
      </c>
      <c r="GC27" s="65">
        <v>-1</v>
      </c>
      <c r="GD27" s="65"/>
      <c r="GE27" s="65"/>
      <c r="GF27" s="65"/>
      <c r="GG27" s="65"/>
      <c r="GH27" s="65"/>
      <c r="GI27" s="65"/>
      <c r="GJ27" s="65"/>
      <c r="GK27" s="65"/>
      <c r="GL27" s="65"/>
      <c r="GM27" s="65">
        <v>-6</v>
      </c>
      <c r="GN27" s="66"/>
      <c r="GO27" s="66"/>
      <c r="GP27" s="61"/>
      <c r="GQ27" s="61" t="s">
        <v>277</v>
      </c>
      <c r="GR27" s="61" t="s">
        <v>277</v>
      </c>
      <c r="GS27" s="65">
        <v>6</v>
      </c>
      <c r="GT27" s="65">
        <v>6</v>
      </c>
      <c r="GU27" s="65">
        <v>35</v>
      </c>
      <c r="GV27" s="65">
        <v>11</v>
      </c>
      <c r="GW27" s="67"/>
    </row>
    <row r="28" spans="1:205" s="40" customFormat="1" x14ac:dyDescent="0.25">
      <c r="A28" s="65">
        <v>211</v>
      </c>
      <c r="B28" s="61" t="s">
        <v>347</v>
      </c>
      <c r="C28" s="61">
        <v>57.5</v>
      </c>
      <c r="D28" s="61" t="s">
        <v>353</v>
      </c>
      <c r="E28" s="61" t="s">
        <v>377</v>
      </c>
      <c r="F28" s="61" t="s">
        <v>281</v>
      </c>
      <c r="G28" s="61" t="s">
        <v>282</v>
      </c>
      <c r="H28" s="61" t="s">
        <v>281</v>
      </c>
      <c r="I28" s="61" t="s">
        <v>282</v>
      </c>
      <c r="J28" s="61" t="s">
        <v>282</v>
      </c>
      <c r="K28" s="61" t="s">
        <v>281</v>
      </c>
      <c r="L28" s="61" t="s">
        <v>282</v>
      </c>
      <c r="M28" s="61" t="s">
        <v>282</v>
      </c>
      <c r="N28" s="61" t="s">
        <v>282</v>
      </c>
      <c r="O28" s="65">
        <v>0</v>
      </c>
      <c r="P28" s="61"/>
      <c r="Q28" s="61"/>
      <c r="R28" s="61" t="s">
        <v>355</v>
      </c>
      <c r="S28" s="61"/>
      <c r="T28" s="61"/>
      <c r="U28" s="61" t="s">
        <v>284</v>
      </c>
      <c r="V28" s="61"/>
      <c r="W28" s="61"/>
      <c r="X28" s="61" t="s">
        <v>350</v>
      </c>
      <c r="Y28" s="65">
        <v>1</v>
      </c>
      <c r="Z28" s="61" t="s">
        <v>635</v>
      </c>
      <c r="AA28" s="61"/>
      <c r="AB28" s="61" t="s">
        <v>303</v>
      </c>
      <c r="AC28" s="61" t="s">
        <v>331</v>
      </c>
      <c r="AD28" s="65">
        <v>0</v>
      </c>
      <c r="AE28" s="61"/>
      <c r="AF28" s="61"/>
      <c r="AG28" s="61" t="s">
        <v>305</v>
      </c>
      <c r="AH28" s="98" t="s">
        <v>305</v>
      </c>
      <c r="AI28" s="97">
        <f t="shared" si="0"/>
        <v>1</v>
      </c>
      <c r="AJ28" s="61" t="s">
        <v>500</v>
      </c>
      <c r="AK28" s="65">
        <v>0</v>
      </c>
      <c r="AL28" s="61"/>
      <c r="AM28" s="61"/>
      <c r="AN28" s="65">
        <v>0</v>
      </c>
      <c r="AO28" s="61"/>
      <c r="AP28" s="61"/>
      <c r="AQ28" s="61" t="s">
        <v>299</v>
      </c>
      <c r="AR28" s="65">
        <v>1</v>
      </c>
      <c r="AS28" s="61" t="s">
        <v>636</v>
      </c>
      <c r="AT28" s="61"/>
      <c r="AU28" s="61" t="s">
        <v>294</v>
      </c>
      <c r="AV28" s="61" t="s">
        <v>287</v>
      </c>
      <c r="AW28" s="65">
        <v>1</v>
      </c>
      <c r="AX28" s="61" t="s">
        <v>339</v>
      </c>
      <c r="AY28" s="61"/>
      <c r="AZ28" s="61" t="s">
        <v>288</v>
      </c>
      <c r="BA28" s="98" t="s">
        <v>840</v>
      </c>
      <c r="BB28" s="97">
        <v>1</v>
      </c>
      <c r="BC28" s="61" t="s">
        <v>287</v>
      </c>
      <c r="BD28" s="65">
        <v>1</v>
      </c>
      <c r="BE28" s="61" t="s">
        <v>339</v>
      </c>
      <c r="BF28" s="61"/>
      <c r="BG28" s="65">
        <v>0</v>
      </c>
      <c r="BH28" s="61"/>
      <c r="BI28" s="61" t="s">
        <v>299</v>
      </c>
      <c r="BJ28" s="61" t="s">
        <v>303</v>
      </c>
      <c r="BK28" s="61" t="s">
        <v>331</v>
      </c>
      <c r="BL28" s="65">
        <v>0</v>
      </c>
      <c r="BM28" s="61"/>
      <c r="BN28" s="61"/>
      <c r="BO28" s="61" t="s">
        <v>298</v>
      </c>
      <c r="BP28" s="61" t="s">
        <v>297</v>
      </c>
      <c r="BQ28" s="65">
        <v>0</v>
      </c>
      <c r="BR28" s="61"/>
      <c r="BS28" s="61"/>
      <c r="BT28" s="65">
        <v>0</v>
      </c>
      <c r="BU28" s="61"/>
      <c r="BV28" s="61" t="s">
        <v>292</v>
      </c>
      <c r="BW28" s="65">
        <v>1</v>
      </c>
      <c r="BX28" s="61" t="s">
        <v>637</v>
      </c>
      <c r="BY28" s="61" t="s">
        <v>303</v>
      </c>
      <c r="BZ28" s="61" t="s">
        <v>297</v>
      </c>
      <c r="CA28" s="65">
        <v>0</v>
      </c>
      <c r="CB28" s="61"/>
      <c r="CC28" s="61"/>
      <c r="CD28" s="61" t="s">
        <v>288</v>
      </c>
      <c r="CE28" s="97" t="s">
        <v>288</v>
      </c>
      <c r="CF28" s="97">
        <f t="shared" si="2"/>
        <v>1</v>
      </c>
      <c r="CG28" s="61" t="s">
        <v>297</v>
      </c>
      <c r="CH28" s="65">
        <v>0</v>
      </c>
      <c r="CI28" s="61"/>
      <c r="CJ28" s="61"/>
      <c r="CK28" s="65">
        <v>0</v>
      </c>
      <c r="CL28" s="61"/>
      <c r="CM28" s="61" t="s">
        <v>366</v>
      </c>
      <c r="CN28" s="65">
        <v>1</v>
      </c>
      <c r="CO28" s="61" t="s">
        <v>397</v>
      </c>
      <c r="CP28" s="61"/>
      <c r="CQ28" s="61" t="s">
        <v>303</v>
      </c>
      <c r="CR28" s="61" t="s">
        <v>500</v>
      </c>
      <c r="CS28" s="65">
        <v>1</v>
      </c>
      <c r="CT28" s="61" t="s">
        <v>297</v>
      </c>
      <c r="CU28" s="61"/>
      <c r="CV28" s="61" t="s">
        <v>298</v>
      </c>
      <c r="CW28" s="98" t="s">
        <v>298</v>
      </c>
      <c r="CX28" s="97">
        <f t="shared" si="3"/>
        <v>1</v>
      </c>
      <c r="CY28" s="61" t="s">
        <v>500</v>
      </c>
      <c r="CZ28" s="65">
        <v>0</v>
      </c>
      <c r="DA28" s="61"/>
      <c r="DB28" s="61"/>
      <c r="DC28" s="65">
        <v>0</v>
      </c>
      <c r="DD28" s="61"/>
      <c r="DE28" s="61" t="s">
        <v>296</v>
      </c>
      <c r="DF28" s="65">
        <v>1</v>
      </c>
      <c r="DG28" s="61" t="s">
        <v>372</v>
      </c>
      <c r="DH28" s="61"/>
      <c r="DI28" s="61" t="s">
        <v>303</v>
      </c>
      <c r="DJ28" s="61" t="s">
        <v>297</v>
      </c>
      <c r="DK28" s="65">
        <v>1</v>
      </c>
      <c r="DL28" s="61" t="s">
        <v>638</v>
      </c>
      <c r="DM28" s="61"/>
      <c r="DN28" s="61" t="s">
        <v>305</v>
      </c>
      <c r="DO28" s="98" t="s">
        <v>305</v>
      </c>
      <c r="DP28" s="97">
        <f t="shared" si="4"/>
        <v>1</v>
      </c>
      <c r="DQ28" s="61" t="s">
        <v>500</v>
      </c>
      <c r="DR28" s="65">
        <v>0</v>
      </c>
      <c r="DS28" s="61"/>
      <c r="DT28" s="61"/>
      <c r="DU28" s="65">
        <v>0</v>
      </c>
      <c r="DV28" s="61"/>
      <c r="DW28" s="61" t="s">
        <v>299</v>
      </c>
      <c r="DX28" s="65">
        <v>1</v>
      </c>
      <c r="DY28" s="61" t="s">
        <v>308</v>
      </c>
      <c r="DZ28" s="61"/>
      <c r="EA28" s="61" t="s">
        <v>303</v>
      </c>
      <c r="EB28" s="61" t="s">
        <v>331</v>
      </c>
      <c r="EC28" s="65">
        <v>0</v>
      </c>
      <c r="ED28" s="61"/>
      <c r="EE28" s="61"/>
      <c r="EF28" s="61" t="s">
        <v>298</v>
      </c>
      <c r="EG28" s="98" t="s">
        <v>305</v>
      </c>
      <c r="EH28" s="97" t="str">
        <f t="shared" si="5"/>
        <v/>
      </c>
      <c r="EI28" s="61" t="s">
        <v>331</v>
      </c>
      <c r="EJ28" s="65">
        <v>0</v>
      </c>
      <c r="EK28" s="61"/>
      <c r="EL28" s="61"/>
      <c r="EM28" s="61"/>
      <c r="EN28" s="61"/>
      <c r="EO28" s="61" t="s">
        <v>296</v>
      </c>
      <c r="EP28" s="65">
        <v>1</v>
      </c>
      <c r="EQ28" s="61" t="s">
        <v>513</v>
      </c>
      <c r="ER28" s="61" t="s">
        <v>303</v>
      </c>
      <c r="ES28" s="61" t="s">
        <v>331</v>
      </c>
      <c r="ET28" s="65">
        <v>0</v>
      </c>
      <c r="EU28" s="61"/>
      <c r="EV28" s="61"/>
      <c r="EW28" s="61" t="s">
        <v>298</v>
      </c>
      <c r="EX28" s="98" t="s">
        <v>305</v>
      </c>
      <c r="EY28" s="97" t="str">
        <f t="shared" si="6"/>
        <v/>
      </c>
      <c r="EZ28" s="65">
        <v>0</v>
      </c>
      <c r="FA28" s="61"/>
      <c r="FB28" s="61"/>
      <c r="FC28" s="61"/>
      <c r="FD28" s="65">
        <v>0</v>
      </c>
      <c r="FE28" s="61"/>
      <c r="FF28" s="61" t="s">
        <v>296</v>
      </c>
      <c r="FG28" s="65">
        <v>0</v>
      </c>
      <c r="FH28" s="61"/>
      <c r="FI28" s="61"/>
      <c r="FJ28" s="61"/>
      <c r="FK28" s="61"/>
      <c r="FL28" s="61"/>
      <c r="FM28" s="61"/>
      <c r="FN28" s="61"/>
      <c r="FO28" s="61"/>
      <c r="FP28" s="65">
        <v>0</v>
      </c>
      <c r="FQ28" s="61"/>
      <c r="FR28" s="61"/>
      <c r="FS28" s="61"/>
      <c r="FT28" s="49"/>
      <c r="FU28" s="61" t="s">
        <v>317</v>
      </c>
      <c r="FV28" s="61" t="s">
        <v>639</v>
      </c>
      <c r="FW28" s="61"/>
      <c r="FX28" s="65">
        <v>-1</v>
      </c>
      <c r="FY28" s="65">
        <v>-1</v>
      </c>
      <c r="FZ28" s="65">
        <v>-1</v>
      </c>
      <c r="GA28" s="65">
        <v>-1</v>
      </c>
      <c r="GB28" s="65">
        <v>-1</v>
      </c>
      <c r="GC28" s="65">
        <v>-1</v>
      </c>
      <c r="GD28" s="65">
        <v>-1</v>
      </c>
      <c r="GE28" s="65">
        <v>-1</v>
      </c>
      <c r="GF28" s="65">
        <v>-1</v>
      </c>
      <c r="GG28" s="65">
        <v>-1</v>
      </c>
      <c r="GH28" s="65">
        <v>-1</v>
      </c>
      <c r="GI28" s="65">
        <v>-1</v>
      </c>
      <c r="GJ28" s="65">
        <v>-1</v>
      </c>
      <c r="GK28" s="65">
        <v>-1</v>
      </c>
      <c r="GL28" s="65">
        <v>-1</v>
      </c>
      <c r="GM28" s="65">
        <v>-15</v>
      </c>
      <c r="GN28" s="66"/>
      <c r="GO28" s="66"/>
      <c r="GP28" s="61" t="s">
        <v>319</v>
      </c>
      <c r="GQ28" s="61" t="s">
        <v>320</v>
      </c>
      <c r="GR28" s="61" t="s">
        <v>277</v>
      </c>
      <c r="GS28" s="65">
        <v>15</v>
      </c>
      <c r="GT28" s="65">
        <v>15</v>
      </c>
      <c r="GU28" s="65">
        <v>34</v>
      </c>
      <c r="GV28" s="65">
        <v>9</v>
      </c>
      <c r="GW28" s="67"/>
    </row>
    <row r="29" spans="1:205" s="40" customFormat="1" x14ac:dyDescent="0.25">
      <c r="A29" s="65">
        <v>219</v>
      </c>
      <c r="B29" s="61" t="s">
        <v>347</v>
      </c>
      <c r="C29" s="61">
        <v>57.5</v>
      </c>
      <c r="D29" s="61" t="s">
        <v>279</v>
      </c>
      <c r="E29" s="61" t="s">
        <v>377</v>
      </c>
      <c r="F29" s="61" t="s">
        <v>281</v>
      </c>
      <c r="G29" s="61" t="s">
        <v>282</v>
      </c>
      <c r="H29" s="61" t="s">
        <v>282</v>
      </c>
      <c r="I29" s="61" t="s">
        <v>282</v>
      </c>
      <c r="J29" s="61" t="s">
        <v>282</v>
      </c>
      <c r="K29" s="61" t="s">
        <v>281</v>
      </c>
      <c r="L29" s="61" t="s">
        <v>282</v>
      </c>
      <c r="M29" s="61" t="s">
        <v>281</v>
      </c>
      <c r="N29" s="61" t="s">
        <v>282</v>
      </c>
      <c r="O29" s="65">
        <v>0</v>
      </c>
      <c r="P29" s="61"/>
      <c r="Q29" s="61"/>
      <c r="R29" s="61" t="s">
        <v>355</v>
      </c>
      <c r="S29" s="61"/>
      <c r="T29" s="61"/>
      <c r="U29" s="61" t="s">
        <v>322</v>
      </c>
      <c r="V29" s="61"/>
      <c r="W29" s="61"/>
      <c r="X29" s="61" t="s">
        <v>350</v>
      </c>
      <c r="Y29" s="65">
        <v>1</v>
      </c>
      <c r="Z29" s="61" t="s">
        <v>374</v>
      </c>
      <c r="AA29" s="61"/>
      <c r="AB29" s="61" t="s">
        <v>303</v>
      </c>
      <c r="AC29" s="61" t="s">
        <v>331</v>
      </c>
      <c r="AD29" s="65">
        <v>0</v>
      </c>
      <c r="AE29" s="61"/>
      <c r="AF29" s="61"/>
      <c r="AG29" s="61" t="s">
        <v>305</v>
      </c>
      <c r="AH29" s="98" t="s">
        <v>305</v>
      </c>
      <c r="AI29" s="97">
        <f t="shared" si="0"/>
        <v>1</v>
      </c>
      <c r="AJ29" s="61" t="s">
        <v>331</v>
      </c>
      <c r="AK29" s="65">
        <v>0</v>
      </c>
      <c r="AL29" s="61"/>
      <c r="AM29" s="61"/>
      <c r="AN29" s="65">
        <v>0</v>
      </c>
      <c r="AO29" s="61"/>
      <c r="AP29" s="61"/>
      <c r="AQ29" s="61" t="s">
        <v>292</v>
      </c>
      <c r="AR29" s="65">
        <v>0</v>
      </c>
      <c r="AS29" s="61"/>
      <c r="AT29" s="61"/>
      <c r="AU29" s="61"/>
      <c r="AV29" s="61"/>
      <c r="AW29" s="65">
        <v>0</v>
      </c>
      <c r="AX29" s="61"/>
      <c r="AY29" s="61"/>
      <c r="AZ29" s="61"/>
      <c r="BA29" s="98"/>
      <c r="BB29" s="97"/>
      <c r="BC29" s="61"/>
      <c r="BD29" s="65">
        <v>0</v>
      </c>
      <c r="BE29" s="61"/>
      <c r="BF29" s="61"/>
      <c r="BG29" s="65">
        <v>0</v>
      </c>
      <c r="BH29" s="61"/>
      <c r="BI29" s="61"/>
      <c r="BJ29" s="61" t="s">
        <v>301</v>
      </c>
      <c r="BK29" s="61" t="s">
        <v>339</v>
      </c>
      <c r="BL29" s="65">
        <v>0</v>
      </c>
      <c r="BM29" s="61"/>
      <c r="BN29" s="61"/>
      <c r="BO29" s="61" t="s">
        <v>324</v>
      </c>
      <c r="BP29" s="61" t="s">
        <v>339</v>
      </c>
      <c r="BQ29" s="65">
        <v>0</v>
      </c>
      <c r="BR29" s="61"/>
      <c r="BS29" s="61"/>
      <c r="BT29" s="65">
        <v>0</v>
      </c>
      <c r="BU29" s="61"/>
      <c r="BV29" s="61" t="s">
        <v>292</v>
      </c>
      <c r="BW29" s="65">
        <v>1</v>
      </c>
      <c r="BX29" s="61" t="s">
        <v>663</v>
      </c>
      <c r="BY29" s="61" t="s">
        <v>294</v>
      </c>
      <c r="BZ29" s="61" t="s">
        <v>297</v>
      </c>
      <c r="CA29" s="65">
        <v>0</v>
      </c>
      <c r="CB29" s="61"/>
      <c r="CC29" s="61"/>
      <c r="CD29" s="61" t="s">
        <v>305</v>
      </c>
      <c r="CE29" s="97" t="s">
        <v>298</v>
      </c>
      <c r="CF29" s="97" t="str">
        <f t="shared" si="2"/>
        <v/>
      </c>
      <c r="CG29" s="61" t="s">
        <v>302</v>
      </c>
      <c r="CH29" s="65">
        <v>0</v>
      </c>
      <c r="CI29" s="61"/>
      <c r="CJ29" s="61"/>
      <c r="CK29" s="65">
        <v>0</v>
      </c>
      <c r="CL29" s="61"/>
      <c r="CM29" s="61" t="s">
        <v>328</v>
      </c>
      <c r="CN29" s="65">
        <v>1</v>
      </c>
      <c r="CO29" s="61" t="s">
        <v>664</v>
      </c>
      <c r="CP29" s="61"/>
      <c r="CQ29" s="61" t="s">
        <v>294</v>
      </c>
      <c r="CR29" s="61" t="s">
        <v>297</v>
      </c>
      <c r="CS29" s="65">
        <v>0</v>
      </c>
      <c r="CT29" s="61"/>
      <c r="CU29" s="61"/>
      <c r="CV29" s="61" t="s">
        <v>288</v>
      </c>
      <c r="CW29" s="98" t="s">
        <v>837</v>
      </c>
      <c r="CX29" s="97">
        <f t="shared" si="3"/>
        <v>1</v>
      </c>
      <c r="CY29" s="61" t="s">
        <v>297</v>
      </c>
      <c r="CZ29" s="65">
        <v>0</v>
      </c>
      <c r="DA29" s="61"/>
      <c r="DB29" s="61"/>
      <c r="DC29" s="65">
        <v>0</v>
      </c>
      <c r="DD29" s="61"/>
      <c r="DE29" s="61" t="s">
        <v>292</v>
      </c>
      <c r="DF29" s="65">
        <v>0</v>
      </c>
      <c r="DG29" s="61"/>
      <c r="DH29" s="61"/>
      <c r="DI29" s="61"/>
      <c r="DJ29" s="61"/>
      <c r="DK29" s="65">
        <v>0</v>
      </c>
      <c r="DL29" s="61"/>
      <c r="DM29" s="61"/>
      <c r="DN29" s="61"/>
      <c r="DO29" s="98"/>
      <c r="DP29" s="97"/>
      <c r="DQ29" s="61"/>
      <c r="DR29" s="65">
        <v>0</v>
      </c>
      <c r="DS29" s="61"/>
      <c r="DT29" s="61"/>
      <c r="DU29" s="65">
        <v>0</v>
      </c>
      <c r="DV29" s="61"/>
      <c r="DW29" s="61"/>
      <c r="DX29" s="65">
        <v>1</v>
      </c>
      <c r="DY29" s="61" t="s">
        <v>411</v>
      </c>
      <c r="DZ29" s="61"/>
      <c r="EA29" s="61" t="s">
        <v>294</v>
      </c>
      <c r="EB29" s="61" t="s">
        <v>331</v>
      </c>
      <c r="EC29" s="65">
        <v>0</v>
      </c>
      <c r="ED29" s="61"/>
      <c r="EE29" s="61"/>
      <c r="EF29" s="61" t="s">
        <v>305</v>
      </c>
      <c r="EG29" s="98" t="s">
        <v>305</v>
      </c>
      <c r="EH29" s="97">
        <f t="shared" si="5"/>
        <v>1</v>
      </c>
      <c r="EI29" s="61" t="s">
        <v>331</v>
      </c>
      <c r="EJ29" s="65">
        <v>0</v>
      </c>
      <c r="EK29" s="61"/>
      <c r="EL29" s="61"/>
      <c r="EM29" s="61"/>
      <c r="EN29" s="61"/>
      <c r="EO29" s="61" t="s">
        <v>292</v>
      </c>
      <c r="EP29" s="65">
        <v>1</v>
      </c>
      <c r="EQ29" s="61" t="s">
        <v>384</v>
      </c>
      <c r="ER29" s="61" t="s">
        <v>301</v>
      </c>
      <c r="ES29" s="61" t="s">
        <v>297</v>
      </c>
      <c r="ET29" s="65">
        <v>0</v>
      </c>
      <c r="EU29" s="61"/>
      <c r="EV29" s="61"/>
      <c r="EW29" s="61" t="s">
        <v>288</v>
      </c>
      <c r="EX29" s="98" t="s">
        <v>288</v>
      </c>
      <c r="EY29" s="97">
        <f t="shared" si="6"/>
        <v>1</v>
      </c>
      <c r="EZ29" s="65">
        <v>0</v>
      </c>
      <c r="FA29" s="61"/>
      <c r="FB29" s="61"/>
      <c r="FC29" s="61"/>
      <c r="FD29" s="65">
        <v>0</v>
      </c>
      <c r="FE29" s="61"/>
      <c r="FF29" s="61" t="s">
        <v>328</v>
      </c>
      <c r="FG29" s="65">
        <v>0</v>
      </c>
      <c r="FH29" s="61"/>
      <c r="FI29" s="61"/>
      <c r="FJ29" s="61"/>
      <c r="FK29" s="61"/>
      <c r="FL29" s="61"/>
      <c r="FM29" s="61"/>
      <c r="FN29" s="61"/>
      <c r="FO29" s="61"/>
      <c r="FP29" s="65">
        <v>0</v>
      </c>
      <c r="FQ29" s="61"/>
      <c r="FR29" s="61"/>
      <c r="FS29" s="61"/>
      <c r="FT29" s="49"/>
      <c r="FU29" s="61" t="s">
        <v>351</v>
      </c>
      <c r="FV29" s="61" t="s">
        <v>665</v>
      </c>
      <c r="FW29" s="61"/>
      <c r="FX29" s="65">
        <v>-1</v>
      </c>
      <c r="FY29" s="65">
        <v>-1</v>
      </c>
      <c r="FZ29" s="65">
        <v>-1</v>
      </c>
      <c r="GA29" s="65">
        <v>-1</v>
      </c>
      <c r="GB29" s="65">
        <v>-1</v>
      </c>
      <c r="GC29" s="65">
        <v>-1</v>
      </c>
      <c r="GD29" s="65">
        <v>-1</v>
      </c>
      <c r="GE29" s="65">
        <v>-1</v>
      </c>
      <c r="GF29" s="65">
        <v>-1</v>
      </c>
      <c r="GG29" s="65">
        <v>-1</v>
      </c>
      <c r="GH29" s="65">
        <v>-1</v>
      </c>
      <c r="GI29" s="65">
        <v>-1</v>
      </c>
      <c r="GJ29" s="65">
        <v>-1</v>
      </c>
      <c r="GK29" s="65">
        <v>-1</v>
      </c>
      <c r="GL29" s="65">
        <v>-1</v>
      </c>
      <c r="GM29" s="65">
        <v>-15</v>
      </c>
      <c r="GN29" s="66"/>
      <c r="GO29" s="66"/>
      <c r="GP29" s="61"/>
      <c r="GQ29" s="61" t="s">
        <v>320</v>
      </c>
      <c r="GR29" s="61" t="s">
        <v>277</v>
      </c>
      <c r="GS29" s="65">
        <v>15</v>
      </c>
      <c r="GT29" s="65">
        <v>15</v>
      </c>
      <c r="GU29" s="65">
        <v>53</v>
      </c>
      <c r="GV29" s="65">
        <v>29</v>
      </c>
      <c r="GW29" s="67"/>
    </row>
    <row r="30" spans="1:205" s="45" customFormat="1" ht="13.8" thickBot="1" x14ac:dyDescent="0.3">
      <c r="A30" s="13">
        <v>241</v>
      </c>
      <c r="B30" s="21" t="s">
        <v>347</v>
      </c>
      <c r="C30" s="21">
        <v>57.5</v>
      </c>
      <c r="D30" s="14" t="s">
        <v>353</v>
      </c>
      <c r="E30" s="14" t="s">
        <v>422</v>
      </c>
      <c r="F30" s="14" t="s">
        <v>281</v>
      </c>
      <c r="G30" s="14" t="s">
        <v>282</v>
      </c>
      <c r="H30" s="14" t="s">
        <v>282</v>
      </c>
      <c r="I30" s="14" t="s">
        <v>282</v>
      </c>
      <c r="J30" s="14" t="s">
        <v>282</v>
      </c>
      <c r="K30" s="14" t="s">
        <v>281</v>
      </c>
      <c r="L30" s="14" t="s">
        <v>282</v>
      </c>
      <c r="M30" s="14" t="s">
        <v>282</v>
      </c>
      <c r="N30" s="14" t="s">
        <v>282</v>
      </c>
      <c r="O30" s="13">
        <v>0</v>
      </c>
      <c r="P30" s="14"/>
      <c r="Q30" s="14"/>
      <c r="R30" s="14" t="s">
        <v>355</v>
      </c>
      <c r="S30" s="14"/>
      <c r="T30" s="14"/>
      <c r="U30" s="14" t="s">
        <v>710</v>
      </c>
      <c r="V30" s="14"/>
      <c r="W30" s="14"/>
      <c r="X30" s="14" t="s">
        <v>350</v>
      </c>
      <c r="Y30" s="13">
        <v>1</v>
      </c>
      <c r="Z30" s="14" t="s">
        <v>711</v>
      </c>
      <c r="AA30" s="14"/>
      <c r="AB30" s="14" t="s">
        <v>294</v>
      </c>
      <c r="AC30" s="14" t="s">
        <v>331</v>
      </c>
      <c r="AD30" s="13">
        <v>0</v>
      </c>
      <c r="AE30" s="14"/>
      <c r="AF30" s="14"/>
      <c r="AG30" s="14" t="s">
        <v>305</v>
      </c>
      <c r="AH30" s="98" t="s">
        <v>305</v>
      </c>
      <c r="AI30" s="97">
        <f t="shared" si="0"/>
        <v>1</v>
      </c>
      <c r="AJ30" s="14" t="s">
        <v>331</v>
      </c>
      <c r="AK30" s="13">
        <v>0</v>
      </c>
      <c r="AL30" s="14"/>
      <c r="AM30" s="14"/>
      <c r="AN30" s="13">
        <v>1</v>
      </c>
      <c r="AO30" s="14" t="s">
        <v>712</v>
      </c>
      <c r="AP30" s="14"/>
      <c r="AQ30" s="14" t="s">
        <v>366</v>
      </c>
      <c r="AR30" s="13">
        <v>1</v>
      </c>
      <c r="AS30" s="14" t="s">
        <v>293</v>
      </c>
      <c r="AT30" s="14"/>
      <c r="AU30" s="14" t="s">
        <v>301</v>
      </c>
      <c r="AV30" s="14" t="s">
        <v>297</v>
      </c>
      <c r="AW30" s="13">
        <v>0</v>
      </c>
      <c r="AX30" s="14"/>
      <c r="AY30" s="14"/>
      <c r="AZ30" s="14" t="s">
        <v>288</v>
      </c>
      <c r="BA30" s="98" t="s">
        <v>840</v>
      </c>
      <c r="BB30" s="97">
        <v>1</v>
      </c>
      <c r="BC30" s="14" t="s">
        <v>302</v>
      </c>
      <c r="BD30" s="13">
        <v>0</v>
      </c>
      <c r="BE30" s="14"/>
      <c r="BF30" s="14"/>
      <c r="BG30" s="13">
        <v>1</v>
      </c>
      <c r="BH30" s="14" t="s">
        <v>713</v>
      </c>
      <c r="BI30" s="14" t="s">
        <v>292</v>
      </c>
      <c r="BJ30" s="14" t="s">
        <v>303</v>
      </c>
      <c r="BK30" s="14" t="s">
        <v>331</v>
      </c>
      <c r="BL30" s="13">
        <v>1</v>
      </c>
      <c r="BM30" s="14" t="s">
        <v>714</v>
      </c>
      <c r="BN30" s="14"/>
      <c r="BO30" s="14" t="s">
        <v>298</v>
      </c>
      <c r="BP30" s="14" t="s">
        <v>331</v>
      </c>
      <c r="BQ30" s="13">
        <v>0</v>
      </c>
      <c r="BR30" s="14"/>
      <c r="BS30" s="14"/>
      <c r="BT30" s="13">
        <v>0</v>
      </c>
      <c r="BU30" s="14"/>
      <c r="BV30" s="14" t="s">
        <v>296</v>
      </c>
      <c r="BW30" s="13">
        <v>1</v>
      </c>
      <c r="BX30" s="14" t="s">
        <v>405</v>
      </c>
      <c r="BY30" s="14" t="s">
        <v>294</v>
      </c>
      <c r="BZ30" s="14" t="s">
        <v>297</v>
      </c>
      <c r="CA30" s="13">
        <v>0</v>
      </c>
      <c r="CB30" s="14"/>
      <c r="CC30" s="14"/>
      <c r="CD30" s="14" t="s">
        <v>288</v>
      </c>
      <c r="CE30" s="97" t="s">
        <v>288</v>
      </c>
      <c r="CF30" s="97">
        <f t="shared" si="2"/>
        <v>1</v>
      </c>
      <c r="CG30" s="14" t="s">
        <v>302</v>
      </c>
      <c r="CH30" s="13">
        <v>0</v>
      </c>
      <c r="CI30" s="14"/>
      <c r="CJ30" s="14"/>
      <c r="CK30" s="13">
        <v>0</v>
      </c>
      <c r="CL30" s="14"/>
      <c r="CM30" s="14" t="s">
        <v>299</v>
      </c>
      <c r="CN30" s="13">
        <v>1</v>
      </c>
      <c r="CO30" s="14" t="s">
        <v>359</v>
      </c>
      <c r="CP30" s="14"/>
      <c r="CQ30" s="14" t="s">
        <v>294</v>
      </c>
      <c r="CR30" s="14" t="s">
        <v>297</v>
      </c>
      <c r="CS30" s="13">
        <v>0</v>
      </c>
      <c r="CT30" s="14"/>
      <c r="CU30" s="14"/>
      <c r="CV30" s="14" t="s">
        <v>305</v>
      </c>
      <c r="CW30" s="98" t="s">
        <v>305</v>
      </c>
      <c r="CX30" s="97">
        <f t="shared" si="3"/>
        <v>1</v>
      </c>
      <c r="CY30" s="14" t="s">
        <v>331</v>
      </c>
      <c r="CZ30" s="13">
        <v>0</v>
      </c>
      <c r="DA30" s="14"/>
      <c r="DB30" s="14"/>
      <c r="DC30" s="13">
        <v>1</v>
      </c>
      <c r="DD30" s="14" t="s">
        <v>715</v>
      </c>
      <c r="DE30" s="14" t="s">
        <v>296</v>
      </c>
      <c r="DF30" s="13">
        <v>0</v>
      </c>
      <c r="DG30" s="14"/>
      <c r="DH30" s="14"/>
      <c r="DI30" s="14"/>
      <c r="DJ30" s="14"/>
      <c r="DK30" s="13">
        <v>0</v>
      </c>
      <c r="DL30" s="14"/>
      <c r="DM30" s="14"/>
      <c r="DN30" s="14"/>
      <c r="DO30" s="98"/>
      <c r="DP30" s="97"/>
      <c r="DQ30" s="14"/>
      <c r="DR30" s="13">
        <v>0</v>
      </c>
      <c r="DS30" s="14"/>
      <c r="DT30" s="14"/>
      <c r="DU30" s="13">
        <v>0</v>
      </c>
      <c r="DV30" s="14"/>
      <c r="DW30" s="14"/>
      <c r="DX30" s="13">
        <v>1</v>
      </c>
      <c r="DY30" s="14" t="s">
        <v>512</v>
      </c>
      <c r="DZ30" s="14"/>
      <c r="EA30" s="14" t="s">
        <v>303</v>
      </c>
      <c r="EB30" s="14" t="s">
        <v>331</v>
      </c>
      <c r="EC30" s="13">
        <v>0</v>
      </c>
      <c r="ED30" s="14"/>
      <c r="EE30" s="14"/>
      <c r="EF30" s="14" t="s">
        <v>298</v>
      </c>
      <c r="EG30" s="98" t="s">
        <v>298</v>
      </c>
      <c r="EH30" s="97"/>
      <c r="EI30" s="14" t="s">
        <v>331</v>
      </c>
      <c r="EJ30" s="13">
        <v>0</v>
      </c>
      <c r="EK30" s="14"/>
      <c r="EL30" s="14"/>
      <c r="EM30" s="14" t="s">
        <v>716</v>
      </c>
      <c r="EN30" s="14"/>
      <c r="EO30" s="14" t="s">
        <v>366</v>
      </c>
      <c r="EP30" s="13">
        <v>1</v>
      </c>
      <c r="EQ30" s="14" t="s">
        <v>374</v>
      </c>
      <c r="ER30" s="14" t="s">
        <v>294</v>
      </c>
      <c r="ES30" s="14" t="s">
        <v>331</v>
      </c>
      <c r="ET30" s="13">
        <v>0</v>
      </c>
      <c r="EU30" s="14"/>
      <c r="EV30" s="14"/>
      <c r="EW30" s="14" t="s">
        <v>305</v>
      </c>
      <c r="EX30" s="98" t="s">
        <v>305</v>
      </c>
      <c r="EY30" s="97">
        <f t="shared" si="6"/>
        <v>1</v>
      </c>
      <c r="EZ30" s="13">
        <v>0</v>
      </c>
      <c r="FA30" s="14"/>
      <c r="FB30" s="14"/>
      <c r="FC30" s="14"/>
      <c r="FD30" s="13">
        <v>1</v>
      </c>
      <c r="FE30" s="14" t="s">
        <v>717</v>
      </c>
      <c r="FF30" s="14" t="s">
        <v>366</v>
      </c>
      <c r="FG30" s="13">
        <v>1</v>
      </c>
      <c r="FH30" s="14" t="s">
        <v>718</v>
      </c>
      <c r="FI30" s="14"/>
      <c r="FJ30" s="14"/>
      <c r="FK30" s="14"/>
      <c r="FL30" s="14" t="s">
        <v>397</v>
      </c>
      <c r="FM30" s="14" t="s">
        <v>719</v>
      </c>
      <c r="FN30" s="14"/>
      <c r="FO30" s="14"/>
      <c r="FP30" s="13">
        <v>1</v>
      </c>
      <c r="FQ30" s="14" t="s">
        <v>720</v>
      </c>
      <c r="FR30" s="14"/>
      <c r="FS30" s="14"/>
      <c r="FT30" s="17"/>
      <c r="FU30" s="14" t="s">
        <v>335</v>
      </c>
      <c r="FV30" s="14" t="s">
        <v>721</v>
      </c>
      <c r="FW30" s="14"/>
      <c r="FX30" s="13">
        <v>-1</v>
      </c>
      <c r="FY30" s="13">
        <v>-1</v>
      </c>
      <c r="FZ30" s="13">
        <v>-1</v>
      </c>
      <c r="GA30" s="13">
        <v>-1</v>
      </c>
      <c r="GB30" s="13">
        <v>-1</v>
      </c>
      <c r="GC30" s="13">
        <v>-1</v>
      </c>
      <c r="GD30" s="13">
        <v>-1</v>
      </c>
      <c r="GE30" s="13">
        <v>-1</v>
      </c>
      <c r="GF30" s="13">
        <v>-1</v>
      </c>
      <c r="GG30" s="13">
        <v>-1</v>
      </c>
      <c r="GH30" s="13">
        <v>-1</v>
      </c>
      <c r="GI30" s="13">
        <v>-1</v>
      </c>
      <c r="GJ30" s="13">
        <v>-1</v>
      </c>
      <c r="GK30" s="13">
        <v>-1</v>
      </c>
      <c r="GL30" s="13">
        <v>-1</v>
      </c>
      <c r="GM30" s="13">
        <v>-15</v>
      </c>
      <c r="GN30" s="15"/>
      <c r="GO30" s="15"/>
      <c r="GP30" s="14" t="s">
        <v>319</v>
      </c>
      <c r="GQ30" s="14" t="s">
        <v>320</v>
      </c>
      <c r="GR30" s="14" t="s">
        <v>277</v>
      </c>
      <c r="GS30" s="13">
        <v>15</v>
      </c>
      <c r="GT30" s="13">
        <v>15</v>
      </c>
      <c r="GU30" s="13">
        <v>34</v>
      </c>
      <c r="GV30" s="13">
        <v>14</v>
      </c>
      <c r="GW30" s="16"/>
    </row>
    <row r="31" spans="1:205" s="40" customFormat="1" x14ac:dyDescent="0.25">
      <c r="A31" s="1"/>
      <c r="B31" s="19"/>
      <c r="C31" s="19"/>
      <c r="D31" s="2"/>
      <c r="E31" s="2"/>
      <c r="F31" s="2"/>
      <c r="G31" s="2"/>
      <c r="H31" s="2"/>
      <c r="I31" s="2"/>
      <c r="J31" s="2"/>
      <c r="K31" s="2"/>
      <c r="L31" s="2"/>
      <c r="M31" s="2"/>
      <c r="N31" s="2"/>
      <c r="O31" s="1"/>
      <c r="P31" s="2"/>
      <c r="Q31" s="2"/>
      <c r="R31" s="2"/>
      <c r="S31" s="2"/>
      <c r="T31" s="2"/>
      <c r="U31" s="2"/>
      <c r="V31" s="2"/>
      <c r="W31" s="2"/>
      <c r="X31" s="2"/>
      <c r="Y31" s="1"/>
      <c r="Z31" s="2"/>
      <c r="AA31" s="2"/>
      <c r="AB31" s="2"/>
      <c r="AC31" s="2"/>
      <c r="AD31" s="1"/>
      <c r="AE31" s="2"/>
      <c r="AF31" s="2"/>
      <c r="AG31" s="2"/>
      <c r="AH31" s="97"/>
      <c r="AI31" s="97">
        <f>COUNTIF(AI2:AI30,1)</f>
        <v>13</v>
      </c>
      <c r="AK31" s="1"/>
      <c r="AL31" s="2"/>
      <c r="AM31" s="2"/>
      <c r="AN31" s="1"/>
      <c r="AO31" s="2"/>
      <c r="AP31" s="2"/>
      <c r="AQ31" s="2"/>
      <c r="AR31" s="1"/>
      <c r="AS31" s="2"/>
      <c r="AT31" s="2"/>
      <c r="AU31" s="2"/>
      <c r="AV31" s="2"/>
      <c r="AW31" s="1"/>
      <c r="AX31" s="2"/>
      <c r="AY31" s="2"/>
      <c r="AZ31" s="2"/>
      <c r="BA31" s="98"/>
      <c r="BB31" s="97">
        <f>COUNTIF(BB2:BB30,1)</f>
        <v>14</v>
      </c>
      <c r="BC31" s="2"/>
      <c r="BD31" s="1"/>
      <c r="BE31" s="2"/>
      <c r="BF31" s="2"/>
      <c r="BG31" s="1"/>
      <c r="BH31" s="2"/>
      <c r="BI31" s="2"/>
      <c r="BJ31" s="2"/>
      <c r="BK31" s="2"/>
      <c r="BL31" s="1"/>
      <c r="BM31" s="2"/>
      <c r="BN31" s="2"/>
      <c r="BO31" s="2"/>
      <c r="BP31" s="2"/>
      <c r="BQ31" s="1"/>
      <c r="BR31" s="2"/>
      <c r="BS31" s="2"/>
      <c r="BT31" s="1"/>
      <c r="BU31" s="2"/>
      <c r="BV31" s="2"/>
      <c r="BW31" s="1"/>
      <c r="BX31" s="2"/>
      <c r="BY31" s="2"/>
      <c r="BZ31" s="2"/>
      <c r="CA31" s="1"/>
      <c r="CB31" s="2"/>
      <c r="CC31" s="2"/>
      <c r="CD31" s="2"/>
      <c r="CE31" s="97"/>
      <c r="CF31" s="97">
        <f>COUNTIF(CF2:CF30,1)</f>
        <v>11</v>
      </c>
      <c r="CG31" s="2"/>
      <c r="CH31" s="1"/>
      <c r="CI31" s="2"/>
      <c r="CJ31" s="2"/>
      <c r="CK31" s="1"/>
      <c r="CL31" s="2"/>
      <c r="CM31" s="2"/>
      <c r="CN31" s="1"/>
      <c r="CO31" s="2"/>
      <c r="CP31" s="2"/>
      <c r="CQ31" s="2"/>
      <c r="CR31" s="2"/>
      <c r="CS31" s="1"/>
      <c r="CT31" s="2"/>
      <c r="CU31" s="2"/>
      <c r="CV31" s="2"/>
      <c r="CW31" s="98"/>
      <c r="CX31" s="97">
        <f>COUNTIF(CX2:CX30,1)</f>
        <v>12</v>
      </c>
      <c r="CY31" s="2"/>
      <c r="CZ31" s="1"/>
      <c r="DA31" s="2"/>
      <c r="DB31" s="2"/>
      <c r="DC31" s="1"/>
      <c r="DD31" s="2"/>
      <c r="DE31" s="2"/>
      <c r="DF31" s="1"/>
      <c r="DG31" s="2"/>
      <c r="DH31" s="2"/>
      <c r="DI31" s="2"/>
      <c r="DJ31" s="2"/>
      <c r="DK31" s="1"/>
      <c r="DL31" s="2"/>
      <c r="DM31" s="2"/>
      <c r="DN31" s="2"/>
      <c r="DO31" s="98"/>
      <c r="DP31" s="97">
        <f>COUNTIF(DP2:DP30,1)</f>
        <v>13</v>
      </c>
      <c r="DQ31" s="2"/>
      <c r="DR31" s="1"/>
      <c r="DS31" s="2"/>
      <c r="DT31" s="2"/>
      <c r="DU31" s="1"/>
      <c r="DV31" s="2"/>
      <c r="DW31" s="2"/>
      <c r="DX31" s="1"/>
      <c r="DY31" s="2"/>
      <c r="DZ31" s="2"/>
      <c r="EA31" s="2"/>
      <c r="EB31" s="2"/>
      <c r="EC31" s="1"/>
      <c r="ED31" s="2"/>
      <c r="EE31" s="2"/>
      <c r="EF31" s="2"/>
      <c r="EG31" s="98"/>
      <c r="EH31" s="97">
        <f>COUNTIF(EH2:EH30,1)</f>
        <v>9</v>
      </c>
      <c r="EI31" s="2"/>
      <c r="EJ31" s="1"/>
      <c r="EK31" s="2"/>
      <c r="EL31" s="2"/>
      <c r="EM31" s="2"/>
      <c r="EN31" s="2"/>
      <c r="EO31" s="2"/>
      <c r="EP31" s="1"/>
      <c r="EQ31" s="2"/>
      <c r="ER31" s="2"/>
      <c r="ES31" s="2"/>
      <c r="ET31" s="1"/>
      <c r="EU31" s="2"/>
      <c r="EV31" s="2"/>
      <c r="EW31" s="2"/>
      <c r="EX31" s="98"/>
      <c r="EY31" s="97">
        <f>COUNTIF(EY2:EY30,1)</f>
        <v>11</v>
      </c>
      <c r="EZ31" s="1"/>
      <c r="FA31" s="2"/>
      <c r="FB31" s="2"/>
      <c r="FC31" s="2"/>
      <c r="FD31" s="1"/>
      <c r="FE31" s="2"/>
      <c r="FF31" s="2"/>
      <c r="FG31" s="1"/>
      <c r="FH31" s="2"/>
      <c r="FI31" s="2"/>
      <c r="FJ31" s="2"/>
      <c r="FK31" s="2"/>
      <c r="FL31" s="2"/>
      <c r="FM31" s="2"/>
      <c r="FN31" s="2"/>
      <c r="FO31" s="2"/>
      <c r="FP31" s="1"/>
      <c r="FQ31" s="2"/>
      <c r="FR31" s="2"/>
      <c r="FS31" s="2"/>
      <c r="FT31"/>
      <c r="FU31" s="2"/>
      <c r="FV31" s="2"/>
      <c r="FW31" s="2"/>
      <c r="FX31" s="1"/>
      <c r="FY31" s="1"/>
      <c r="FZ31" s="1"/>
      <c r="GA31" s="1"/>
      <c r="GB31" s="1"/>
      <c r="GC31" s="1"/>
      <c r="GD31" s="1"/>
      <c r="GE31" s="1"/>
      <c r="GF31" s="1"/>
      <c r="GG31" s="1"/>
      <c r="GH31" s="1"/>
      <c r="GI31" s="1"/>
      <c r="GJ31" s="1"/>
      <c r="GK31" s="1"/>
      <c r="GL31" s="1"/>
      <c r="GM31" s="1"/>
      <c r="GN31" s="3"/>
      <c r="GO31" s="3"/>
      <c r="GP31" s="2"/>
      <c r="GQ31" s="2"/>
      <c r="GR31" s="2"/>
      <c r="GS31" s="1"/>
      <c r="GT31" s="1"/>
      <c r="GU31" s="1"/>
      <c r="GV31" s="1"/>
      <c r="GW31" s="4"/>
    </row>
    <row r="32" spans="1:205" s="40" customFormat="1" x14ac:dyDescent="0.25">
      <c r="A32" s="1"/>
      <c r="B32" s="19"/>
      <c r="C32" s="19"/>
      <c r="D32" s="2"/>
      <c r="E32" s="2"/>
      <c r="F32" s="2"/>
      <c r="G32" s="2"/>
      <c r="H32" s="2"/>
      <c r="I32" s="2"/>
      <c r="J32" s="2"/>
      <c r="K32" s="2"/>
      <c r="L32" s="2"/>
      <c r="M32" s="2"/>
      <c r="N32" s="2"/>
      <c r="O32" s="1"/>
      <c r="P32" s="2"/>
      <c r="Q32" s="2"/>
      <c r="R32" s="2"/>
      <c r="S32" s="2"/>
      <c r="T32" s="2"/>
      <c r="U32" s="2"/>
      <c r="V32" s="2"/>
      <c r="W32" s="2"/>
      <c r="X32" s="2"/>
      <c r="Y32" s="1"/>
      <c r="Z32" s="2"/>
      <c r="AA32" s="2"/>
      <c r="AB32" s="2"/>
      <c r="AC32" s="2"/>
      <c r="AD32" s="1"/>
      <c r="AE32" s="2"/>
      <c r="AF32" s="2"/>
      <c r="AG32" s="2"/>
      <c r="AH32" s="2"/>
      <c r="AI32" s="2"/>
      <c r="AJ32" s="2"/>
      <c r="AK32" s="1"/>
      <c r="AL32" s="2"/>
      <c r="AM32" s="2"/>
      <c r="AN32" s="1"/>
      <c r="AO32" s="2"/>
      <c r="AP32" s="2"/>
      <c r="AQ32" s="2"/>
      <c r="AR32" s="1"/>
      <c r="AS32" s="2"/>
      <c r="AT32" s="2"/>
      <c r="AU32" s="2"/>
      <c r="AV32" s="2"/>
      <c r="AW32" s="1"/>
      <c r="AX32" s="2"/>
      <c r="AY32" s="2"/>
      <c r="AZ32" s="2"/>
      <c r="BA32" s="98"/>
      <c r="BB32" s="97"/>
      <c r="BC32" s="2"/>
      <c r="BD32" s="1"/>
      <c r="BE32" s="2"/>
      <c r="BF32" s="2"/>
      <c r="BG32" s="1"/>
      <c r="BH32" s="2"/>
      <c r="BI32" s="2"/>
      <c r="BJ32" s="2"/>
      <c r="BK32" s="2"/>
      <c r="BL32" s="1"/>
      <c r="BM32" s="2"/>
      <c r="BN32" s="2"/>
      <c r="BO32" s="2"/>
      <c r="BP32" s="2"/>
      <c r="BQ32" s="1"/>
      <c r="BR32" s="2"/>
      <c r="BS32" s="2"/>
      <c r="BT32" s="1"/>
      <c r="BU32" s="2"/>
      <c r="BV32" s="2"/>
      <c r="BW32" s="1"/>
      <c r="BX32" s="2"/>
      <c r="BY32" s="2"/>
      <c r="BZ32" s="2"/>
      <c r="CA32" s="1"/>
      <c r="CB32" s="2"/>
      <c r="CC32" s="2"/>
      <c r="CD32" s="2"/>
      <c r="CE32" s="97"/>
      <c r="CF32" s="97"/>
      <c r="CG32" s="2"/>
      <c r="CH32" s="1"/>
      <c r="CI32" s="2"/>
      <c r="CJ32" s="2"/>
      <c r="CK32" s="1"/>
      <c r="CL32" s="2"/>
      <c r="CM32" s="2"/>
      <c r="CN32" s="1"/>
      <c r="CO32" s="2"/>
      <c r="CP32" s="2"/>
      <c r="CQ32" s="2"/>
      <c r="CR32" s="2"/>
      <c r="CS32" s="1"/>
      <c r="CT32" s="2"/>
      <c r="CU32" s="2"/>
      <c r="CV32" s="2"/>
      <c r="CW32" s="98"/>
      <c r="CX32" s="97"/>
      <c r="CY32" s="2"/>
      <c r="CZ32" s="1"/>
      <c r="DA32" s="2"/>
      <c r="DB32" s="2"/>
      <c r="DC32" s="1"/>
      <c r="DD32" s="2"/>
      <c r="DE32" s="2"/>
      <c r="DF32" s="1"/>
      <c r="DG32" s="2"/>
      <c r="DH32" s="2"/>
      <c r="DI32" s="2"/>
      <c r="DJ32" s="2"/>
      <c r="DK32" s="1"/>
      <c r="DL32" s="2"/>
      <c r="DM32" s="2"/>
      <c r="DN32" s="2"/>
      <c r="DO32" s="98"/>
      <c r="DP32" s="97"/>
      <c r="DQ32" s="2"/>
      <c r="DR32" s="1"/>
      <c r="DS32" s="2"/>
      <c r="DT32" s="2"/>
      <c r="DU32" s="1"/>
      <c r="DV32" s="2"/>
      <c r="DW32" s="2"/>
      <c r="DX32" s="1"/>
      <c r="DY32" s="2"/>
      <c r="DZ32" s="2"/>
      <c r="EA32" s="2"/>
      <c r="EB32" s="2"/>
      <c r="EC32" s="1"/>
      <c r="ED32" s="2"/>
      <c r="EE32" s="2"/>
      <c r="EF32" s="2"/>
      <c r="EG32" s="98"/>
      <c r="EH32" s="97"/>
      <c r="EI32" s="2"/>
      <c r="EJ32" s="1"/>
      <c r="EK32" s="2"/>
      <c r="EL32" s="2"/>
      <c r="EM32" s="2"/>
      <c r="EN32" s="2"/>
      <c r="EO32" s="2"/>
      <c r="EP32" s="1"/>
      <c r="EQ32" s="2"/>
      <c r="ER32" s="2"/>
      <c r="ES32" s="2"/>
      <c r="ET32" s="1"/>
      <c r="EU32" s="2"/>
      <c r="EV32" s="2"/>
      <c r="EW32" s="2"/>
      <c r="EX32" s="98"/>
      <c r="EY32" s="97"/>
      <c r="EZ32" s="1"/>
      <c r="FA32" s="2"/>
      <c r="FB32" s="2"/>
      <c r="FC32" s="2"/>
      <c r="FD32" s="1"/>
      <c r="FE32" s="2"/>
      <c r="FF32" s="2"/>
      <c r="FG32" s="1"/>
      <c r="FH32" s="2"/>
      <c r="FI32" s="2"/>
      <c r="FJ32" s="2"/>
      <c r="FK32" s="2"/>
      <c r="FL32" s="2"/>
      <c r="FM32" s="2"/>
      <c r="FN32" s="2"/>
      <c r="FO32" s="2"/>
      <c r="FP32" s="1"/>
      <c r="FQ32" s="2"/>
      <c r="FR32" s="2"/>
      <c r="FS32" s="2"/>
      <c r="FT32"/>
      <c r="FU32" s="2"/>
      <c r="FV32" s="2"/>
      <c r="FW32" s="2"/>
      <c r="FX32" s="1"/>
      <c r="FY32" s="1"/>
      <c r="FZ32" s="1"/>
      <c r="GA32" s="1"/>
      <c r="GB32" s="1"/>
      <c r="GC32" s="1"/>
      <c r="GD32" s="1"/>
      <c r="GE32" s="1"/>
      <c r="GF32" s="1"/>
      <c r="GG32" s="1"/>
      <c r="GH32" s="1"/>
      <c r="GI32" s="1"/>
      <c r="GJ32" s="1"/>
      <c r="GK32" s="1"/>
      <c r="GL32" s="1"/>
      <c r="GM32" s="1"/>
      <c r="GN32" s="3"/>
      <c r="GO32" s="3"/>
      <c r="GP32" s="2"/>
      <c r="GQ32" s="2"/>
      <c r="GR32" s="2"/>
      <c r="GS32" s="1"/>
      <c r="GT32" s="1"/>
      <c r="GU32" s="1"/>
      <c r="GV32" s="1"/>
      <c r="GW32" s="4"/>
    </row>
    <row r="33" spans="1:205" s="49" customFormat="1" x14ac:dyDescent="0.25">
      <c r="A33" s="38">
        <v>173</v>
      </c>
      <c r="B33" s="39" t="s">
        <v>321</v>
      </c>
      <c r="C33" s="39">
        <v>22</v>
      </c>
      <c r="D33" s="39" t="s">
        <v>353</v>
      </c>
      <c r="E33" s="39" t="s">
        <v>320</v>
      </c>
      <c r="F33" s="39" t="s">
        <v>282</v>
      </c>
      <c r="G33" s="39" t="s">
        <v>282</v>
      </c>
      <c r="H33" s="39" t="s">
        <v>282</v>
      </c>
      <c r="I33" s="39" t="s">
        <v>282</v>
      </c>
      <c r="J33" s="39" t="s">
        <v>282</v>
      </c>
      <c r="K33" s="39" t="s">
        <v>281</v>
      </c>
      <c r="L33" s="39" t="s">
        <v>282</v>
      </c>
      <c r="M33" s="39" t="s">
        <v>282</v>
      </c>
      <c r="N33" s="39" t="s">
        <v>282</v>
      </c>
      <c r="O33" s="38">
        <v>0</v>
      </c>
      <c r="P33" s="39"/>
      <c r="Q33" s="39"/>
      <c r="R33" s="39" t="s">
        <v>423</v>
      </c>
      <c r="S33" s="39"/>
      <c r="T33" s="39"/>
      <c r="U33" s="39"/>
      <c r="V33" s="39" t="s">
        <v>422</v>
      </c>
      <c r="W33" s="40" t="s">
        <v>424</v>
      </c>
      <c r="X33" s="39" t="s">
        <v>346</v>
      </c>
      <c r="Y33" s="38">
        <v>0</v>
      </c>
      <c r="Z33" s="39"/>
      <c r="AA33" s="39"/>
      <c r="AB33" s="39" t="s">
        <v>294</v>
      </c>
      <c r="AC33" s="39" t="s">
        <v>297</v>
      </c>
      <c r="AD33" s="38">
        <v>0</v>
      </c>
      <c r="AE33" s="39"/>
      <c r="AF33" s="39"/>
      <c r="AG33" s="39" t="s">
        <v>305</v>
      </c>
      <c r="AH33" s="98"/>
      <c r="AI33" s="97" t="str">
        <f t="shared" si="0"/>
        <v/>
      </c>
      <c r="AJ33" s="39" t="s">
        <v>331</v>
      </c>
      <c r="AK33" s="38">
        <v>0</v>
      </c>
      <c r="AL33" s="39"/>
      <c r="AM33" s="39"/>
      <c r="AN33" s="38">
        <v>0</v>
      </c>
      <c r="AO33" s="39"/>
      <c r="AP33" s="39"/>
      <c r="AQ33" s="39" t="s">
        <v>299</v>
      </c>
      <c r="AR33" s="38"/>
      <c r="AS33" s="39"/>
      <c r="AT33" s="39"/>
      <c r="AU33" s="39"/>
      <c r="AV33" s="39"/>
      <c r="AW33" s="38"/>
      <c r="AX33" s="39"/>
      <c r="AY33" s="39"/>
      <c r="AZ33" s="39"/>
      <c r="BA33" s="98"/>
      <c r="BB33" s="97"/>
      <c r="BC33" s="39"/>
      <c r="BD33" s="38"/>
      <c r="BE33" s="39"/>
      <c r="BF33" s="39"/>
      <c r="BG33" s="38"/>
      <c r="BH33" s="39"/>
      <c r="BI33" s="39"/>
      <c r="BJ33" s="39"/>
      <c r="BK33" s="39"/>
      <c r="BL33" s="38"/>
      <c r="BM33" s="39"/>
      <c r="BN33" s="39"/>
      <c r="BO33" s="39"/>
      <c r="BP33" s="39"/>
      <c r="BQ33" s="38"/>
      <c r="BR33" s="39"/>
      <c r="BS33" s="39"/>
      <c r="BT33" s="38"/>
      <c r="BU33" s="39"/>
      <c r="BV33" s="39"/>
      <c r="BW33" s="38"/>
      <c r="BX33" s="39"/>
      <c r="BY33" s="39"/>
      <c r="BZ33" s="39"/>
      <c r="CA33" s="38"/>
      <c r="CB33" s="39"/>
      <c r="CC33" s="39"/>
      <c r="CD33" s="39"/>
      <c r="CE33" s="97"/>
      <c r="CF33" s="97"/>
      <c r="CG33" s="39"/>
      <c r="CH33" s="38"/>
      <c r="CI33" s="39"/>
      <c r="CJ33" s="39"/>
      <c r="CK33" s="38"/>
      <c r="CL33" s="39"/>
      <c r="CM33" s="39"/>
      <c r="CN33" s="38"/>
      <c r="CO33" s="39"/>
      <c r="CP33" s="39"/>
      <c r="CQ33" s="39"/>
      <c r="CR33" s="39"/>
      <c r="CS33" s="38"/>
      <c r="CT33" s="39"/>
      <c r="CU33" s="39"/>
      <c r="CV33" s="39"/>
      <c r="CW33" s="98"/>
      <c r="CX33" s="97"/>
      <c r="CY33" s="39"/>
      <c r="CZ33" s="38"/>
      <c r="DA33" s="39"/>
      <c r="DB33" s="39"/>
      <c r="DC33" s="38"/>
      <c r="DD33" s="39"/>
      <c r="DE33" s="39"/>
      <c r="DF33" s="38"/>
      <c r="DG33" s="39"/>
      <c r="DH33" s="39"/>
      <c r="DI33" s="39"/>
      <c r="DJ33" s="39"/>
      <c r="DK33" s="38"/>
      <c r="DL33" s="39"/>
      <c r="DM33" s="39"/>
      <c r="DN33" s="39"/>
      <c r="DO33" s="98"/>
      <c r="DP33" s="97"/>
      <c r="DQ33" s="39"/>
      <c r="DR33" s="38"/>
      <c r="DS33" s="39"/>
      <c r="DT33" s="39"/>
      <c r="DU33" s="38"/>
      <c r="DV33" s="39"/>
      <c r="DW33" s="39"/>
      <c r="DX33" s="38"/>
      <c r="DY33" s="39"/>
      <c r="DZ33" s="39"/>
      <c r="EA33" s="39"/>
      <c r="EB33" s="39"/>
      <c r="EC33" s="38"/>
      <c r="ED33" s="39"/>
      <c r="EE33" s="39"/>
      <c r="EF33" s="39"/>
      <c r="EG33" s="98"/>
      <c r="EH33" s="97"/>
      <c r="EI33" s="39"/>
      <c r="EJ33" s="38"/>
      <c r="EK33" s="39"/>
      <c r="EL33" s="39"/>
      <c r="EM33" s="39"/>
      <c r="EN33" s="39"/>
      <c r="EO33" s="39"/>
      <c r="EP33" s="38"/>
      <c r="EQ33" s="39"/>
      <c r="ER33" s="39"/>
      <c r="ES33" s="39"/>
      <c r="ET33" s="38"/>
      <c r="EU33" s="39"/>
      <c r="EV33" s="39"/>
      <c r="EW33" s="39"/>
      <c r="EX33" s="98"/>
      <c r="EY33" s="97"/>
      <c r="EZ33" s="38"/>
      <c r="FA33" s="39"/>
      <c r="FB33" s="39"/>
      <c r="FC33" s="39"/>
      <c r="FD33" s="38"/>
      <c r="FE33" s="39"/>
      <c r="FF33" s="39"/>
      <c r="FG33" s="38"/>
      <c r="FH33" s="39"/>
      <c r="FI33" s="39"/>
      <c r="FJ33" s="39"/>
      <c r="FK33" s="39"/>
      <c r="FL33" s="39"/>
      <c r="FM33" s="39"/>
      <c r="FN33" s="39"/>
      <c r="FO33" s="39"/>
      <c r="FP33" s="38"/>
      <c r="FQ33" s="39"/>
      <c r="FR33" s="39"/>
      <c r="FS33" s="39"/>
      <c r="FT33" s="40"/>
      <c r="FU33" s="39"/>
      <c r="FV33" s="39"/>
      <c r="FW33" s="39"/>
      <c r="FX33" s="38">
        <v>-1</v>
      </c>
      <c r="FY33" s="38">
        <v>-1</v>
      </c>
      <c r="FZ33" s="38">
        <v>-1</v>
      </c>
      <c r="GA33" s="38">
        <v>-1</v>
      </c>
      <c r="GB33" s="38">
        <v>-1</v>
      </c>
      <c r="GC33" s="38">
        <v>-1</v>
      </c>
      <c r="GD33" s="38"/>
      <c r="GE33" s="38"/>
      <c r="GF33" s="38"/>
      <c r="GG33" s="38"/>
      <c r="GH33" s="38"/>
      <c r="GI33" s="38"/>
      <c r="GJ33" s="38"/>
      <c r="GK33" s="38"/>
      <c r="GL33" s="38"/>
      <c r="GM33" s="38">
        <v>-6</v>
      </c>
      <c r="GN33" s="41"/>
      <c r="GO33" s="41"/>
      <c r="GP33" s="39"/>
      <c r="GQ33" s="39" t="s">
        <v>277</v>
      </c>
      <c r="GR33" s="39" t="s">
        <v>277</v>
      </c>
      <c r="GS33" s="38">
        <v>6</v>
      </c>
      <c r="GT33" s="38">
        <v>6</v>
      </c>
      <c r="GU33" s="38">
        <v>35</v>
      </c>
      <c r="GV33" s="38">
        <v>11</v>
      </c>
      <c r="GW33" s="42"/>
    </row>
    <row r="34" spans="1:205" s="50" customFormat="1" x14ac:dyDescent="0.25">
      <c r="A34" s="38">
        <v>175</v>
      </c>
      <c r="B34" s="39" t="s">
        <v>321</v>
      </c>
      <c r="C34" s="39">
        <v>22</v>
      </c>
      <c r="D34" s="39" t="s">
        <v>279</v>
      </c>
      <c r="E34" s="39" t="s">
        <v>377</v>
      </c>
      <c r="F34" s="39" t="s">
        <v>281</v>
      </c>
      <c r="G34" s="39" t="s">
        <v>281</v>
      </c>
      <c r="H34" s="39" t="s">
        <v>282</v>
      </c>
      <c r="I34" s="39" t="s">
        <v>282</v>
      </c>
      <c r="J34" s="39" t="s">
        <v>282</v>
      </c>
      <c r="K34" s="39" t="s">
        <v>281</v>
      </c>
      <c r="L34" s="39" t="s">
        <v>282</v>
      </c>
      <c r="M34" s="39" t="s">
        <v>282</v>
      </c>
      <c r="N34" s="39" t="s">
        <v>282</v>
      </c>
      <c r="O34" s="38">
        <v>0</v>
      </c>
      <c r="P34" s="39"/>
      <c r="Q34" s="39"/>
      <c r="R34" s="39" t="s">
        <v>423</v>
      </c>
      <c r="S34" s="39"/>
      <c r="T34" s="39"/>
      <c r="U34" s="39"/>
      <c r="V34" s="39"/>
      <c r="W34" s="40" t="s">
        <v>464</v>
      </c>
      <c r="X34" s="39" t="s">
        <v>350</v>
      </c>
      <c r="Y34" s="38">
        <v>0</v>
      </c>
      <c r="Z34" s="39"/>
      <c r="AA34" s="39"/>
      <c r="AB34" s="39" t="s">
        <v>294</v>
      </c>
      <c r="AC34" s="39" t="s">
        <v>297</v>
      </c>
      <c r="AD34" s="38">
        <v>0</v>
      </c>
      <c r="AE34" s="39"/>
      <c r="AF34" s="39"/>
      <c r="AG34" s="39" t="s">
        <v>305</v>
      </c>
      <c r="AH34" s="98"/>
      <c r="AI34" s="97" t="str">
        <f t="shared" si="0"/>
        <v/>
      </c>
      <c r="AJ34" s="39" t="s">
        <v>287</v>
      </c>
      <c r="AK34" s="38">
        <v>0</v>
      </c>
      <c r="AL34" s="39"/>
      <c r="AM34" s="39"/>
      <c r="AN34" s="38">
        <v>0</v>
      </c>
      <c r="AO34" s="39"/>
      <c r="AP34" s="39"/>
      <c r="AQ34" s="39" t="s">
        <v>299</v>
      </c>
      <c r="AR34" s="38">
        <v>0</v>
      </c>
      <c r="AS34" s="39"/>
      <c r="AT34" s="39"/>
      <c r="AU34" s="39" t="s">
        <v>294</v>
      </c>
      <c r="AV34" s="39" t="s">
        <v>287</v>
      </c>
      <c r="AW34" s="38">
        <v>0</v>
      </c>
      <c r="AX34" s="39"/>
      <c r="AY34" s="39"/>
      <c r="AZ34" s="39" t="s">
        <v>288</v>
      </c>
      <c r="BA34" s="98"/>
      <c r="BB34" s="97" t="str">
        <f t="shared" si="1"/>
        <v/>
      </c>
      <c r="BC34" s="39" t="s">
        <v>287</v>
      </c>
      <c r="BD34" s="38">
        <v>0</v>
      </c>
      <c r="BE34" s="39"/>
      <c r="BF34" s="39"/>
      <c r="BG34" s="38">
        <v>0</v>
      </c>
      <c r="BH34" s="39"/>
      <c r="BI34" s="39" t="s">
        <v>299</v>
      </c>
      <c r="BJ34" s="39" t="s">
        <v>301</v>
      </c>
      <c r="BK34" s="39" t="s">
        <v>297</v>
      </c>
      <c r="BL34" s="38">
        <v>0</v>
      </c>
      <c r="BM34" s="39"/>
      <c r="BN34" s="39"/>
      <c r="BO34" s="39" t="s">
        <v>324</v>
      </c>
      <c r="BP34" s="39" t="s">
        <v>297</v>
      </c>
      <c r="BQ34" s="38">
        <v>0</v>
      </c>
      <c r="BR34" s="39"/>
      <c r="BS34" s="39"/>
      <c r="BT34" s="38">
        <v>0</v>
      </c>
      <c r="BU34" s="39"/>
      <c r="BV34" s="39" t="s">
        <v>299</v>
      </c>
      <c r="BW34" s="38">
        <v>0</v>
      </c>
      <c r="BX34" s="39"/>
      <c r="BY34" s="39" t="s">
        <v>294</v>
      </c>
      <c r="BZ34" s="39" t="s">
        <v>297</v>
      </c>
      <c r="CA34" s="38">
        <v>0</v>
      </c>
      <c r="CB34" s="39"/>
      <c r="CC34" s="39"/>
      <c r="CD34" s="39" t="s">
        <v>298</v>
      </c>
      <c r="CE34" s="97"/>
      <c r="CF34" s="97" t="str">
        <f t="shared" si="2"/>
        <v/>
      </c>
      <c r="CG34" s="39" t="s">
        <v>297</v>
      </c>
      <c r="CH34" s="38">
        <v>0</v>
      </c>
      <c r="CI34" s="39"/>
      <c r="CJ34" s="39"/>
      <c r="CK34" s="38">
        <v>0</v>
      </c>
      <c r="CL34" s="39"/>
      <c r="CM34" s="39" t="s">
        <v>299</v>
      </c>
      <c r="CN34" s="38">
        <v>0</v>
      </c>
      <c r="CO34" s="39"/>
      <c r="CP34" s="39"/>
      <c r="CQ34" s="39" t="s">
        <v>294</v>
      </c>
      <c r="CR34" s="39" t="s">
        <v>297</v>
      </c>
      <c r="CS34" s="38">
        <v>0</v>
      </c>
      <c r="CT34" s="39"/>
      <c r="CU34" s="39"/>
      <c r="CV34" s="39" t="s">
        <v>305</v>
      </c>
      <c r="CW34" s="98"/>
      <c r="CX34" s="97" t="str">
        <f t="shared" si="3"/>
        <v/>
      </c>
      <c r="CY34" s="39" t="s">
        <v>297</v>
      </c>
      <c r="CZ34" s="38">
        <v>0</v>
      </c>
      <c r="DA34" s="39"/>
      <c r="DB34" s="39"/>
      <c r="DC34" s="38">
        <v>0</v>
      </c>
      <c r="DD34" s="39"/>
      <c r="DE34" s="39" t="s">
        <v>299</v>
      </c>
      <c r="DF34" s="38">
        <v>0</v>
      </c>
      <c r="DG34" s="39"/>
      <c r="DH34" s="39"/>
      <c r="DI34" s="39" t="s">
        <v>301</v>
      </c>
      <c r="DJ34" s="39" t="s">
        <v>297</v>
      </c>
      <c r="DK34" s="38">
        <v>0</v>
      </c>
      <c r="DL34" s="39"/>
      <c r="DM34" s="39"/>
      <c r="DN34" s="39" t="s">
        <v>324</v>
      </c>
      <c r="DO34" s="98"/>
      <c r="DP34" s="97" t="str">
        <f t="shared" si="4"/>
        <v/>
      </c>
      <c r="DQ34" s="39" t="s">
        <v>297</v>
      </c>
      <c r="DR34" s="38">
        <v>0</v>
      </c>
      <c r="DS34" s="39"/>
      <c r="DT34" s="39"/>
      <c r="DU34" s="38">
        <v>0</v>
      </c>
      <c r="DV34" s="39"/>
      <c r="DW34" s="39" t="s">
        <v>299</v>
      </c>
      <c r="DX34" s="38">
        <v>0</v>
      </c>
      <c r="DY34" s="39"/>
      <c r="DZ34" s="39"/>
      <c r="EA34" s="39" t="s">
        <v>303</v>
      </c>
      <c r="EB34" s="39" t="s">
        <v>331</v>
      </c>
      <c r="EC34" s="38">
        <v>0</v>
      </c>
      <c r="ED34" s="39"/>
      <c r="EE34" s="39"/>
      <c r="EF34" s="39" t="s">
        <v>298</v>
      </c>
      <c r="EG34" s="98"/>
      <c r="EH34" s="97" t="str">
        <f t="shared" si="5"/>
        <v/>
      </c>
      <c r="EI34" s="39" t="s">
        <v>331</v>
      </c>
      <c r="EJ34" s="38">
        <v>0</v>
      </c>
      <c r="EK34" s="39"/>
      <c r="EL34" s="39"/>
      <c r="EM34" s="39"/>
      <c r="EN34" s="39"/>
      <c r="EO34" s="39" t="s">
        <v>299</v>
      </c>
      <c r="EP34" s="38">
        <v>0</v>
      </c>
      <c r="EQ34" s="39"/>
      <c r="ER34" s="39" t="s">
        <v>294</v>
      </c>
      <c r="ES34" s="39" t="s">
        <v>297</v>
      </c>
      <c r="ET34" s="38">
        <v>0</v>
      </c>
      <c r="EU34" s="39"/>
      <c r="EV34" s="39"/>
      <c r="EW34" s="39" t="s">
        <v>298</v>
      </c>
      <c r="EX34" s="98" t="s">
        <v>298</v>
      </c>
      <c r="EY34" s="97">
        <f t="shared" si="6"/>
        <v>1</v>
      </c>
      <c r="EZ34" s="38">
        <v>0</v>
      </c>
      <c r="FA34" s="39"/>
      <c r="FB34" s="39"/>
      <c r="FC34" s="39"/>
      <c r="FD34" s="38">
        <v>0</v>
      </c>
      <c r="FE34" s="39"/>
      <c r="FF34" s="39" t="s">
        <v>299</v>
      </c>
      <c r="FG34" s="38">
        <v>0</v>
      </c>
      <c r="FH34" s="39"/>
      <c r="FI34" s="39"/>
      <c r="FJ34" s="39"/>
      <c r="FK34" s="39"/>
      <c r="FL34" s="39"/>
      <c r="FM34" s="39"/>
      <c r="FN34" s="39"/>
      <c r="FO34" s="39"/>
      <c r="FP34" s="38">
        <v>0</v>
      </c>
      <c r="FQ34" s="39"/>
      <c r="FR34" s="39"/>
      <c r="FS34" s="39"/>
      <c r="FT34" s="40"/>
      <c r="FU34" s="39" t="s">
        <v>335</v>
      </c>
      <c r="FV34" s="39"/>
      <c r="FW34" s="39"/>
      <c r="FX34" s="38">
        <v>-1</v>
      </c>
      <c r="FY34" s="38">
        <v>-1</v>
      </c>
      <c r="FZ34" s="38">
        <v>-1</v>
      </c>
      <c r="GA34" s="38">
        <v>-1</v>
      </c>
      <c r="GB34" s="38">
        <v>-1</v>
      </c>
      <c r="GC34" s="38">
        <v>-1</v>
      </c>
      <c r="GD34" s="38">
        <v>-1</v>
      </c>
      <c r="GE34" s="38">
        <v>-1</v>
      </c>
      <c r="GF34" s="38">
        <v>-1</v>
      </c>
      <c r="GG34" s="38">
        <v>-1</v>
      </c>
      <c r="GH34" s="38">
        <v>-1</v>
      </c>
      <c r="GI34" s="38">
        <v>-1</v>
      </c>
      <c r="GJ34" s="38">
        <v>-1</v>
      </c>
      <c r="GK34" s="38">
        <v>-1</v>
      </c>
      <c r="GL34" s="38">
        <v>-1</v>
      </c>
      <c r="GM34" s="38">
        <v>-15</v>
      </c>
      <c r="GN34" s="41"/>
      <c r="GO34" s="41"/>
      <c r="GP34" s="39"/>
      <c r="GQ34" s="39" t="s">
        <v>320</v>
      </c>
      <c r="GR34" s="39" t="s">
        <v>277</v>
      </c>
      <c r="GS34" s="38">
        <v>15</v>
      </c>
      <c r="GT34" s="38">
        <v>15</v>
      </c>
      <c r="GU34" s="38">
        <v>51</v>
      </c>
      <c r="GV34" s="38">
        <v>21</v>
      </c>
      <c r="GW34" s="42"/>
    </row>
    <row r="35" spans="1:205" x14ac:dyDescent="0.25">
      <c r="A35" s="38">
        <v>176</v>
      </c>
      <c r="B35" s="39" t="s">
        <v>321</v>
      </c>
      <c r="C35" s="39">
        <v>22</v>
      </c>
      <c r="D35" s="39" t="s">
        <v>353</v>
      </c>
      <c r="E35" s="39" t="s">
        <v>422</v>
      </c>
      <c r="F35" s="39" t="s">
        <v>282</v>
      </c>
      <c r="G35" s="39" t="s">
        <v>282</v>
      </c>
      <c r="H35" s="39" t="s">
        <v>282</v>
      </c>
      <c r="I35" s="39" t="s">
        <v>282</v>
      </c>
      <c r="J35" s="39" t="s">
        <v>282</v>
      </c>
      <c r="K35" s="39" t="s">
        <v>281</v>
      </c>
      <c r="L35" s="39" t="s">
        <v>282</v>
      </c>
      <c r="M35" s="39" t="s">
        <v>282</v>
      </c>
      <c r="N35" s="39" t="s">
        <v>281</v>
      </c>
      <c r="O35" s="38">
        <v>0</v>
      </c>
      <c r="P35" s="39"/>
      <c r="Q35" s="39"/>
      <c r="R35" s="39" t="s">
        <v>423</v>
      </c>
      <c r="S35" s="39"/>
      <c r="T35" s="39"/>
      <c r="U35" s="39"/>
      <c r="V35" s="39"/>
      <c r="W35" s="40" t="s">
        <v>464</v>
      </c>
      <c r="X35" s="39" t="s">
        <v>316</v>
      </c>
      <c r="Y35" s="38"/>
      <c r="Z35" s="39"/>
      <c r="AA35" s="39"/>
      <c r="AB35" s="39"/>
      <c r="AC35" s="39"/>
      <c r="AD35" s="38"/>
      <c r="AE35" s="39"/>
      <c r="AF35" s="39"/>
      <c r="AG35" s="39"/>
      <c r="AH35" s="98"/>
      <c r="AJ35" s="39"/>
      <c r="AK35" s="38"/>
      <c r="AL35" s="39"/>
      <c r="AM35" s="39"/>
      <c r="AN35" s="38"/>
      <c r="AO35" s="39"/>
      <c r="AP35" s="39"/>
      <c r="AQ35" s="39"/>
      <c r="AR35" s="38"/>
      <c r="AS35" s="39"/>
      <c r="AT35" s="39"/>
      <c r="AU35" s="39"/>
      <c r="AV35" s="39"/>
      <c r="AW35" s="38"/>
      <c r="AX35" s="39"/>
      <c r="AY35" s="39"/>
      <c r="AZ35" s="39"/>
      <c r="BA35" s="98"/>
      <c r="BC35" s="39"/>
      <c r="BD35" s="38"/>
      <c r="BE35" s="39"/>
      <c r="BF35" s="39"/>
      <c r="BG35" s="38"/>
      <c r="BH35" s="39"/>
      <c r="BI35" s="39"/>
      <c r="BJ35" s="39"/>
      <c r="BK35" s="39"/>
      <c r="BL35" s="38"/>
      <c r="BM35" s="39"/>
      <c r="BN35" s="39"/>
      <c r="BO35" s="39"/>
      <c r="BP35" s="39"/>
      <c r="BQ35" s="38"/>
      <c r="BR35" s="39"/>
      <c r="BS35" s="39"/>
      <c r="BT35" s="38"/>
      <c r="BU35" s="39"/>
      <c r="BV35" s="39"/>
      <c r="BW35" s="38"/>
      <c r="BX35" s="39"/>
      <c r="BY35" s="39"/>
      <c r="BZ35" s="39"/>
      <c r="CA35" s="38"/>
      <c r="CB35" s="39"/>
      <c r="CC35" s="39"/>
      <c r="CD35" s="39"/>
      <c r="CE35" s="97"/>
      <c r="CG35" s="39"/>
      <c r="CH35" s="38"/>
      <c r="CI35" s="39"/>
      <c r="CJ35" s="39"/>
      <c r="CK35" s="38"/>
      <c r="CL35" s="39"/>
      <c r="CM35" s="39"/>
      <c r="CN35" s="38"/>
      <c r="CO35" s="39"/>
      <c r="CP35" s="39"/>
      <c r="CQ35" s="39"/>
      <c r="CR35" s="39"/>
      <c r="CS35" s="38"/>
      <c r="CT35" s="39"/>
      <c r="CU35" s="39"/>
      <c r="CV35" s="39"/>
      <c r="CW35" s="98"/>
      <c r="CY35" s="39"/>
      <c r="CZ35" s="38"/>
      <c r="DA35" s="39"/>
      <c r="DB35" s="39"/>
      <c r="DC35" s="38"/>
      <c r="DD35" s="39"/>
      <c r="DE35" s="39"/>
      <c r="DF35" s="38"/>
      <c r="DG35" s="39"/>
      <c r="DH35" s="39"/>
      <c r="DI35" s="39"/>
      <c r="DJ35" s="39"/>
      <c r="DK35" s="38"/>
      <c r="DL35" s="39"/>
      <c r="DM35" s="39"/>
      <c r="DN35" s="39"/>
      <c r="DO35" s="98"/>
      <c r="DQ35" s="39"/>
      <c r="DR35" s="38"/>
      <c r="DS35" s="39"/>
      <c r="DT35" s="39"/>
      <c r="DU35" s="38"/>
      <c r="DV35" s="39"/>
      <c r="DW35" s="39"/>
      <c r="DX35" s="38"/>
      <c r="DY35" s="39"/>
      <c r="DZ35" s="39"/>
      <c r="EA35" s="39"/>
      <c r="EB35" s="39"/>
      <c r="EC35" s="38"/>
      <c r="ED35" s="39"/>
      <c r="EE35" s="39"/>
      <c r="EF35" s="39"/>
      <c r="EG35" s="98"/>
      <c r="EI35" s="39"/>
      <c r="EJ35" s="38"/>
      <c r="EK35" s="39"/>
      <c r="EL35" s="39"/>
      <c r="EM35" s="39"/>
      <c r="EN35" s="39"/>
      <c r="EO35" s="39"/>
      <c r="EP35" s="38"/>
      <c r="EQ35" s="39"/>
      <c r="ER35" s="39"/>
      <c r="ES35" s="39"/>
      <c r="ET35" s="38"/>
      <c r="EU35" s="39"/>
      <c r="EV35" s="39"/>
      <c r="EW35" s="39"/>
      <c r="EX35" s="98"/>
      <c r="EZ35" s="38"/>
      <c r="FA35" s="39"/>
      <c r="FB35" s="39"/>
      <c r="FC35" s="39"/>
      <c r="FD35" s="38"/>
      <c r="FE35" s="39"/>
      <c r="FF35" s="39"/>
      <c r="FG35" s="38"/>
      <c r="FH35" s="39"/>
      <c r="FI35" s="39"/>
      <c r="FJ35" s="39"/>
      <c r="FK35" s="39"/>
      <c r="FL35" s="39"/>
      <c r="FM35" s="39"/>
      <c r="FN35" s="39"/>
      <c r="FO35" s="39"/>
      <c r="FP35" s="38"/>
      <c r="FQ35" s="39"/>
      <c r="FR35" s="39"/>
      <c r="FS35" s="39"/>
      <c r="FT35" s="40"/>
      <c r="FU35" s="39"/>
      <c r="FV35" s="39"/>
      <c r="FW35" s="39"/>
      <c r="FX35" s="38">
        <v>-1</v>
      </c>
      <c r="FY35" s="38">
        <v>-1</v>
      </c>
      <c r="FZ35" s="38">
        <v>-1</v>
      </c>
      <c r="GA35" s="38">
        <v>-1</v>
      </c>
      <c r="GB35" s="38">
        <v>-1</v>
      </c>
      <c r="GC35" s="38"/>
      <c r="GD35" s="38"/>
      <c r="GE35" s="38"/>
      <c r="GF35" s="38"/>
      <c r="GG35" s="38"/>
      <c r="GH35" s="38"/>
      <c r="GI35" s="38"/>
      <c r="GJ35" s="38"/>
      <c r="GK35" s="38"/>
      <c r="GL35" s="38"/>
      <c r="GM35" s="38">
        <v>-5</v>
      </c>
      <c r="GN35" s="41"/>
      <c r="GO35" s="41"/>
      <c r="GP35" s="39"/>
      <c r="GQ35" s="39" t="s">
        <v>277</v>
      </c>
      <c r="GR35" s="39" t="s">
        <v>277</v>
      </c>
      <c r="GS35" s="38">
        <v>5</v>
      </c>
      <c r="GT35" s="38">
        <v>5</v>
      </c>
      <c r="GU35" s="38">
        <v>14</v>
      </c>
      <c r="GV35" s="38">
        <v>1</v>
      </c>
      <c r="GW35" s="42"/>
    </row>
    <row r="36" spans="1:205" x14ac:dyDescent="0.25">
      <c r="A36" s="38">
        <v>189</v>
      </c>
      <c r="B36" s="39" t="s">
        <v>321</v>
      </c>
      <c r="C36" s="39">
        <v>22</v>
      </c>
      <c r="D36" s="39" t="s">
        <v>353</v>
      </c>
      <c r="E36" s="39" t="s">
        <v>320</v>
      </c>
      <c r="F36" s="39" t="s">
        <v>282</v>
      </c>
      <c r="G36" s="39" t="s">
        <v>282</v>
      </c>
      <c r="H36" s="39" t="s">
        <v>282</v>
      </c>
      <c r="I36" s="39" t="s">
        <v>282</v>
      </c>
      <c r="J36" s="39" t="s">
        <v>282</v>
      </c>
      <c r="K36" s="39" t="s">
        <v>281</v>
      </c>
      <c r="L36" s="39" t="s">
        <v>282</v>
      </c>
      <c r="M36" s="39" t="s">
        <v>282</v>
      </c>
      <c r="N36" s="39" t="s">
        <v>282</v>
      </c>
      <c r="O36" s="38">
        <v>0</v>
      </c>
      <c r="P36" s="39"/>
      <c r="Q36" s="39"/>
      <c r="R36" s="39" t="s">
        <v>423</v>
      </c>
      <c r="S36" s="39"/>
      <c r="T36" s="39"/>
      <c r="U36" s="39"/>
      <c r="V36" s="39"/>
      <c r="W36" s="40" t="s">
        <v>424</v>
      </c>
      <c r="X36" s="39" t="s">
        <v>346</v>
      </c>
      <c r="Y36" s="38">
        <v>0</v>
      </c>
      <c r="Z36" s="39"/>
      <c r="AA36" s="39"/>
      <c r="AB36" s="39" t="s">
        <v>294</v>
      </c>
      <c r="AC36" s="39" t="s">
        <v>297</v>
      </c>
      <c r="AD36" s="38">
        <v>0</v>
      </c>
      <c r="AE36" s="39"/>
      <c r="AF36" s="39"/>
      <c r="AG36" s="39" t="s">
        <v>288</v>
      </c>
      <c r="AI36" s="97" t="str">
        <f t="shared" si="0"/>
        <v/>
      </c>
      <c r="AJ36" s="39" t="s">
        <v>331</v>
      </c>
      <c r="AK36" s="38">
        <v>0</v>
      </c>
      <c r="AL36" s="39"/>
      <c r="AM36" s="39"/>
      <c r="AN36" s="38">
        <v>0</v>
      </c>
      <c r="AO36" s="39"/>
      <c r="AP36" s="39"/>
      <c r="AQ36" s="39" t="s">
        <v>299</v>
      </c>
      <c r="AR36" s="38">
        <v>0</v>
      </c>
      <c r="AS36" s="39"/>
      <c r="AT36" s="39"/>
      <c r="AU36" s="39" t="s">
        <v>301</v>
      </c>
      <c r="AV36" s="39" t="s">
        <v>297</v>
      </c>
      <c r="AW36" s="38">
        <v>0</v>
      </c>
      <c r="AX36" s="39"/>
      <c r="AY36" s="39"/>
      <c r="AZ36" s="39" t="s">
        <v>288</v>
      </c>
      <c r="BA36" s="98"/>
      <c r="BB36" s="97" t="str">
        <f t="shared" si="1"/>
        <v/>
      </c>
      <c r="BC36" s="39" t="s">
        <v>331</v>
      </c>
      <c r="BD36" s="38">
        <v>0</v>
      </c>
      <c r="BE36" s="39"/>
      <c r="BF36" s="39"/>
      <c r="BG36" s="38">
        <v>0</v>
      </c>
      <c r="BH36" s="39"/>
      <c r="BI36" s="39" t="s">
        <v>299</v>
      </c>
      <c r="BJ36" s="39" t="s">
        <v>310</v>
      </c>
      <c r="BK36" s="39" t="s">
        <v>297</v>
      </c>
      <c r="BL36" s="38">
        <v>1</v>
      </c>
      <c r="BM36" s="39" t="s">
        <v>520</v>
      </c>
      <c r="BN36" s="39"/>
      <c r="BO36" s="39" t="s">
        <v>324</v>
      </c>
      <c r="BP36" s="39" t="s">
        <v>521</v>
      </c>
      <c r="BQ36" s="38">
        <v>0</v>
      </c>
      <c r="BR36" s="39"/>
      <c r="BS36" s="39"/>
      <c r="BT36" s="38">
        <v>0</v>
      </c>
      <c r="BU36" s="39"/>
      <c r="BV36" s="39" t="s">
        <v>299</v>
      </c>
      <c r="BW36" s="38">
        <v>1</v>
      </c>
      <c r="BX36" s="39" t="s">
        <v>522</v>
      </c>
      <c r="BY36" s="39" t="s">
        <v>303</v>
      </c>
      <c r="BZ36" s="39" t="s">
        <v>297</v>
      </c>
      <c r="CA36" s="38">
        <v>0</v>
      </c>
      <c r="CB36" s="39"/>
      <c r="CC36" s="39"/>
      <c r="CD36" s="39" t="s">
        <v>298</v>
      </c>
      <c r="CE36" s="97" t="s">
        <v>298</v>
      </c>
      <c r="CF36" s="97">
        <f t="shared" si="2"/>
        <v>1</v>
      </c>
      <c r="CG36" s="39" t="s">
        <v>331</v>
      </c>
      <c r="CH36" s="38">
        <v>0</v>
      </c>
      <c r="CI36" s="39"/>
      <c r="CJ36" s="39"/>
      <c r="CK36" s="38">
        <v>0</v>
      </c>
      <c r="CL36" s="39"/>
      <c r="CM36" s="39" t="s">
        <v>299</v>
      </c>
      <c r="CN36" s="38">
        <v>1</v>
      </c>
      <c r="CO36" s="39" t="s">
        <v>405</v>
      </c>
      <c r="CP36" s="39"/>
      <c r="CQ36" s="39" t="s">
        <v>294</v>
      </c>
      <c r="CR36" s="39" t="s">
        <v>297</v>
      </c>
      <c r="CS36" s="38">
        <v>0</v>
      </c>
      <c r="CT36" s="39"/>
      <c r="CU36" s="39"/>
      <c r="CV36" s="39" t="s">
        <v>288</v>
      </c>
      <c r="CW36" s="98" t="s">
        <v>837</v>
      </c>
      <c r="CX36" s="97">
        <f t="shared" si="3"/>
        <v>1</v>
      </c>
      <c r="CY36" s="39" t="s">
        <v>500</v>
      </c>
      <c r="CZ36" s="38">
        <v>0</v>
      </c>
      <c r="DA36" s="39"/>
      <c r="DB36" s="39"/>
      <c r="DC36" s="38">
        <v>0</v>
      </c>
      <c r="DD36" s="39"/>
      <c r="DE36" s="39" t="s">
        <v>299</v>
      </c>
      <c r="DF36" s="38">
        <v>1</v>
      </c>
      <c r="DG36" s="39" t="s">
        <v>523</v>
      </c>
      <c r="DH36" s="39"/>
      <c r="DI36" s="39" t="s">
        <v>303</v>
      </c>
      <c r="DJ36" s="39" t="s">
        <v>302</v>
      </c>
      <c r="DK36" s="38">
        <v>0</v>
      </c>
      <c r="DL36" s="39"/>
      <c r="DM36" s="39"/>
      <c r="DN36" s="39" t="s">
        <v>298</v>
      </c>
      <c r="DO36" s="98" t="s">
        <v>298</v>
      </c>
      <c r="DP36" s="97">
        <f t="shared" si="4"/>
        <v>1</v>
      </c>
      <c r="DQ36" s="39" t="s">
        <v>302</v>
      </c>
      <c r="DR36" s="38">
        <v>0</v>
      </c>
      <c r="DS36" s="39"/>
      <c r="DT36" s="39"/>
      <c r="DU36" s="38">
        <v>0</v>
      </c>
      <c r="DV36" s="39"/>
      <c r="DW36" s="39" t="s">
        <v>299</v>
      </c>
      <c r="DX36" s="38">
        <v>1</v>
      </c>
      <c r="DY36" s="39" t="s">
        <v>524</v>
      </c>
      <c r="DZ36" s="39"/>
      <c r="EA36" s="39" t="s">
        <v>303</v>
      </c>
      <c r="EB36" s="39" t="s">
        <v>331</v>
      </c>
      <c r="EC36" s="38">
        <v>0</v>
      </c>
      <c r="ED36" s="39"/>
      <c r="EE36" s="39"/>
      <c r="EF36" s="39" t="s">
        <v>298</v>
      </c>
      <c r="EG36" s="98" t="s">
        <v>298</v>
      </c>
      <c r="EH36" s="97">
        <f t="shared" si="5"/>
        <v>1</v>
      </c>
      <c r="EI36" s="39" t="s">
        <v>331</v>
      </c>
      <c r="EJ36" s="38">
        <v>0</v>
      </c>
      <c r="EK36" s="39"/>
      <c r="EL36" s="39"/>
      <c r="EM36" s="39" t="s">
        <v>525</v>
      </c>
      <c r="EN36" s="39"/>
      <c r="EO36" s="39" t="s">
        <v>328</v>
      </c>
      <c r="EP36" s="38">
        <v>1</v>
      </c>
      <c r="EQ36" s="39" t="s">
        <v>333</v>
      </c>
      <c r="ER36" s="39" t="s">
        <v>303</v>
      </c>
      <c r="ES36" s="39" t="s">
        <v>331</v>
      </c>
      <c r="ET36" s="38">
        <v>0</v>
      </c>
      <c r="EU36" s="39"/>
      <c r="EV36" s="39"/>
      <c r="EW36" s="39" t="s">
        <v>288</v>
      </c>
      <c r="EX36" s="98" t="s">
        <v>288</v>
      </c>
      <c r="EY36" s="97">
        <f t="shared" si="6"/>
        <v>1</v>
      </c>
      <c r="EZ36" s="38">
        <v>0</v>
      </c>
      <c r="FA36" s="39"/>
      <c r="FB36" s="39"/>
      <c r="FC36" s="39" t="s">
        <v>526</v>
      </c>
      <c r="FD36" s="38">
        <v>0</v>
      </c>
      <c r="FE36" s="39"/>
      <c r="FF36" s="39" t="s">
        <v>299</v>
      </c>
      <c r="FG36" s="38">
        <v>0</v>
      </c>
      <c r="FH36" s="39"/>
      <c r="FI36" s="39"/>
      <c r="FJ36" s="39"/>
      <c r="FK36" s="39"/>
      <c r="FL36" s="39"/>
      <c r="FM36" s="39"/>
      <c r="FN36" s="39"/>
      <c r="FO36" s="39"/>
      <c r="FP36" s="38">
        <v>2</v>
      </c>
      <c r="FQ36" s="39" t="s">
        <v>527</v>
      </c>
      <c r="FR36" s="39" t="s">
        <v>528</v>
      </c>
      <c r="FS36" s="39"/>
      <c r="FT36" s="40"/>
      <c r="FU36" s="39" t="s">
        <v>351</v>
      </c>
      <c r="FV36" s="39"/>
      <c r="FW36" s="39"/>
      <c r="FX36" s="38">
        <v>-1</v>
      </c>
      <c r="FY36" s="38">
        <v>-1</v>
      </c>
      <c r="FZ36" s="38">
        <v>-1</v>
      </c>
      <c r="GA36" s="38">
        <v>-1</v>
      </c>
      <c r="GB36" s="38">
        <v>-1</v>
      </c>
      <c r="GC36" s="38">
        <v>-1</v>
      </c>
      <c r="GD36" s="38">
        <v>-1</v>
      </c>
      <c r="GE36" s="38">
        <v>-1</v>
      </c>
      <c r="GF36" s="38">
        <v>-1</v>
      </c>
      <c r="GG36" s="38">
        <v>-1</v>
      </c>
      <c r="GH36" s="38">
        <v>-1</v>
      </c>
      <c r="GI36" s="38">
        <v>-1</v>
      </c>
      <c r="GJ36" s="38">
        <v>-1</v>
      </c>
      <c r="GK36" s="38">
        <v>-1</v>
      </c>
      <c r="GL36" s="38">
        <v>-1</v>
      </c>
      <c r="GM36" s="38">
        <v>-15</v>
      </c>
      <c r="GN36" s="41"/>
      <c r="GO36" s="41"/>
      <c r="GP36" s="39" t="s">
        <v>319</v>
      </c>
      <c r="GQ36" s="39" t="s">
        <v>320</v>
      </c>
      <c r="GR36" s="39" t="s">
        <v>277</v>
      </c>
      <c r="GS36" s="38">
        <v>15</v>
      </c>
      <c r="GT36" s="38">
        <v>15</v>
      </c>
      <c r="GU36" s="38">
        <v>38</v>
      </c>
      <c r="GV36" s="38">
        <v>11</v>
      </c>
      <c r="GW36" s="42"/>
    </row>
    <row r="37" spans="1:205" s="50" customFormat="1" x14ac:dyDescent="0.25">
      <c r="A37" s="38">
        <v>213</v>
      </c>
      <c r="B37" s="39" t="s">
        <v>321</v>
      </c>
      <c r="C37" s="39">
        <v>22</v>
      </c>
      <c r="D37" s="39" t="s">
        <v>353</v>
      </c>
      <c r="E37" s="39" t="s">
        <v>320</v>
      </c>
      <c r="F37" s="39" t="s">
        <v>282</v>
      </c>
      <c r="G37" s="39" t="s">
        <v>282</v>
      </c>
      <c r="H37" s="39" t="s">
        <v>282</v>
      </c>
      <c r="I37" s="39" t="s">
        <v>282</v>
      </c>
      <c r="J37" s="39" t="s">
        <v>282</v>
      </c>
      <c r="K37" s="39" t="s">
        <v>281</v>
      </c>
      <c r="L37" s="39" t="s">
        <v>282</v>
      </c>
      <c r="M37" s="39" t="s">
        <v>282</v>
      </c>
      <c r="N37" s="39" t="s">
        <v>282</v>
      </c>
      <c r="O37" s="38">
        <v>0</v>
      </c>
      <c r="P37" s="39"/>
      <c r="Q37" s="39"/>
      <c r="R37" s="39" t="s">
        <v>423</v>
      </c>
      <c r="S37" s="39"/>
      <c r="T37" s="39"/>
      <c r="U37" s="39"/>
      <c r="V37" s="39"/>
      <c r="W37" s="40" t="s">
        <v>464</v>
      </c>
      <c r="X37" s="39" t="s">
        <v>316</v>
      </c>
      <c r="Y37" s="38">
        <v>1</v>
      </c>
      <c r="Z37" s="39" t="s">
        <v>640</v>
      </c>
      <c r="AA37" s="39"/>
      <c r="AB37" s="39" t="s">
        <v>301</v>
      </c>
      <c r="AC37" s="39" t="s">
        <v>297</v>
      </c>
      <c r="AD37" s="38">
        <v>0</v>
      </c>
      <c r="AE37" s="39"/>
      <c r="AF37" s="39"/>
      <c r="AG37" s="39" t="s">
        <v>305</v>
      </c>
      <c r="AH37" s="98" t="s">
        <v>305</v>
      </c>
      <c r="AI37" s="97">
        <f t="shared" si="0"/>
        <v>1</v>
      </c>
      <c r="AJ37" s="39" t="s">
        <v>287</v>
      </c>
      <c r="AK37" s="38">
        <v>0</v>
      </c>
      <c r="AL37" s="39"/>
      <c r="AM37" s="39"/>
      <c r="AN37" s="38">
        <v>0</v>
      </c>
      <c r="AO37" s="39"/>
      <c r="AP37" s="39"/>
      <c r="AQ37" s="39" t="s">
        <v>366</v>
      </c>
      <c r="AR37" s="38">
        <v>1</v>
      </c>
      <c r="AS37" s="39" t="s">
        <v>641</v>
      </c>
      <c r="AT37" s="39"/>
      <c r="AU37" s="39" t="s">
        <v>301</v>
      </c>
      <c r="AV37" s="39" t="s">
        <v>287</v>
      </c>
      <c r="AW37" s="38">
        <v>0</v>
      </c>
      <c r="AX37" s="39"/>
      <c r="AY37" s="39"/>
      <c r="AZ37" s="39" t="s">
        <v>288</v>
      </c>
      <c r="BA37" s="98" t="s">
        <v>324</v>
      </c>
      <c r="BB37" s="97" t="str">
        <f t="shared" si="1"/>
        <v/>
      </c>
      <c r="BC37" s="39" t="s">
        <v>287</v>
      </c>
      <c r="BD37" s="38">
        <v>0</v>
      </c>
      <c r="BE37" s="39"/>
      <c r="BF37" s="39"/>
      <c r="BG37" s="38">
        <v>0</v>
      </c>
      <c r="BH37" s="39"/>
      <c r="BI37" s="39" t="s">
        <v>296</v>
      </c>
      <c r="BJ37" s="39" t="s">
        <v>301</v>
      </c>
      <c r="BK37" s="39" t="s">
        <v>297</v>
      </c>
      <c r="BL37" s="38">
        <v>0</v>
      </c>
      <c r="BM37" s="39"/>
      <c r="BN37" s="39"/>
      <c r="BO37" s="39" t="s">
        <v>288</v>
      </c>
      <c r="BP37" s="39"/>
      <c r="BQ37" s="38">
        <v>0</v>
      </c>
      <c r="BR37" s="39"/>
      <c r="BS37" s="39"/>
      <c r="BT37" s="38">
        <v>0</v>
      </c>
      <c r="BU37" s="39"/>
      <c r="BV37" s="39" t="s">
        <v>296</v>
      </c>
      <c r="BW37" s="38">
        <v>0</v>
      </c>
      <c r="BX37" s="39"/>
      <c r="BY37" s="39" t="s">
        <v>294</v>
      </c>
      <c r="BZ37" s="39" t="s">
        <v>297</v>
      </c>
      <c r="CA37" s="38">
        <v>0</v>
      </c>
      <c r="CB37" s="39"/>
      <c r="CC37" s="39"/>
      <c r="CD37" s="39" t="s">
        <v>324</v>
      </c>
      <c r="CE37" s="97"/>
      <c r="CF37" s="97" t="str">
        <f t="shared" si="2"/>
        <v/>
      </c>
      <c r="CG37" s="39" t="s">
        <v>302</v>
      </c>
      <c r="CH37" s="38">
        <v>0</v>
      </c>
      <c r="CI37" s="39"/>
      <c r="CJ37" s="39"/>
      <c r="CK37" s="38">
        <v>0</v>
      </c>
      <c r="CL37" s="39"/>
      <c r="CM37" s="39" t="s">
        <v>296</v>
      </c>
      <c r="CN37" s="38">
        <v>0</v>
      </c>
      <c r="CO37" s="39"/>
      <c r="CP37" s="39"/>
      <c r="CQ37" s="39" t="s">
        <v>303</v>
      </c>
      <c r="CR37" s="39" t="s">
        <v>297</v>
      </c>
      <c r="CS37" s="38">
        <v>0</v>
      </c>
      <c r="CT37" s="39"/>
      <c r="CU37" s="39"/>
      <c r="CV37" s="39" t="s">
        <v>305</v>
      </c>
      <c r="CW37" s="98"/>
      <c r="CX37" s="97" t="str">
        <f t="shared" si="3"/>
        <v/>
      </c>
      <c r="CY37" s="39" t="s">
        <v>302</v>
      </c>
      <c r="CZ37" s="38">
        <v>0</v>
      </c>
      <c r="DA37" s="39"/>
      <c r="DB37" s="39"/>
      <c r="DC37" s="38">
        <v>0</v>
      </c>
      <c r="DD37" s="39"/>
      <c r="DE37" s="39" t="s">
        <v>296</v>
      </c>
      <c r="DF37" s="38">
        <v>0</v>
      </c>
      <c r="DG37" s="39"/>
      <c r="DH37" s="39"/>
      <c r="DI37" s="39" t="s">
        <v>303</v>
      </c>
      <c r="DJ37" s="39" t="s">
        <v>302</v>
      </c>
      <c r="DK37" s="38">
        <v>0</v>
      </c>
      <c r="DL37" s="39"/>
      <c r="DM37" s="39"/>
      <c r="DN37" s="39" t="s">
        <v>305</v>
      </c>
      <c r="DO37" s="98"/>
      <c r="DP37" s="97" t="str">
        <f t="shared" si="4"/>
        <v/>
      </c>
      <c r="DQ37" s="39" t="s">
        <v>331</v>
      </c>
      <c r="DR37" s="38">
        <v>0</v>
      </c>
      <c r="DS37" s="39"/>
      <c r="DT37" s="39"/>
      <c r="DU37" s="38">
        <v>0</v>
      </c>
      <c r="DV37" s="39"/>
      <c r="DW37" s="39" t="s">
        <v>296</v>
      </c>
      <c r="DX37" s="38">
        <v>0</v>
      </c>
      <c r="DY37" s="39"/>
      <c r="DZ37" s="39"/>
      <c r="EA37" s="39" t="s">
        <v>303</v>
      </c>
      <c r="EB37" s="39" t="s">
        <v>331</v>
      </c>
      <c r="EC37" s="38">
        <v>0</v>
      </c>
      <c r="ED37" s="39"/>
      <c r="EE37" s="39"/>
      <c r="EF37" s="39" t="s">
        <v>298</v>
      </c>
      <c r="EG37" s="98"/>
      <c r="EH37" s="97" t="str">
        <f t="shared" si="5"/>
        <v/>
      </c>
      <c r="EI37" s="39" t="s">
        <v>331</v>
      </c>
      <c r="EJ37" s="38">
        <v>0</v>
      </c>
      <c r="EK37" s="39"/>
      <c r="EL37" s="39"/>
      <c r="EM37" s="39"/>
      <c r="EN37" s="39"/>
      <c r="EO37" s="39" t="s">
        <v>328</v>
      </c>
      <c r="EP37" s="38">
        <v>0</v>
      </c>
      <c r="EQ37" s="39"/>
      <c r="ER37" s="39" t="s">
        <v>294</v>
      </c>
      <c r="ES37" s="39" t="s">
        <v>331</v>
      </c>
      <c r="ET37" s="38">
        <v>0</v>
      </c>
      <c r="EU37" s="39"/>
      <c r="EV37" s="39"/>
      <c r="EW37" s="39" t="s">
        <v>288</v>
      </c>
      <c r="EX37" s="98" t="s">
        <v>288</v>
      </c>
      <c r="EY37" s="97">
        <f t="shared" si="6"/>
        <v>1</v>
      </c>
      <c r="EZ37" s="38">
        <v>0</v>
      </c>
      <c r="FA37" s="39"/>
      <c r="FB37" s="39"/>
      <c r="FC37" s="39"/>
      <c r="FD37" s="38">
        <v>0</v>
      </c>
      <c r="FE37" s="39"/>
      <c r="FF37" s="39" t="s">
        <v>299</v>
      </c>
      <c r="FG37" s="38">
        <v>0</v>
      </c>
      <c r="FH37" s="39"/>
      <c r="FI37" s="39"/>
      <c r="FJ37" s="39"/>
      <c r="FK37" s="39"/>
      <c r="FL37" s="39"/>
      <c r="FM37" s="39"/>
      <c r="FN37" s="39"/>
      <c r="FO37" s="39"/>
      <c r="FP37" s="38">
        <v>0</v>
      </c>
      <c r="FQ37" s="39"/>
      <c r="FR37" s="39"/>
      <c r="FS37" s="39"/>
      <c r="FT37" s="40"/>
      <c r="FU37" s="39" t="s">
        <v>335</v>
      </c>
      <c r="FV37" s="39" t="s">
        <v>642</v>
      </c>
      <c r="FW37" s="39"/>
      <c r="FX37" s="38">
        <v>-1</v>
      </c>
      <c r="FY37" s="38">
        <v>-1</v>
      </c>
      <c r="FZ37" s="38">
        <v>-1</v>
      </c>
      <c r="GA37" s="38">
        <v>-1</v>
      </c>
      <c r="GB37" s="38">
        <v>-1</v>
      </c>
      <c r="GC37" s="38">
        <v>-1</v>
      </c>
      <c r="GD37" s="38">
        <v>-1</v>
      </c>
      <c r="GE37" s="38">
        <v>-1</v>
      </c>
      <c r="GF37" s="38">
        <v>-1</v>
      </c>
      <c r="GG37" s="38">
        <v>-1</v>
      </c>
      <c r="GH37" s="38">
        <v>-1</v>
      </c>
      <c r="GI37" s="38">
        <v>-1</v>
      </c>
      <c r="GJ37" s="38">
        <v>-1</v>
      </c>
      <c r="GK37" s="38">
        <v>-1</v>
      </c>
      <c r="GL37" s="38">
        <v>-1</v>
      </c>
      <c r="GM37" s="38">
        <v>-15</v>
      </c>
      <c r="GN37" s="41"/>
      <c r="GO37" s="41"/>
      <c r="GP37" s="39" t="s">
        <v>319</v>
      </c>
      <c r="GQ37" s="39" t="s">
        <v>320</v>
      </c>
      <c r="GR37" s="39" t="s">
        <v>277</v>
      </c>
      <c r="GS37" s="38">
        <v>15</v>
      </c>
      <c r="GT37" s="38">
        <v>15</v>
      </c>
      <c r="GU37" s="38">
        <v>48</v>
      </c>
      <c r="GV37" s="38">
        <v>19</v>
      </c>
      <c r="GW37" s="42"/>
    </row>
    <row r="38" spans="1:205" s="70" customFormat="1" ht="13.8" thickBot="1" x14ac:dyDescent="0.3">
      <c r="A38" s="43">
        <v>240</v>
      </c>
      <c r="B38" s="44" t="s">
        <v>321</v>
      </c>
      <c r="C38" s="44">
        <v>22</v>
      </c>
      <c r="D38" s="44" t="s">
        <v>279</v>
      </c>
      <c r="E38" s="44" t="s">
        <v>422</v>
      </c>
      <c r="F38" s="44" t="s">
        <v>282</v>
      </c>
      <c r="G38" s="44" t="s">
        <v>281</v>
      </c>
      <c r="H38" s="44" t="s">
        <v>282</v>
      </c>
      <c r="I38" s="44" t="s">
        <v>282</v>
      </c>
      <c r="J38" s="44" t="s">
        <v>282</v>
      </c>
      <c r="K38" s="44" t="s">
        <v>281</v>
      </c>
      <c r="L38" s="44" t="s">
        <v>282</v>
      </c>
      <c r="M38" s="44" t="s">
        <v>282</v>
      </c>
      <c r="N38" s="44" t="s">
        <v>282</v>
      </c>
      <c r="O38" s="43">
        <v>0</v>
      </c>
      <c r="P38" s="44"/>
      <c r="Q38" s="44"/>
      <c r="R38" s="44" t="s">
        <v>423</v>
      </c>
      <c r="S38" s="44"/>
      <c r="T38" s="44"/>
      <c r="U38" s="44"/>
      <c r="V38" s="44"/>
      <c r="W38" s="45" t="s">
        <v>424</v>
      </c>
      <c r="X38" s="44" t="s">
        <v>437</v>
      </c>
      <c r="Y38" s="43">
        <v>1</v>
      </c>
      <c r="Z38" s="44" t="s">
        <v>702</v>
      </c>
      <c r="AA38" s="44"/>
      <c r="AB38" s="44" t="s">
        <v>294</v>
      </c>
      <c r="AC38" s="44" t="s">
        <v>297</v>
      </c>
      <c r="AD38" s="43">
        <v>0</v>
      </c>
      <c r="AE38" s="44"/>
      <c r="AF38" s="44"/>
      <c r="AG38" s="44" t="s">
        <v>305</v>
      </c>
      <c r="AH38" s="98" t="s">
        <v>305</v>
      </c>
      <c r="AI38" s="97">
        <f t="shared" si="0"/>
        <v>1</v>
      </c>
      <c r="AJ38" s="44" t="s">
        <v>302</v>
      </c>
      <c r="AK38" s="43">
        <v>0</v>
      </c>
      <c r="AL38" s="44"/>
      <c r="AM38" s="44"/>
      <c r="AN38" s="43">
        <v>1</v>
      </c>
      <c r="AO38" s="44" t="s">
        <v>703</v>
      </c>
      <c r="AP38" s="44"/>
      <c r="AQ38" s="44" t="s">
        <v>299</v>
      </c>
      <c r="AR38" s="43">
        <v>1</v>
      </c>
      <c r="AS38" s="44" t="s">
        <v>405</v>
      </c>
      <c r="AT38" s="44"/>
      <c r="AU38" s="44" t="s">
        <v>294</v>
      </c>
      <c r="AV38" s="44" t="s">
        <v>287</v>
      </c>
      <c r="AW38" s="43">
        <v>0</v>
      </c>
      <c r="AX38" s="44"/>
      <c r="AY38" s="44"/>
      <c r="AZ38" s="44" t="s">
        <v>288</v>
      </c>
      <c r="BA38" s="98" t="s">
        <v>324</v>
      </c>
      <c r="BB38" s="97" t="str">
        <f t="shared" si="1"/>
        <v/>
      </c>
      <c r="BC38" s="44" t="s">
        <v>302</v>
      </c>
      <c r="BD38" s="43">
        <v>0</v>
      </c>
      <c r="BE38" s="44"/>
      <c r="BF38" s="44"/>
      <c r="BG38" s="43">
        <v>0</v>
      </c>
      <c r="BH38" s="44"/>
      <c r="BI38" s="44" t="s">
        <v>328</v>
      </c>
      <c r="BJ38" s="44" t="s">
        <v>294</v>
      </c>
      <c r="BK38" s="44" t="s">
        <v>297</v>
      </c>
      <c r="BL38" s="43">
        <v>0</v>
      </c>
      <c r="BM38" s="44"/>
      <c r="BN38" s="44"/>
      <c r="BO38" s="44" t="s">
        <v>288</v>
      </c>
      <c r="BP38" s="44" t="s">
        <v>302</v>
      </c>
      <c r="BQ38" s="43">
        <v>0</v>
      </c>
      <c r="BR38" s="44"/>
      <c r="BS38" s="44"/>
      <c r="BT38" s="43">
        <v>0</v>
      </c>
      <c r="BU38" s="44"/>
      <c r="BV38" s="44" t="s">
        <v>299</v>
      </c>
      <c r="BW38" s="43">
        <v>1</v>
      </c>
      <c r="BX38" s="44" t="s">
        <v>588</v>
      </c>
      <c r="BY38" s="44" t="s">
        <v>294</v>
      </c>
      <c r="BZ38" s="44" t="s">
        <v>297</v>
      </c>
      <c r="CA38" s="43">
        <v>0</v>
      </c>
      <c r="CB38" s="44"/>
      <c r="CC38" s="44"/>
      <c r="CD38" s="44" t="s">
        <v>288</v>
      </c>
      <c r="CE38" s="97" t="s">
        <v>288</v>
      </c>
      <c r="CF38" s="97">
        <f t="shared" si="2"/>
        <v>1</v>
      </c>
      <c r="CG38" s="44" t="s">
        <v>302</v>
      </c>
      <c r="CH38" s="43">
        <v>0</v>
      </c>
      <c r="CI38" s="44"/>
      <c r="CJ38" s="44"/>
      <c r="CK38" s="43">
        <v>0</v>
      </c>
      <c r="CL38" s="44"/>
      <c r="CM38" s="44" t="s">
        <v>299</v>
      </c>
      <c r="CN38" s="43">
        <v>1</v>
      </c>
      <c r="CO38" s="44" t="s">
        <v>359</v>
      </c>
      <c r="CP38" s="44"/>
      <c r="CQ38" s="44" t="s">
        <v>303</v>
      </c>
      <c r="CR38" s="44" t="s">
        <v>297</v>
      </c>
      <c r="CS38" s="43">
        <v>0</v>
      </c>
      <c r="CT38" s="44"/>
      <c r="CU38" s="44"/>
      <c r="CV38" s="44" t="s">
        <v>305</v>
      </c>
      <c r="CW38" s="98" t="s">
        <v>305</v>
      </c>
      <c r="CX38" s="97">
        <f t="shared" si="3"/>
        <v>1</v>
      </c>
      <c r="CY38" s="44" t="s">
        <v>302</v>
      </c>
      <c r="CZ38" s="43">
        <v>0</v>
      </c>
      <c r="DA38" s="44"/>
      <c r="DB38" s="44"/>
      <c r="DC38" s="43">
        <v>0</v>
      </c>
      <c r="DD38" s="44"/>
      <c r="DE38" s="44" t="s">
        <v>328</v>
      </c>
      <c r="DF38" s="43">
        <v>1</v>
      </c>
      <c r="DG38" s="44" t="s">
        <v>372</v>
      </c>
      <c r="DH38" s="44"/>
      <c r="DI38" s="44" t="s">
        <v>294</v>
      </c>
      <c r="DJ38" s="44" t="s">
        <v>302</v>
      </c>
      <c r="DK38" s="43">
        <v>0</v>
      </c>
      <c r="DL38" s="44"/>
      <c r="DM38" s="44"/>
      <c r="DN38" s="44" t="s">
        <v>288</v>
      </c>
      <c r="DO38" s="98" t="s">
        <v>288</v>
      </c>
      <c r="DP38" s="97">
        <f t="shared" si="4"/>
        <v>1</v>
      </c>
      <c r="DQ38" s="44" t="s">
        <v>302</v>
      </c>
      <c r="DR38" s="43">
        <v>0</v>
      </c>
      <c r="DS38" s="44"/>
      <c r="DT38" s="44"/>
      <c r="DU38" s="43">
        <v>0</v>
      </c>
      <c r="DV38" s="44"/>
      <c r="DW38" s="44" t="s">
        <v>328</v>
      </c>
      <c r="DX38" s="43">
        <v>1</v>
      </c>
      <c r="DY38" s="44" t="s">
        <v>696</v>
      </c>
      <c r="DZ38" s="44"/>
      <c r="EA38" s="44" t="s">
        <v>303</v>
      </c>
      <c r="EB38" s="44" t="s">
        <v>331</v>
      </c>
      <c r="EC38" s="43">
        <v>0</v>
      </c>
      <c r="ED38" s="44"/>
      <c r="EE38" s="44"/>
      <c r="EF38" s="44" t="s">
        <v>298</v>
      </c>
      <c r="EG38" s="98" t="s">
        <v>298</v>
      </c>
      <c r="EH38" s="97">
        <f t="shared" si="5"/>
        <v>1</v>
      </c>
      <c r="EI38" s="44" t="s">
        <v>331</v>
      </c>
      <c r="EJ38" s="43">
        <v>0</v>
      </c>
      <c r="EK38" s="44"/>
      <c r="EL38" s="44"/>
      <c r="EM38" s="44" t="s">
        <v>704</v>
      </c>
      <c r="EN38" s="44"/>
      <c r="EO38" s="44" t="s">
        <v>299</v>
      </c>
      <c r="EP38" s="43">
        <v>1</v>
      </c>
      <c r="EQ38" s="44" t="s">
        <v>705</v>
      </c>
      <c r="ER38" s="44" t="s">
        <v>294</v>
      </c>
      <c r="ES38" s="44" t="s">
        <v>331</v>
      </c>
      <c r="ET38" s="43">
        <v>0</v>
      </c>
      <c r="EU38" s="44"/>
      <c r="EV38" s="44"/>
      <c r="EW38" s="44" t="s">
        <v>305</v>
      </c>
      <c r="EX38" s="98" t="s">
        <v>288</v>
      </c>
      <c r="EY38" s="97" t="str">
        <f t="shared" si="6"/>
        <v/>
      </c>
      <c r="EZ38" s="43">
        <v>0</v>
      </c>
      <c r="FA38" s="44"/>
      <c r="FB38" s="44"/>
      <c r="FC38" s="44"/>
      <c r="FD38" s="43">
        <v>1</v>
      </c>
      <c r="FE38" s="44" t="s">
        <v>703</v>
      </c>
      <c r="FF38" s="44" t="s">
        <v>328</v>
      </c>
      <c r="FG38" s="43">
        <v>0</v>
      </c>
      <c r="FH38" s="44"/>
      <c r="FI38" s="44"/>
      <c r="FJ38" s="44"/>
      <c r="FK38" s="44"/>
      <c r="FL38" s="44" t="s">
        <v>358</v>
      </c>
      <c r="FM38" s="44" t="s">
        <v>706</v>
      </c>
      <c r="FN38" s="44" t="s">
        <v>707</v>
      </c>
      <c r="FO38" s="44" t="s">
        <v>708</v>
      </c>
      <c r="FP38" s="43">
        <v>0</v>
      </c>
      <c r="FQ38" s="44"/>
      <c r="FR38" s="44"/>
      <c r="FS38" s="44"/>
      <c r="FT38" s="45"/>
      <c r="FU38" s="44" t="s">
        <v>317</v>
      </c>
      <c r="FV38" s="44" t="s">
        <v>709</v>
      </c>
      <c r="FW38" s="44"/>
      <c r="FX38" s="43">
        <v>-1</v>
      </c>
      <c r="FY38" s="43">
        <v>-1</v>
      </c>
      <c r="FZ38" s="43">
        <v>-1</v>
      </c>
      <c r="GA38" s="43">
        <v>-1</v>
      </c>
      <c r="GB38" s="43">
        <v>-1</v>
      </c>
      <c r="GC38" s="43">
        <v>-1</v>
      </c>
      <c r="GD38" s="43">
        <v>-1</v>
      </c>
      <c r="GE38" s="43">
        <v>-1</v>
      </c>
      <c r="GF38" s="43">
        <v>-1</v>
      </c>
      <c r="GG38" s="43">
        <v>-1</v>
      </c>
      <c r="GH38" s="43">
        <v>-1</v>
      </c>
      <c r="GI38" s="43">
        <v>-1</v>
      </c>
      <c r="GJ38" s="43">
        <v>-1</v>
      </c>
      <c r="GK38" s="43">
        <v>-1</v>
      </c>
      <c r="GL38" s="43">
        <v>-1</v>
      </c>
      <c r="GM38" s="43">
        <v>-15</v>
      </c>
      <c r="GN38" s="46"/>
      <c r="GO38" s="46"/>
      <c r="GP38" s="44" t="s">
        <v>319</v>
      </c>
      <c r="GQ38" s="44" t="s">
        <v>320</v>
      </c>
      <c r="GR38" s="44" t="s">
        <v>277</v>
      </c>
      <c r="GS38" s="43">
        <v>15</v>
      </c>
      <c r="GT38" s="43">
        <v>15</v>
      </c>
      <c r="GU38" s="43">
        <v>30</v>
      </c>
      <c r="GV38" s="43">
        <v>7</v>
      </c>
      <c r="GW38" s="47"/>
    </row>
    <row r="39" spans="1:205" s="49" customFormat="1" x14ac:dyDescent="0.25">
      <c r="A39" s="38">
        <v>149</v>
      </c>
      <c r="B39" s="39" t="s">
        <v>421</v>
      </c>
      <c r="C39" s="39">
        <v>39.5</v>
      </c>
      <c r="D39" s="39" t="s">
        <v>353</v>
      </c>
      <c r="E39" s="39" t="s">
        <v>422</v>
      </c>
      <c r="F39" s="39" t="s">
        <v>282</v>
      </c>
      <c r="G39" s="39" t="s">
        <v>281</v>
      </c>
      <c r="H39" s="39" t="s">
        <v>282</v>
      </c>
      <c r="I39" s="39" t="s">
        <v>282</v>
      </c>
      <c r="J39" s="39" t="s">
        <v>282</v>
      </c>
      <c r="K39" s="39" t="s">
        <v>281</v>
      </c>
      <c r="L39" s="39" t="s">
        <v>282</v>
      </c>
      <c r="M39" s="39" t="s">
        <v>282</v>
      </c>
      <c r="N39" s="39" t="s">
        <v>282</v>
      </c>
      <c r="O39" s="38">
        <v>0</v>
      </c>
      <c r="P39" s="39"/>
      <c r="Q39" s="39"/>
      <c r="R39" s="39" t="s">
        <v>423</v>
      </c>
      <c r="S39" s="39"/>
      <c r="T39" s="39"/>
      <c r="U39" s="39"/>
      <c r="V39" s="39" t="s">
        <v>377</v>
      </c>
      <c r="W39" s="40" t="s">
        <v>424</v>
      </c>
      <c r="X39" s="39" t="s">
        <v>425</v>
      </c>
      <c r="Y39" s="38"/>
      <c r="Z39" s="39"/>
      <c r="AA39" s="39"/>
      <c r="AB39" s="39"/>
      <c r="AC39" s="39"/>
      <c r="AD39" s="38"/>
      <c r="AE39" s="39"/>
      <c r="AF39" s="39"/>
      <c r="AG39" s="39"/>
      <c r="AH39" s="98"/>
      <c r="AI39" s="97"/>
      <c r="AJ39" s="39"/>
      <c r="AK39" s="38"/>
      <c r="AL39" s="39"/>
      <c r="AM39" s="39"/>
      <c r="AN39" s="38"/>
      <c r="AO39" s="39"/>
      <c r="AP39" s="39"/>
      <c r="AQ39" s="39"/>
      <c r="AR39" s="38"/>
      <c r="AS39" s="39"/>
      <c r="AT39" s="39"/>
      <c r="AU39" s="39"/>
      <c r="AV39" s="39"/>
      <c r="AW39" s="38"/>
      <c r="AX39" s="39"/>
      <c r="AY39" s="39"/>
      <c r="AZ39" s="39"/>
      <c r="BA39" s="98"/>
      <c r="BB39" s="97"/>
      <c r="BC39" s="39"/>
      <c r="BD39" s="38"/>
      <c r="BE39" s="39"/>
      <c r="BF39" s="39"/>
      <c r="BG39" s="38"/>
      <c r="BH39" s="39"/>
      <c r="BI39" s="39"/>
      <c r="BJ39" s="39"/>
      <c r="BK39" s="39"/>
      <c r="BL39" s="38"/>
      <c r="BM39" s="39"/>
      <c r="BN39" s="39"/>
      <c r="BO39" s="39"/>
      <c r="BP39" s="39"/>
      <c r="BQ39" s="38"/>
      <c r="BR39" s="39"/>
      <c r="BS39" s="39"/>
      <c r="BT39" s="38"/>
      <c r="BU39" s="39"/>
      <c r="BV39" s="39"/>
      <c r="BW39" s="38"/>
      <c r="BX39" s="39"/>
      <c r="BY39" s="39"/>
      <c r="BZ39" s="39"/>
      <c r="CA39" s="38"/>
      <c r="CB39" s="39"/>
      <c r="CC39" s="39"/>
      <c r="CD39" s="39"/>
      <c r="CE39" s="97"/>
      <c r="CF39" s="97"/>
      <c r="CG39" s="39"/>
      <c r="CH39" s="38"/>
      <c r="CI39" s="39"/>
      <c r="CJ39" s="39"/>
      <c r="CK39" s="38"/>
      <c r="CL39" s="39"/>
      <c r="CM39" s="39"/>
      <c r="CN39" s="38"/>
      <c r="CO39" s="39"/>
      <c r="CP39" s="39"/>
      <c r="CQ39" s="39"/>
      <c r="CR39" s="39"/>
      <c r="CS39" s="38"/>
      <c r="CT39" s="39"/>
      <c r="CU39" s="39"/>
      <c r="CV39" s="39"/>
      <c r="CW39" s="98"/>
      <c r="CX39" s="97"/>
      <c r="CY39" s="39"/>
      <c r="CZ39" s="38"/>
      <c r="DA39" s="39"/>
      <c r="DB39" s="39"/>
      <c r="DC39" s="38"/>
      <c r="DD39" s="39"/>
      <c r="DE39" s="39"/>
      <c r="DF39" s="38"/>
      <c r="DG39" s="39"/>
      <c r="DH39" s="39"/>
      <c r="DI39" s="39"/>
      <c r="DJ39" s="39"/>
      <c r="DK39" s="38"/>
      <c r="DL39" s="39"/>
      <c r="DM39" s="39"/>
      <c r="DN39" s="39"/>
      <c r="DO39" s="98"/>
      <c r="DP39" s="97"/>
      <c r="DQ39" s="39"/>
      <c r="DR39" s="38"/>
      <c r="DS39" s="39"/>
      <c r="DT39" s="39"/>
      <c r="DU39" s="38"/>
      <c r="DV39" s="39"/>
      <c r="DW39" s="39"/>
      <c r="DX39" s="38"/>
      <c r="DY39" s="39"/>
      <c r="DZ39" s="39"/>
      <c r="EA39" s="39"/>
      <c r="EB39" s="39"/>
      <c r="EC39" s="38"/>
      <c r="ED39" s="39"/>
      <c r="EE39" s="39"/>
      <c r="EF39" s="39"/>
      <c r="EG39" s="98"/>
      <c r="EH39" s="97"/>
      <c r="EI39" s="39"/>
      <c r="EJ39" s="38"/>
      <c r="EK39" s="39"/>
      <c r="EL39" s="39"/>
      <c r="EM39" s="39"/>
      <c r="EN39" s="39"/>
      <c r="EO39" s="39"/>
      <c r="EP39" s="38"/>
      <c r="EQ39" s="39"/>
      <c r="ER39" s="39"/>
      <c r="ES39" s="39"/>
      <c r="ET39" s="38"/>
      <c r="EU39" s="39"/>
      <c r="EV39" s="39"/>
      <c r="EW39" s="39"/>
      <c r="EX39" s="98"/>
      <c r="EY39" s="97"/>
      <c r="EZ39" s="38"/>
      <c r="FA39" s="39"/>
      <c r="FB39" s="39"/>
      <c r="FC39" s="39"/>
      <c r="FD39" s="38"/>
      <c r="FE39" s="39"/>
      <c r="FF39" s="39"/>
      <c r="FG39" s="38"/>
      <c r="FH39" s="39"/>
      <c r="FI39" s="39"/>
      <c r="FJ39" s="39"/>
      <c r="FK39" s="39"/>
      <c r="FL39" s="39"/>
      <c r="FM39" s="39"/>
      <c r="FN39" s="39"/>
      <c r="FO39" s="39"/>
      <c r="FP39" s="38"/>
      <c r="FQ39" s="39"/>
      <c r="FR39" s="39"/>
      <c r="FS39" s="39"/>
      <c r="FT39" s="40"/>
      <c r="FU39" s="39"/>
      <c r="FV39" s="39"/>
      <c r="FW39" s="39"/>
      <c r="FX39" s="38">
        <v>-1</v>
      </c>
      <c r="FY39" s="38">
        <v>-1</v>
      </c>
      <c r="FZ39" s="38">
        <v>-1</v>
      </c>
      <c r="GA39" s="38">
        <v>-1</v>
      </c>
      <c r="GB39" s="38">
        <v>-1</v>
      </c>
      <c r="GC39" s="38"/>
      <c r="GD39" s="38"/>
      <c r="GE39" s="38"/>
      <c r="GF39" s="38"/>
      <c r="GG39" s="38"/>
      <c r="GH39" s="38"/>
      <c r="GI39" s="38"/>
      <c r="GJ39" s="38"/>
      <c r="GK39" s="38"/>
      <c r="GL39" s="38"/>
      <c r="GM39" s="38">
        <v>-5</v>
      </c>
      <c r="GN39" s="41"/>
      <c r="GO39" s="41"/>
      <c r="GP39" s="39"/>
      <c r="GQ39" s="39" t="s">
        <v>277</v>
      </c>
      <c r="GR39" s="39" t="s">
        <v>277</v>
      </c>
      <c r="GS39" s="38">
        <v>5</v>
      </c>
      <c r="GT39" s="38">
        <v>5</v>
      </c>
      <c r="GU39" s="38">
        <v>14</v>
      </c>
      <c r="GV39" s="38">
        <v>1</v>
      </c>
      <c r="GW39" s="42"/>
    </row>
    <row r="40" spans="1:205" s="50" customFormat="1" x14ac:dyDescent="0.25">
      <c r="A40" s="38">
        <v>150</v>
      </c>
      <c r="B40" s="39" t="s">
        <v>421</v>
      </c>
      <c r="C40" s="39">
        <v>39.5</v>
      </c>
      <c r="D40" s="39" t="s">
        <v>353</v>
      </c>
      <c r="E40" s="39" t="s">
        <v>320</v>
      </c>
      <c r="F40" s="39" t="s">
        <v>282</v>
      </c>
      <c r="G40" s="39" t="s">
        <v>282</v>
      </c>
      <c r="H40" s="39" t="s">
        <v>282</v>
      </c>
      <c r="I40" s="39" t="s">
        <v>282</v>
      </c>
      <c r="J40" s="39" t="s">
        <v>282</v>
      </c>
      <c r="K40" s="39" t="s">
        <v>281</v>
      </c>
      <c r="L40" s="39" t="s">
        <v>282</v>
      </c>
      <c r="M40" s="39" t="s">
        <v>282</v>
      </c>
      <c r="N40" s="39" t="s">
        <v>282</v>
      </c>
      <c r="O40" s="38">
        <v>1</v>
      </c>
      <c r="P40" s="39" t="s">
        <v>302</v>
      </c>
      <c r="Q40" s="39"/>
      <c r="R40" s="39" t="s">
        <v>423</v>
      </c>
      <c r="S40" s="39"/>
      <c r="T40" s="39"/>
      <c r="U40" s="39"/>
      <c r="V40" s="39"/>
      <c r="W40" s="40" t="s">
        <v>424</v>
      </c>
      <c r="X40" s="39" t="s">
        <v>346</v>
      </c>
      <c r="Y40" s="38"/>
      <c r="Z40" s="39"/>
      <c r="AA40" s="39"/>
      <c r="AB40" s="39"/>
      <c r="AC40" s="39"/>
      <c r="AD40" s="38"/>
      <c r="AE40" s="39"/>
      <c r="AF40" s="39"/>
      <c r="AG40" s="39"/>
      <c r="AH40" s="98"/>
      <c r="AI40" s="97"/>
      <c r="AJ40" s="39"/>
      <c r="AK40" s="38"/>
      <c r="AL40" s="39"/>
      <c r="AM40" s="39"/>
      <c r="AN40" s="38"/>
      <c r="AO40" s="39"/>
      <c r="AP40" s="39"/>
      <c r="AQ40" s="39"/>
      <c r="AR40" s="38"/>
      <c r="AS40" s="39"/>
      <c r="AT40" s="39"/>
      <c r="AU40" s="39"/>
      <c r="AV40" s="39"/>
      <c r="AW40" s="38"/>
      <c r="AX40" s="39"/>
      <c r="AY40" s="39"/>
      <c r="AZ40" s="39"/>
      <c r="BA40" s="98"/>
      <c r="BB40" s="97"/>
      <c r="BC40" s="39"/>
      <c r="BD40" s="38"/>
      <c r="BE40" s="39"/>
      <c r="BF40" s="39"/>
      <c r="BG40" s="38"/>
      <c r="BH40" s="39"/>
      <c r="BI40" s="39"/>
      <c r="BJ40" s="39"/>
      <c r="BK40" s="39"/>
      <c r="BL40" s="38"/>
      <c r="BM40" s="39"/>
      <c r="BN40" s="39"/>
      <c r="BO40" s="39"/>
      <c r="BP40" s="39"/>
      <c r="BQ40" s="38"/>
      <c r="BR40" s="39"/>
      <c r="BS40" s="39"/>
      <c r="BT40" s="38"/>
      <c r="BU40" s="39"/>
      <c r="BV40" s="39"/>
      <c r="BW40" s="38"/>
      <c r="BX40" s="39"/>
      <c r="BY40" s="39"/>
      <c r="BZ40" s="39"/>
      <c r="CA40" s="38"/>
      <c r="CB40" s="39"/>
      <c r="CC40" s="39"/>
      <c r="CD40" s="39"/>
      <c r="CE40" s="97"/>
      <c r="CF40" s="97"/>
      <c r="CG40" s="39"/>
      <c r="CH40" s="38"/>
      <c r="CI40" s="39"/>
      <c r="CJ40" s="39"/>
      <c r="CK40" s="38"/>
      <c r="CL40" s="39"/>
      <c r="CM40" s="39"/>
      <c r="CN40" s="38"/>
      <c r="CO40" s="39"/>
      <c r="CP40" s="39"/>
      <c r="CQ40" s="39"/>
      <c r="CR40" s="39"/>
      <c r="CS40" s="38"/>
      <c r="CT40" s="39"/>
      <c r="CU40" s="39"/>
      <c r="CV40" s="39"/>
      <c r="CW40" s="98"/>
      <c r="CX40" s="97"/>
      <c r="CY40" s="39"/>
      <c r="CZ40" s="38"/>
      <c r="DA40" s="39"/>
      <c r="DB40" s="39"/>
      <c r="DC40" s="38"/>
      <c r="DD40" s="39"/>
      <c r="DE40" s="39"/>
      <c r="DF40" s="38"/>
      <c r="DG40" s="39"/>
      <c r="DH40" s="39"/>
      <c r="DI40" s="39"/>
      <c r="DJ40" s="39"/>
      <c r="DK40" s="38"/>
      <c r="DL40" s="39"/>
      <c r="DM40" s="39"/>
      <c r="DN40" s="39"/>
      <c r="DO40" s="98"/>
      <c r="DP40" s="97"/>
      <c r="DQ40" s="39"/>
      <c r="DR40" s="38"/>
      <c r="DS40" s="39"/>
      <c r="DT40" s="39"/>
      <c r="DU40" s="38"/>
      <c r="DV40" s="39"/>
      <c r="DW40" s="39"/>
      <c r="DX40" s="38"/>
      <c r="DY40" s="39"/>
      <c r="DZ40" s="39"/>
      <c r="EA40" s="39"/>
      <c r="EB40" s="39"/>
      <c r="EC40" s="38"/>
      <c r="ED40" s="39"/>
      <c r="EE40" s="39"/>
      <c r="EF40" s="39"/>
      <c r="EG40" s="98"/>
      <c r="EH40" s="97"/>
      <c r="EI40" s="39"/>
      <c r="EJ40" s="38"/>
      <c r="EK40" s="39"/>
      <c r="EL40" s="39"/>
      <c r="EM40" s="39"/>
      <c r="EN40" s="39"/>
      <c r="EO40" s="39"/>
      <c r="EP40" s="38"/>
      <c r="EQ40" s="39"/>
      <c r="ER40" s="39"/>
      <c r="ES40" s="39"/>
      <c r="ET40" s="38"/>
      <c r="EU40" s="39"/>
      <c r="EV40" s="39"/>
      <c r="EW40" s="39"/>
      <c r="EX40" s="98"/>
      <c r="EY40" s="97"/>
      <c r="EZ40" s="38"/>
      <c r="FA40" s="39"/>
      <c r="FB40" s="39"/>
      <c r="FC40" s="39"/>
      <c r="FD40" s="38"/>
      <c r="FE40" s="39"/>
      <c r="FF40" s="39"/>
      <c r="FG40" s="38"/>
      <c r="FH40" s="39"/>
      <c r="FI40" s="39"/>
      <c r="FJ40" s="39"/>
      <c r="FK40" s="39"/>
      <c r="FL40" s="39"/>
      <c r="FM40" s="39"/>
      <c r="FN40" s="39"/>
      <c r="FO40" s="39"/>
      <c r="FP40" s="38"/>
      <c r="FQ40" s="39"/>
      <c r="FR40" s="39"/>
      <c r="FS40" s="39"/>
      <c r="FT40" s="40"/>
      <c r="FU40" s="39"/>
      <c r="FV40" s="39"/>
      <c r="FW40" s="39"/>
      <c r="FX40" s="38">
        <v>-1</v>
      </c>
      <c r="FY40" s="38">
        <v>-1</v>
      </c>
      <c r="FZ40" s="38">
        <v>-1</v>
      </c>
      <c r="GA40" s="38">
        <v>-1</v>
      </c>
      <c r="GB40" s="38">
        <v>-1</v>
      </c>
      <c r="GC40" s="38"/>
      <c r="GD40" s="38"/>
      <c r="GE40" s="38"/>
      <c r="GF40" s="38"/>
      <c r="GG40" s="38"/>
      <c r="GH40" s="38"/>
      <c r="GI40" s="38"/>
      <c r="GJ40" s="38"/>
      <c r="GK40" s="38"/>
      <c r="GL40" s="38"/>
      <c r="GM40" s="38">
        <v>-5</v>
      </c>
      <c r="GN40" s="41"/>
      <c r="GO40" s="41"/>
      <c r="GP40" s="39"/>
      <c r="GQ40" s="39" t="s">
        <v>277</v>
      </c>
      <c r="GR40" s="39" t="s">
        <v>277</v>
      </c>
      <c r="GS40" s="38">
        <v>5</v>
      </c>
      <c r="GT40" s="38">
        <v>5</v>
      </c>
      <c r="GU40" s="38">
        <v>0</v>
      </c>
      <c r="GV40" s="38">
        <v>0</v>
      </c>
      <c r="GW40" s="42"/>
    </row>
    <row r="41" spans="1:205" s="48" customFormat="1" x14ac:dyDescent="0.25">
      <c r="A41" s="38">
        <v>151</v>
      </c>
      <c r="B41" s="39" t="s">
        <v>421</v>
      </c>
      <c r="C41" s="39">
        <v>39.5</v>
      </c>
      <c r="D41" s="39" t="s">
        <v>353</v>
      </c>
      <c r="E41" s="39" t="s">
        <v>320</v>
      </c>
      <c r="F41" s="39" t="s">
        <v>282</v>
      </c>
      <c r="G41" s="39" t="s">
        <v>282</v>
      </c>
      <c r="H41" s="39" t="s">
        <v>282</v>
      </c>
      <c r="I41" s="39" t="s">
        <v>282</v>
      </c>
      <c r="J41" s="39" t="s">
        <v>282</v>
      </c>
      <c r="K41" s="39" t="s">
        <v>281</v>
      </c>
      <c r="L41" s="39" t="s">
        <v>282</v>
      </c>
      <c r="M41" s="39" t="s">
        <v>282</v>
      </c>
      <c r="N41" s="39" t="s">
        <v>282</v>
      </c>
      <c r="O41" s="38">
        <v>0</v>
      </c>
      <c r="P41" s="39"/>
      <c r="Q41" s="39"/>
      <c r="R41" s="39" t="s">
        <v>423</v>
      </c>
      <c r="S41" s="39"/>
      <c r="T41" s="39"/>
      <c r="U41" s="39"/>
      <c r="V41" s="39"/>
      <c r="W41" s="40" t="s">
        <v>424</v>
      </c>
      <c r="X41" s="39" t="s">
        <v>346</v>
      </c>
      <c r="Y41" s="38">
        <v>1</v>
      </c>
      <c r="Z41" s="39" t="s">
        <v>365</v>
      </c>
      <c r="AA41" s="39"/>
      <c r="AB41" s="39" t="s">
        <v>310</v>
      </c>
      <c r="AC41" s="39" t="s">
        <v>297</v>
      </c>
      <c r="AD41" s="38">
        <v>1</v>
      </c>
      <c r="AE41" s="39" t="s">
        <v>302</v>
      </c>
      <c r="AF41" s="39"/>
      <c r="AG41" s="39" t="s">
        <v>305</v>
      </c>
      <c r="AH41" s="98" t="s">
        <v>298</v>
      </c>
      <c r="AI41" s="97" t="str">
        <f t="shared" si="0"/>
        <v/>
      </c>
      <c r="AJ41" s="39" t="s">
        <v>302</v>
      </c>
      <c r="AK41" s="38">
        <v>1</v>
      </c>
      <c r="AL41" s="39" t="s">
        <v>287</v>
      </c>
      <c r="AM41" s="39"/>
      <c r="AN41" s="38">
        <v>1</v>
      </c>
      <c r="AO41" s="39" t="s">
        <v>426</v>
      </c>
      <c r="AP41" s="39"/>
      <c r="AQ41" s="39" t="s">
        <v>296</v>
      </c>
      <c r="AR41" s="38">
        <v>0</v>
      </c>
      <c r="AS41" s="39"/>
      <c r="AT41" s="39"/>
      <c r="AU41" s="39"/>
      <c r="AV41" s="39"/>
      <c r="AW41" s="38">
        <v>0</v>
      </c>
      <c r="AX41" s="39"/>
      <c r="AY41" s="39"/>
      <c r="AZ41" s="39"/>
      <c r="BA41" s="98"/>
      <c r="BB41" s="97"/>
      <c r="BC41" s="39"/>
      <c r="BD41" s="38">
        <v>0</v>
      </c>
      <c r="BE41" s="39"/>
      <c r="BF41" s="39"/>
      <c r="BG41" s="38">
        <v>0</v>
      </c>
      <c r="BH41" s="39"/>
      <c r="BI41" s="39"/>
      <c r="BJ41" s="39" t="s">
        <v>303</v>
      </c>
      <c r="BK41" s="39" t="s">
        <v>331</v>
      </c>
      <c r="BL41" s="38">
        <v>0</v>
      </c>
      <c r="BM41" s="39"/>
      <c r="BN41" s="39"/>
      <c r="BO41" s="39" t="s">
        <v>288</v>
      </c>
      <c r="BP41" s="39" t="s">
        <v>302</v>
      </c>
      <c r="BQ41" s="38">
        <v>1</v>
      </c>
      <c r="BR41" s="39" t="s">
        <v>302</v>
      </c>
      <c r="BS41" s="39"/>
      <c r="BT41" s="38">
        <v>0</v>
      </c>
      <c r="BU41" s="39"/>
      <c r="BV41" s="39" t="s">
        <v>296</v>
      </c>
      <c r="BW41" s="38">
        <v>1</v>
      </c>
      <c r="BX41" s="39" t="s">
        <v>427</v>
      </c>
      <c r="BY41" s="39" t="s">
        <v>303</v>
      </c>
      <c r="BZ41" s="39" t="s">
        <v>297</v>
      </c>
      <c r="CA41" s="38">
        <v>1</v>
      </c>
      <c r="CB41" s="39" t="s">
        <v>302</v>
      </c>
      <c r="CC41" s="39"/>
      <c r="CD41" s="39" t="s">
        <v>288</v>
      </c>
      <c r="CE41" s="97" t="s">
        <v>298</v>
      </c>
      <c r="CF41" s="97"/>
      <c r="CG41" s="39" t="s">
        <v>302</v>
      </c>
      <c r="CH41" s="38">
        <v>0</v>
      </c>
      <c r="CI41" s="39"/>
      <c r="CJ41" s="39"/>
      <c r="CK41" s="38">
        <v>0</v>
      </c>
      <c r="CL41" s="39"/>
      <c r="CM41" s="39" t="s">
        <v>296</v>
      </c>
      <c r="CN41" s="38">
        <v>1</v>
      </c>
      <c r="CO41" s="39" t="s">
        <v>428</v>
      </c>
      <c r="CP41" s="39"/>
      <c r="CQ41" s="39" t="s">
        <v>294</v>
      </c>
      <c r="CR41" s="39" t="s">
        <v>297</v>
      </c>
      <c r="CS41" s="38">
        <v>1</v>
      </c>
      <c r="CT41" s="39"/>
      <c r="CU41" s="39" t="s">
        <v>429</v>
      </c>
      <c r="CV41" s="39" t="s">
        <v>288</v>
      </c>
      <c r="CW41" s="98" t="s">
        <v>305</v>
      </c>
      <c r="CX41" s="97"/>
      <c r="CY41" s="39" t="s">
        <v>302</v>
      </c>
      <c r="CZ41" s="38">
        <v>1</v>
      </c>
      <c r="DA41" s="39" t="s">
        <v>387</v>
      </c>
      <c r="DB41" s="39"/>
      <c r="DC41" s="38">
        <v>0</v>
      </c>
      <c r="DD41" s="39"/>
      <c r="DE41" s="39" t="s">
        <v>299</v>
      </c>
      <c r="DF41" s="38">
        <v>0</v>
      </c>
      <c r="DG41" s="39"/>
      <c r="DH41" s="39"/>
      <c r="DI41" s="39" t="s">
        <v>301</v>
      </c>
      <c r="DJ41" s="39" t="s">
        <v>297</v>
      </c>
      <c r="DK41" s="38">
        <v>2</v>
      </c>
      <c r="DL41" s="39" t="s">
        <v>387</v>
      </c>
      <c r="DM41" s="39" t="s">
        <v>302</v>
      </c>
      <c r="DN41" s="39" t="s">
        <v>324</v>
      </c>
      <c r="DO41" s="98"/>
      <c r="DP41" s="97"/>
      <c r="DQ41" s="39" t="s">
        <v>297</v>
      </c>
      <c r="DR41" s="38">
        <v>0</v>
      </c>
      <c r="DS41" s="39"/>
      <c r="DT41" s="39"/>
      <c r="DU41" s="38">
        <v>0</v>
      </c>
      <c r="DV41" s="39"/>
      <c r="DW41" s="39" t="s">
        <v>328</v>
      </c>
      <c r="DX41" s="38">
        <v>1</v>
      </c>
      <c r="DY41" s="39" t="s">
        <v>430</v>
      </c>
      <c r="DZ41" s="39"/>
      <c r="EA41" s="39" t="s">
        <v>303</v>
      </c>
      <c r="EB41" s="39" t="s">
        <v>331</v>
      </c>
      <c r="EC41" s="38">
        <v>0</v>
      </c>
      <c r="ED41" s="39"/>
      <c r="EE41" s="39"/>
      <c r="EF41" s="39" t="s">
        <v>298</v>
      </c>
      <c r="EG41" s="98" t="s">
        <v>298</v>
      </c>
      <c r="EH41" s="97">
        <f t="shared" si="5"/>
        <v>1</v>
      </c>
      <c r="EI41" s="39" t="s">
        <v>331</v>
      </c>
      <c r="EJ41" s="38">
        <v>0</v>
      </c>
      <c r="EK41" s="39"/>
      <c r="EL41" s="39"/>
      <c r="EM41" s="39"/>
      <c r="EN41" s="39"/>
      <c r="EO41" s="39" t="s">
        <v>296</v>
      </c>
      <c r="EP41" s="38">
        <v>1</v>
      </c>
      <c r="EQ41" s="39" t="s">
        <v>345</v>
      </c>
      <c r="ER41" s="39" t="s">
        <v>301</v>
      </c>
      <c r="ES41" s="39" t="s">
        <v>302</v>
      </c>
      <c r="ET41" s="38">
        <v>2</v>
      </c>
      <c r="EU41" s="39" t="s">
        <v>297</v>
      </c>
      <c r="EV41" s="39" t="s">
        <v>387</v>
      </c>
      <c r="EW41" s="39" t="s">
        <v>288</v>
      </c>
      <c r="EX41" s="98" t="s">
        <v>298</v>
      </c>
      <c r="EY41" s="97" t="str">
        <f t="shared" si="6"/>
        <v/>
      </c>
      <c r="EZ41" s="38">
        <v>0</v>
      </c>
      <c r="FA41" s="39"/>
      <c r="FB41" s="39"/>
      <c r="FC41" s="39"/>
      <c r="FD41" s="38">
        <v>0</v>
      </c>
      <c r="FE41" s="39"/>
      <c r="FF41" s="39" t="s">
        <v>292</v>
      </c>
      <c r="FG41" s="38">
        <v>1</v>
      </c>
      <c r="FH41" s="39" t="s">
        <v>404</v>
      </c>
      <c r="FI41" s="39"/>
      <c r="FJ41" s="39"/>
      <c r="FK41" s="39"/>
      <c r="FL41" s="39" t="s">
        <v>431</v>
      </c>
      <c r="FM41" s="39" t="s">
        <v>432</v>
      </c>
      <c r="FN41" s="39" t="s">
        <v>433</v>
      </c>
      <c r="FO41" s="39" t="s">
        <v>432</v>
      </c>
      <c r="FP41" s="38">
        <v>0</v>
      </c>
      <c r="FQ41" s="39"/>
      <c r="FR41" s="39"/>
      <c r="FS41" s="39"/>
      <c r="FT41" s="40"/>
      <c r="FU41" s="39" t="s">
        <v>335</v>
      </c>
      <c r="FV41" s="39"/>
      <c r="FW41" s="39"/>
      <c r="FX41" s="38">
        <v>-1</v>
      </c>
      <c r="FY41" s="38">
        <v>-1</v>
      </c>
      <c r="FZ41" s="38">
        <v>-1</v>
      </c>
      <c r="GA41" s="38">
        <v>-1</v>
      </c>
      <c r="GB41" s="38">
        <v>-1</v>
      </c>
      <c r="GC41" s="38">
        <v>-1</v>
      </c>
      <c r="GD41" s="38">
        <v>-1</v>
      </c>
      <c r="GE41" s="38">
        <v>-1</v>
      </c>
      <c r="GF41" s="38">
        <v>-1</v>
      </c>
      <c r="GG41" s="38">
        <v>-1</v>
      </c>
      <c r="GH41" s="38">
        <v>-1</v>
      </c>
      <c r="GI41" s="38">
        <v>-1</v>
      </c>
      <c r="GJ41" s="38">
        <v>-1</v>
      </c>
      <c r="GK41" s="38">
        <v>-1</v>
      </c>
      <c r="GL41" s="38">
        <v>-1</v>
      </c>
      <c r="GM41" s="38">
        <v>-15</v>
      </c>
      <c r="GN41" s="41"/>
      <c r="GO41" s="41"/>
      <c r="GP41" s="39" t="s">
        <v>319</v>
      </c>
      <c r="GQ41" s="39" t="s">
        <v>320</v>
      </c>
      <c r="GR41" s="39" t="s">
        <v>277</v>
      </c>
      <c r="GS41" s="38">
        <v>15</v>
      </c>
      <c r="GT41" s="38">
        <v>15</v>
      </c>
      <c r="GU41" s="38">
        <v>32</v>
      </c>
      <c r="GV41" s="38">
        <v>17</v>
      </c>
      <c r="GW41" s="42"/>
    </row>
    <row r="42" spans="1:205" s="50" customFormat="1" x14ac:dyDescent="0.25">
      <c r="A42" s="38">
        <v>153</v>
      </c>
      <c r="B42" s="39" t="s">
        <v>421</v>
      </c>
      <c r="C42" s="39">
        <v>39.5</v>
      </c>
      <c r="D42" s="39" t="s">
        <v>279</v>
      </c>
      <c r="E42" s="39" t="s">
        <v>320</v>
      </c>
      <c r="F42" s="39" t="s">
        <v>282</v>
      </c>
      <c r="G42" s="39" t="s">
        <v>282</v>
      </c>
      <c r="H42" s="39" t="s">
        <v>282</v>
      </c>
      <c r="I42" s="39" t="s">
        <v>282</v>
      </c>
      <c r="J42" s="39" t="s">
        <v>282</v>
      </c>
      <c r="K42" s="39" t="s">
        <v>281</v>
      </c>
      <c r="L42" s="39" t="s">
        <v>282</v>
      </c>
      <c r="M42" s="39" t="s">
        <v>282</v>
      </c>
      <c r="N42" s="39" t="s">
        <v>282</v>
      </c>
      <c r="O42" s="38">
        <v>0</v>
      </c>
      <c r="P42" s="39"/>
      <c r="Q42" s="39"/>
      <c r="R42" s="39" t="s">
        <v>423</v>
      </c>
      <c r="S42" s="39"/>
      <c r="T42" s="39"/>
      <c r="U42" s="39"/>
      <c r="V42" s="39"/>
      <c r="W42" s="40" t="s">
        <v>424</v>
      </c>
      <c r="X42" s="39" t="s">
        <v>346</v>
      </c>
      <c r="Y42" s="38">
        <v>1</v>
      </c>
      <c r="Z42" s="39" t="s">
        <v>439</v>
      </c>
      <c r="AA42" s="39"/>
      <c r="AB42" s="39" t="s">
        <v>294</v>
      </c>
      <c r="AC42" s="39" t="s">
        <v>297</v>
      </c>
      <c r="AD42" s="38">
        <v>0</v>
      </c>
      <c r="AE42" s="39"/>
      <c r="AF42" s="39"/>
      <c r="AG42" s="39" t="s">
        <v>298</v>
      </c>
      <c r="AH42" s="98" t="s">
        <v>298</v>
      </c>
      <c r="AI42" s="97">
        <f t="shared" si="0"/>
        <v>1</v>
      </c>
      <c r="AJ42" s="39" t="s">
        <v>302</v>
      </c>
      <c r="AK42" s="38">
        <v>0</v>
      </c>
      <c r="AL42" s="39"/>
      <c r="AM42" s="39"/>
      <c r="AN42" s="38">
        <v>1</v>
      </c>
      <c r="AO42" s="39" t="s">
        <v>440</v>
      </c>
      <c r="AP42" s="39"/>
      <c r="AQ42" s="39" t="s">
        <v>299</v>
      </c>
      <c r="AR42" s="38">
        <v>1</v>
      </c>
      <c r="AS42" s="39" t="s">
        <v>441</v>
      </c>
      <c r="AT42" s="39"/>
      <c r="AU42" s="39" t="s">
        <v>294</v>
      </c>
      <c r="AV42" s="39" t="s">
        <v>287</v>
      </c>
      <c r="AW42" s="38">
        <v>0</v>
      </c>
      <c r="AX42" s="39"/>
      <c r="AY42" s="39"/>
      <c r="AZ42" s="39" t="s">
        <v>324</v>
      </c>
      <c r="BA42" s="98" t="s">
        <v>840</v>
      </c>
      <c r="BB42" s="97">
        <v>1</v>
      </c>
      <c r="BC42" s="39" t="s">
        <v>287</v>
      </c>
      <c r="BD42" s="38">
        <v>0</v>
      </c>
      <c r="BE42" s="39"/>
      <c r="BF42" s="39"/>
      <c r="BG42" s="38">
        <v>1</v>
      </c>
      <c r="BH42" s="39" t="s">
        <v>406</v>
      </c>
      <c r="BI42" s="39" t="s">
        <v>299</v>
      </c>
      <c r="BJ42" s="39" t="s">
        <v>294</v>
      </c>
      <c r="BK42" s="39" t="s">
        <v>297</v>
      </c>
      <c r="BL42" s="38">
        <v>0</v>
      </c>
      <c r="BM42" s="39"/>
      <c r="BN42" s="39"/>
      <c r="BO42" s="39" t="s">
        <v>324</v>
      </c>
      <c r="BP42" s="39" t="s">
        <v>297</v>
      </c>
      <c r="BQ42" s="38">
        <v>0</v>
      </c>
      <c r="BR42" s="39"/>
      <c r="BS42" s="39"/>
      <c r="BT42" s="38">
        <v>0</v>
      </c>
      <c r="BU42" s="39"/>
      <c r="BV42" s="39" t="s">
        <v>296</v>
      </c>
      <c r="BW42" s="38">
        <v>1</v>
      </c>
      <c r="BX42" s="39" t="s">
        <v>442</v>
      </c>
      <c r="BY42" s="39" t="s">
        <v>301</v>
      </c>
      <c r="BZ42" s="39" t="s">
        <v>297</v>
      </c>
      <c r="CA42" s="38">
        <v>0</v>
      </c>
      <c r="CB42" s="39"/>
      <c r="CC42" s="39"/>
      <c r="CD42" s="39" t="s">
        <v>288</v>
      </c>
      <c r="CE42" s="97" t="s">
        <v>288</v>
      </c>
      <c r="CF42" s="97">
        <v>1</v>
      </c>
      <c r="CG42" s="39" t="s">
        <v>297</v>
      </c>
      <c r="CH42" s="38">
        <v>0</v>
      </c>
      <c r="CI42" s="39"/>
      <c r="CJ42" s="39"/>
      <c r="CK42" s="38">
        <v>0</v>
      </c>
      <c r="CL42" s="39"/>
      <c r="CM42" s="39" t="s">
        <v>299</v>
      </c>
      <c r="CN42" s="38">
        <v>1</v>
      </c>
      <c r="CO42" s="39" t="s">
        <v>443</v>
      </c>
      <c r="CP42" s="39"/>
      <c r="CQ42" s="39" t="s">
        <v>294</v>
      </c>
      <c r="CR42" s="39" t="s">
        <v>297</v>
      </c>
      <c r="CS42" s="38">
        <v>0</v>
      </c>
      <c r="CT42" s="39"/>
      <c r="CU42" s="39"/>
      <c r="CV42" s="39" t="s">
        <v>305</v>
      </c>
      <c r="CW42" s="98" t="s">
        <v>305</v>
      </c>
      <c r="CX42" s="97">
        <v>1</v>
      </c>
      <c r="CY42" s="39" t="s">
        <v>297</v>
      </c>
      <c r="CZ42" s="38">
        <v>0</v>
      </c>
      <c r="DA42" s="39"/>
      <c r="DB42" s="39"/>
      <c r="DC42" s="38">
        <v>0</v>
      </c>
      <c r="DD42" s="39"/>
      <c r="DE42" s="39" t="s">
        <v>299</v>
      </c>
      <c r="DF42" s="38">
        <v>1</v>
      </c>
      <c r="DG42" s="39" t="s">
        <v>444</v>
      </c>
      <c r="DH42" s="39"/>
      <c r="DI42" s="39" t="s">
        <v>303</v>
      </c>
      <c r="DJ42" s="39" t="s">
        <v>302</v>
      </c>
      <c r="DK42" s="38">
        <v>0</v>
      </c>
      <c r="DL42" s="39"/>
      <c r="DM42" s="39"/>
      <c r="DN42" s="39" t="s">
        <v>298</v>
      </c>
      <c r="DO42" s="98"/>
      <c r="DP42" s="97"/>
      <c r="DQ42" s="39" t="s">
        <v>302</v>
      </c>
      <c r="DR42" s="38">
        <v>0</v>
      </c>
      <c r="DS42" s="39"/>
      <c r="DT42" s="39"/>
      <c r="DU42" s="38">
        <v>0</v>
      </c>
      <c r="DV42" s="39"/>
      <c r="DW42" s="39" t="s">
        <v>296</v>
      </c>
      <c r="DX42" s="38">
        <v>1</v>
      </c>
      <c r="DY42" s="39" t="s">
        <v>445</v>
      </c>
      <c r="DZ42" s="39"/>
      <c r="EA42" s="39" t="s">
        <v>303</v>
      </c>
      <c r="EB42" s="39" t="s">
        <v>331</v>
      </c>
      <c r="EC42" s="38">
        <v>0</v>
      </c>
      <c r="ED42" s="39"/>
      <c r="EE42" s="39"/>
      <c r="EF42" s="39" t="s">
        <v>298</v>
      </c>
      <c r="EG42" s="98" t="s">
        <v>298</v>
      </c>
      <c r="EH42" s="97">
        <f t="shared" si="5"/>
        <v>1</v>
      </c>
      <c r="EI42" s="39" t="s">
        <v>331</v>
      </c>
      <c r="EJ42" s="38">
        <v>0</v>
      </c>
      <c r="EK42" s="39"/>
      <c r="EL42" s="39"/>
      <c r="EM42" s="39" t="s">
        <v>446</v>
      </c>
      <c r="EN42" s="39"/>
      <c r="EO42" s="39" t="s">
        <v>296</v>
      </c>
      <c r="EP42" s="38">
        <v>1</v>
      </c>
      <c r="EQ42" s="39" t="s">
        <v>374</v>
      </c>
      <c r="ER42" s="39" t="s">
        <v>294</v>
      </c>
      <c r="ES42" s="39" t="s">
        <v>297</v>
      </c>
      <c r="ET42" s="38">
        <v>0</v>
      </c>
      <c r="EU42" s="39"/>
      <c r="EV42" s="39"/>
      <c r="EW42" s="39" t="s">
        <v>298</v>
      </c>
      <c r="EX42" s="98" t="s">
        <v>298</v>
      </c>
      <c r="EY42" s="97">
        <f t="shared" si="6"/>
        <v>1</v>
      </c>
      <c r="EZ42" s="38">
        <v>0</v>
      </c>
      <c r="FA42" s="39"/>
      <c r="FB42" s="39"/>
      <c r="FC42" s="39"/>
      <c r="FD42" s="38">
        <v>0</v>
      </c>
      <c r="FE42" s="39"/>
      <c r="FF42" s="39" t="s">
        <v>296</v>
      </c>
      <c r="FG42" s="38">
        <v>0</v>
      </c>
      <c r="FH42" s="39"/>
      <c r="FI42" s="39"/>
      <c r="FJ42" s="39"/>
      <c r="FK42" s="39"/>
      <c r="FL42" s="39"/>
      <c r="FM42" s="39"/>
      <c r="FN42" s="39"/>
      <c r="FO42" s="39"/>
      <c r="FP42" s="38">
        <v>2</v>
      </c>
      <c r="FQ42" s="39" t="s">
        <v>447</v>
      </c>
      <c r="FR42" s="39" t="s">
        <v>448</v>
      </c>
      <c r="FS42" s="39"/>
      <c r="FT42" s="40"/>
      <c r="FU42" s="39" t="s">
        <v>317</v>
      </c>
      <c r="FV42" s="39"/>
      <c r="FW42" s="39"/>
      <c r="FX42" s="38">
        <v>-1</v>
      </c>
      <c r="FY42" s="38">
        <v>-1</v>
      </c>
      <c r="FZ42" s="38">
        <v>-1</v>
      </c>
      <c r="GA42" s="38">
        <v>-1</v>
      </c>
      <c r="GB42" s="38">
        <v>-1</v>
      </c>
      <c r="GC42" s="38">
        <v>-1</v>
      </c>
      <c r="GD42" s="38">
        <v>-1</v>
      </c>
      <c r="GE42" s="38">
        <v>-1</v>
      </c>
      <c r="GF42" s="38">
        <v>-1</v>
      </c>
      <c r="GG42" s="38">
        <v>-1</v>
      </c>
      <c r="GH42" s="38">
        <v>-1</v>
      </c>
      <c r="GI42" s="38">
        <v>-1</v>
      </c>
      <c r="GJ42" s="38">
        <v>-1</v>
      </c>
      <c r="GK42" s="38">
        <v>-1</v>
      </c>
      <c r="GL42" s="38">
        <v>-1</v>
      </c>
      <c r="GM42" s="38">
        <v>-15</v>
      </c>
      <c r="GN42" s="41"/>
      <c r="GO42" s="41"/>
      <c r="GP42" s="39" t="s">
        <v>319</v>
      </c>
      <c r="GQ42" s="39" t="s">
        <v>320</v>
      </c>
      <c r="GR42" s="39" t="s">
        <v>277</v>
      </c>
      <c r="GS42" s="38">
        <v>15</v>
      </c>
      <c r="GT42" s="38">
        <v>15</v>
      </c>
      <c r="GU42" s="38">
        <v>34</v>
      </c>
      <c r="GV42" s="38">
        <v>8</v>
      </c>
      <c r="GW42" s="42"/>
    </row>
    <row r="43" spans="1:205" s="48" customFormat="1" x14ac:dyDescent="0.25">
      <c r="A43" s="38">
        <v>170</v>
      </c>
      <c r="B43" s="39" t="s">
        <v>421</v>
      </c>
      <c r="C43" s="39">
        <v>39.5</v>
      </c>
      <c r="D43" s="39" t="s">
        <v>279</v>
      </c>
      <c r="E43" s="39" t="s">
        <v>377</v>
      </c>
      <c r="F43" s="39" t="s">
        <v>282</v>
      </c>
      <c r="G43" s="39" t="s">
        <v>281</v>
      </c>
      <c r="H43" s="39" t="s">
        <v>282</v>
      </c>
      <c r="I43" s="39" t="s">
        <v>282</v>
      </c>
      <c r="J43" s="39" t="s">
        <v>282</v>
      </c>
      <c r="K43" s="39" t="s">
        <v>281</v>
      </c>
      <c r="L43" s="39" t="s">
        <v>282</v>
      </c>
      <c r="M43" s="39" t="s">
        <v>281</v>
      </c>
      <c r="N43" s="39" t="s">
        <v>282</v>
      </c>
      <c r="O43" s="38">
        <v>0</v>
      </c>
      <c r="P43" s="39"/>
      <c r="Q43" s="39"/>
      <c r="R43" s="39" t="s">
        <v>423</v>
      </c>
      <c r="S43" s="39"/>
      <c r="T43" s="39"/>
      <c r="U43" s="39"/>
      <c r="V43" s="39"/>
      <c r="W43" s="40" t="s">
        <v>464</v>
      </c>
      <c r="X43" s="39" t="s">
        <v>346</v>
      </c>
      <c r="Y43" s="38">
        <v>0</v>
      </c>
      <c r="Z43" s="39"/>
      <c r="AA43" s="39"/>
      <c r="AB43" s="39" t="s">
        <v>294</v>
      </c>
      <c r="AC43" s="39" t="s">
        <v>297</v>
      </c>
      <c r="AD43" s="38">
        <v>0</v>
      </c>
      <c r="AE43" s="39"/>
      <c r="AF43" s="39"/>
      <c r="AG43" s="39" t="s">
        <v>298</v>
      </c>
      <c r="AH43" s="98"/>
      <c r="AI43" s="97" t="str">
        <f t="shared" si="0"/>
        <v/>
      </c>
      <c r="AJ43" s="39" t="s">
        <v>302</v>
      </c>
      <c r="AK43" s="38">
        <v>0</v>
      </c>
      <c r="AL43" s="39"/>
      <c r="AM43" s="39"/>
      <c r="AN43" s="38">
        <v>1</v>
      </c>
      <c r="AO43" s="39" t="s">
        <v>465</v>
      </c>
      <c r="AP43" s="39"/>
      <c r="AQ43" s="39" t="s">
        <v>296</v>
      </c>
      <c r="AR43" s="38"/>
      <c r="AS43" s="39"/>
      <c r="AT43" s="39"/>
      <c r="AU43" s="39"/>
      <c r="AV43" s="39"/>
      <c r="AW43" s="38"/>
      <c r="AX43" s="39"/>
      <c r="AY43" s="39"/>
      <c r="AZ43" s="39"/>
      <c r="BA43" s="98"/>
      <c r="BB43" s="97"/>
      <c r="BC43" s="39"/>
      <c r="BD43" s="38"/>
      <c r="BE43" s="39"/>
      <c r="BF43" s="39"/>
      <c r="BG43" s="38"/>
      <c r="BH43" s="39"/>
      <c r="BI43" s="39"/>
      <c r="BJ43" s="39"/>
      <c r="BK43" s="39"/>
      <c r="BL43" s="38"/>
      <c r="BM43" s="39"/>
      <c r="BN43" s="39"/>
      <c r="BO43" s="39"/>
      <c r="BP43" s="39"/>
      <c r="BQ43" s="38"/>
      <c r="BR43" s="39"/>
      <c r="BS43" s="39"/>
      <c r="BT43" s="38"/>
      <c r="BU43" s="39"/>
      <c r="BV43" s="39"/>
      <c r="BW43" s="38"/>
      <c r="BX43" s="39"/>
      <c r="BY43" s="39"/>
      <c r="BZ43" s="39"/>
      <c r="CA43" s="38"/>
      <c r="CB43" s="39"/>
      <c r="CC43" s="39"/>
      <c r="CD43" s="39"/>
      <c r="CE43" s="97"/>
      <c r="CF43" s="97"/>
      <c r="CG43" s="39"/>
      <c r="CH43" s="38"/>
      <c r="CI43" s="39"/>
      <c r="CJ43" s="39"/>
      <c r="CK43" s="38"/>
      <c r="CL43" s="39"/>
      <c r="CM43" s="39"/>
      <c r="CN43" s="38"/>
      <c r="CO43" s="39"/>
      <c r="CP43" s="39"/>
      <c r="CQ43" s="39"/>
      <c r="CR43" s="39"/>
      <c r="CS43" s="38"/>
      <c r="CT43" s="39"/>
      <c r="CU43" s="39"/>
      <c r="CV43" s="39"/>
      <c r="CW43" s="98"/>
      <c r="CX43" s="97"/>
      <c r="CY43" s="39"/>
      <c r="CZ43" s="38"/>
      <c r="DA43" s="39"/>
      <c r="DB43" s="39"/>
      <c r="DC43" s="38"/>
      <c r="DD43" s="39"/>
      <c r="DE43" s="39"/>
      <c r="DF43" s="38"/>
      <c r="DG43" s="39"/>
      <c r="DH43" s="39"/>
      <c r="DI43" s="39"/>
      <c r="DJ43" s="39"/>
      <c r="DK43" s="38"/>
      <c r="DL43" s="39"/>
      <c r="DM43" s="39"/>
      <c r="DN43" s="39"/>
      <c r="DO43" s="98"/>
      <c r="DP43" s="97"/>
      <c r="DQ43" s="39"/>
      <c r="DR43" s="38"/>
      <c r="DS43" s="39"/>
      <c r="DT43" s="39"/>
      <c r="DU43" s="38"/>
      <c r="DV43" s="39"/>
      <c r="DW43" s="39"/>
      <c r="DX43" s="38"/>
      <c r="DY43" s="39"/>
      <c r="DZ43" s="39"/>
      <c r="EA43" s="39"/>
      <c r="EB43" s="39"/>
      <c r="EC43" s="38"/>
      <c r="ED43" s="39"/>
      <c r="EE43" s="39"/>
      <c r="EF43" s="39"/>
      <c r="EG43" s="98"/>
      <c r="EH43" s="97"/>
      <c r="EI43" s="39"/>
      <c r="EJ43" s="38"/>
      <c r="EK43" s="39"/>
      <c r="EL43" s="39"/>
      <c r="EM43" s="39"/>
      <c r="EN43" s="39"/>
      <c r="EO43" s="39"/>
      <c r="EP43" s="38"/>
      <c r="EQ43" s="39"/>
      <c r="ER43" s="39"/>
      <c r="ES43" s="39"/>
      <c r="ET43" s="38"/>
      <c r="EU43" s="39"/>
      <c r="EV43" s="39"/>
      <c r="EW43" s="39"/>
      <c r="EX43" s="98"/>
      <c r="EY43" s="97"/>
      <c r="EZ43" s="38"/>
      <c r="FA43" s="39"/>
      <c r="FB43" s="39"/>
      <c r="FC43" s="39"/>
      <c r="FD43" s="38"/>
      <c r="FE43" s="39"/>
      <c r="FF43" s="39"/>
      <c r="FG43" s="38"/>
      <c r="FH43" s="39"/>
      <c r="FI43" s="39"/>
      <c r="FJ43" s="39"/>
      <c r="FK43" s="39"/>
      <c r="FL43" s="39"/>
      <c r="FM43" s="39"/>
      <c r="FN43" s="39"/>
      <c r="FO43" s="39"/>
      <c r="FP43" s="38"/>
      <c r="FQ43" s="39"/>
      <c r="FR43" s="39"/>
      <c r="FS43" s="39"/>
      <c r="FT43" s="40"/>
      <c r="FU43" s="39"/>
      <c r="FV43" s="39"/>
      <c r="FW43" s="39"/>
      <c r="FX43" s="38">
        <v>-1</v>
      </c>
      <c r="FY43" s="38">
        <v>-1</v>
      </c>
      <c r="FZ43" s="38">
        <v>-1</v>
      </c>
      <c r="GA43" s="38">
        <v>-1</v>
      </c>
      <c r="GB43" s="38">
        <v>-1</v>
      </c>
      <c r="GC43" s="38">
        <v>-1</v>
      </c>
      <c r="GD43" s="38"/>
      <c r="GE43" s="38"/>
      <c r="GF43" s="38"/>
      <c r="GG43" s="38"/>
      <c r="GH43" s="38"/>
      <c r="GI43" s="38"/>
      <c r="GJ43" s="38"/>
      <c r="GK43" s="38"/>
      <c r="GL43" s="38"/>
      <c r="GM43" s="38">
        <v>-6</v>
      </c>
      <c r="GN43" s="41"/>
      <c r="GO43" s="41"/>
      <c r="GP43" s="39"/>
      <c r="GQ43" s="39" t="s">
        <v>277</v>
      </c>
      <c r="GR43" s="39" t="s">
        <v>277</v>
      </c>
      <c r="GS43" s="38">
        <v>6</v>
      </c>
      <c r="GT43" s="38">
        <v>6</v>
      </c>
      <c r="GU43" s="38">
        <v>29</v>
      </c>
      <c r="GV43" s="38">
        <v>8</v>
      </c>
      <c r="GW43" s="42"/>
    </row>
    <row r="44" spans="1:205" s="70" customFormat="1" ht="13.8" thickBot="1" x14ac:dyDescent="0.3">
      <c r="A44" s="43">
        <v>230</v>
      </c>
      <c r="B44" s="44" t="s">
        <v>421</v>
      </c>
      <c r="C44" s="44">
        <v>39.5</v>
      </c>
      <c r="D44" s="44" t="s">
        <v>279</v>
      </c>
      <c r="E44" s="44" t="s">
        <v>348</v>
      </c>
      <c r="F44" s="44" t="s">
        <v>282</v>
      </c>
      <c r="G44" s="44" t="s">
        <v>281</v>
      </c>
      <c r="H44" s="44" t="s">
        <v>282</v>
      </c>
      <c r="I44" s="44" t="s">
        <v>282</v>
      </c>
      <c r="J44" s="44" t="s">
        <v>282</v>
      </c>
      <c r="K44" s="44" t="s">
        <v>281</v>
      </c>
      <c r="L44" s="44" t="s">
        <v>281</v>
      </c>
      <c r="M44" s="44" t="s">
        <v>281</v>
      </c>
      <c r="N44" s="44" t="s">
        <v>281</v>
      </c>
      <c r="O44" s="43">
        <v>0</v>
      </c>
      <c r="P44" s="44"/>
      <c r="Q44" s="44"/>
      <c r="R44" s="44" t="s">
        <v>423</v>
      </c>
      <c r="S44" s="44"/>
      <c r="T44" s="44"/>
      <c r="U44" s="44"/>
      <c r="V44" s="44"/>
      <c r="W44" s="45" t="s">
        <v>464</v>
      </c>
      <c r="X44" s="44" t="s">
        <v>346</v>
      </c>
      <c r="Y44" s="43">
        <v>1</v>
      </c>
      <c r="Z44" s="44" t="s">
        <v>685</v>
      </c>
      <c r="AA44" s="44"/>
      <c r="AB44" s="44" t="s">
        <v>303</v>
      </c>
      <c r="AC44" s="44" t="s">
        <v>297</v>
      </c>
      <c r="AD44" s="43">
        <v>1</v>
      </c>
      <c r="AE44" s="44"/>
      <c r="AF44" s="44" t="s">
        <v>302</v>
      </c>
      <c r="AG44" s="44" t="s">
        <v>288</v>
      </c>
      <c r="AH44" s="98" t="s">
        <v>288</v>
      </c>
      <c r="AI44" s="97">
        <f t="shared" si="0"/>
        <v>1</v>
      </c>
      <c r="AJ44" s="44" t="s">
        <v>331</v>
      </c>
      <c r="AK44" s="43">
        <v>1</v>
      </c>
      <c r="AL44" s="44"/>
      <c r="AM44" s="44" t="s">
        <v>686</v>
      </c>
      <c r="AN44" s="43">
        <v>1</v>
      </c>
      <c r="AO44" s="44" t="s">
        <v>687</v>
      </c>
      <c r="AP44" s="44"/>
      <c r="AQ44" s="44" t="s">
        <v>296</v>
      </c>
      <c r="AR44" s="43">
        <v>1</v>
      </c>
      <c r="AS44" s="44" t="s">
        <v>688</v>
      </c>
      <c r="AT44" s="44"/>
      <c r="AU44" s="44" t="s">
        <v>294</v>
      </c>
      <c r="AV44" s="44" t="s">
        <v>297</v>
      </c>
      <c r="AW44" s="43">
        <v>1</v>
      </c>
      <c r="AX44" s="44"/>
      <c r="AY44" s="44" t="s">
        <v>302</v>
      </c>
      <c r="AZ44" s="44" t="s">
        <v>288</v>
      </c>
      <c r="BA44" s="99"/>
      <c r="BB44" s="97" t="str">
        <f t="shared" si="1"/>
        <v/>
      </c>
      <c r="BC44" s="44" t="s">
        <v>297</v>
      </c>
      <c r="BD44" s="43">
        <v>1</v>
      </c>
      <c r="BE44" s="44"/>
      <c r="BF44" s="44" t="s">
        <v>302</v>
      </c>
      <c r="BG44" s="43">
        <v>1</v>
      </c>
      <c r="BH44" s="44" t="s">
        <v>689</v>
      </c>
      <c r="BI44" s="44" t="s">
        <v>296</v>
      </c>
      <c r="BJ44" s="44" t="s">
        <v>301</v>
      </c>
      <c r="BK44" s="44" t="s">
        <v>297</v>
      </c>
      <c r="BL44" s="43">
        <v>1</v>
      </c>
      <c r="BM44" s="44"/>
      <c r="BN44" s="44" t="s">
        <v>462</v>
      </c>
      <c r="BO44" s="44" t="s">
        <v>324</v>
      </c>
      <c r="BP44" s="44" t="s">
        <v>339</v>
      </c>
      <c r="BQ44" s="43">
        <v>1</v>
      </c>
      <c r="BR44" s="44"/>
      <c r="BS44" s="44" t="s">
        <v>297</v>
      </c>
      <c r="BT44" s="43">
        <v>1</v>
      </c>
      <c r="BU44" s="44" t="s">
        <v>690</v>
      </c>
      <c r="BV44" s="44" t="s">
        <v>296</v>
      </c>
      <c r="BW44" s="43">
        <v>1</v>
      </c>
      <c r="BX44" s="44" t="s">
        <v>691</v>
      </c>
      <c r="BY44" s="44" t="s">
        <v>294</v>
      </c>
      <c r="BZ44" s="44" t="s">
        <v>302</v>
      </c>
      <c r="CA44" s="43">
        <v>1</v>
      </c>
      <c r="CB44" s="44"/>
      <c r="CC44" s="44" t="s">
        <v>297</v>
      </c>
      <c r="CD44" s="44" t="s">
        <v>305</v>
      </c>
      <c r="CE44" s="97" t="s">
        <v>305</v>
      </c>
      <c r="CF44" s="97">
        <f t="shared" si="2"/>
        <v>1</v>
      </c>
      <c r="CG44" s="44" t="s">
        <v>302</v>
      </c>
      <c r="CH44" s="43">
        <v>1</v>
      </c>
      <c r="CI44" s="44"/>
      <c r="CJ44" s="44" t="s">
        <v>297</v>
      </c>
      <c r="CK44" s="43">
        <v>1</v>
      </c>
      <c r="CL44" s="44" t="s">
        <v>689</v>
      </c>
      <c r="CM44" s="44" t="s">
        <v>299</v>
      </c>
      <c r="CN44" s="43">
        <v>1</v>
      </c>
      <c r="CO44" s="44" t="s">
        <v>358</v>
      </c>
      <c r="CP44" s="44"/>
      <c r="CQ44" s="44" t="s">
        <v>294</v>
      </c>
      <c r="CR44" s="44" t="s">
        <v>297</v>
      </c>
      <c r="CS44" s="43">
        <v>1</v>
      </c>
      <c r="CT44" s="44"/>
      <c r="CU44" s="44" t="s">
        <v>302</v>
      </c>
      <c r="CV44" s="44" t="s">
        <v>305</v>
      </c>
      <c r="CW44" s="98" t="s">
        <v>298</v>
      </c>
      <c r="CX44" s="97" t="str">
        <f t="shared" si="3"/>
        <v/>
      </c>
      <c r="CY44" s="44" t="s">
        <v>302</v>
      </c>
      <c r="CZ44" s="43">
        <v>1</v>
      </c>
      <c r="DA44" s="44"/>
      <c r="DB44" s="44" t="s">
        <v>297</v>
      </c>
      <c r="DC44" s="43">
        <v>1</v>
      </c>
      <c r="DD44" s="44" t="s">
        <v>689</v>
      </c>
      <c r="DE44" s="44" t="s">
        <v>299</v>
      </c>
      <c r="DF44" s="43">
        <v>1</v>
      </c>
      <c r="DG44" s="44" t="s">
        <v>692</v>
      </c>
      <c r="DH44" s="44"/>
      <c r="DI44" s="44" t="s">
        <v>301</v>
      </c>
      <c r="DJ44" s="44" t="s">
        <v>339</v>
      </c>
      <c r="DK44" s="43">
        <v>1</v>
      </c>
      <c r="DL44" s="44"/>
      <c r="DM44" s="44" t="s">
        <v>297</v>
      </c>
      <c r="DN44" s="44" t="s">
        <v>324</v>
      </c>
      <c r="DO44" s="98" t="s">
        <v>324</v>
      </c>
      <c r="DP44" s="97">
        <f t="shared" si="4"/>
        <v>1</v>
      </c>
      <c r="DQ44" s="44" t="s">
        <v>339</v>
      </c>
      <c r="DR44" s="43">
        <v>1</v>
      </c>
      <c r="DS44" s="44"/>
      <c r="DT44" s="44" t="s">
        <v>297</v>
      </c>
      <c r="DU44" s="43">
        <v>1</v>
      </c>
      <c r="DV44" s="44" t="s">
        <v>690</v>
      </c>
      <c r="DW44" s="44" t="s">
        <v>296</v>
      </c>
      <c r="DX44" s="43">
        <v>1</v>
      </c>
      <c r="DY44" s="44" t="s">
        <v>603</v>
      </c>
      <c r="DZ44" s="44"/>
      <c r="EA44" s="44" t="s">
        <v>303</v>
      </c>
      <c r="EB44" s="44" t="s">
        <v>331</v>
      </c>
      <c r="EC44" s="43">
        <v>1</v>
      </c>
      <c r="ED44" s="44"/>
      <c r="EE44" s="44" t="s">
        <v>406</v>
      </c>
      <c r="EF44" s="44" t="s">
        <v>298</v>
      </c>
      <c r="EG44" s="98" t="s">
        <v>298</v>
      </c>
      <c r="EH44" s="97">
        <f t="shared" si="5"/>
        <v>1</v>
      </c>
      <c r="EI44" s="44" t="s">
        <v>331</v>
      </c>
      <c r="EJ44" s="43">
        <v>1</v>
      </c>
      <c r="EK44" s="44"/>
      <c r="EL44" s="44" t="s">
        <v>406</v>
      </c>
      <c r="EM44" s="44" t="s">
        <v>412</v>
      </c>
      <c r="EN44" s="44" t="s">
        <v>406</v>
      </c>
      <c r="EO44" s="44" t="s">
        <v>328</v>
      </c>
      <c r="EP44" s="43">
        <v>1</v>
      </c>
      <c r="EQ44" s="44" t="s">
        <v>345</v>
      </c>
      <c r="ER44" s="44" t="s">
        <v>294</v>
      </c>
      <c r="ES44" s="44" t="s">
        <v>331</v>
      </c>
      <c r="ET44" s="43">
        <v>1</v>
      </c>
      <c r="EU44" s="44" t="s">
        <v>406</v>
      </c>
      <c r="EV44" s="44"/>
      <c r="EW44" s="44" t="s">
        <v>305</v>
      </c>
      <c r="EX44" s="98" t="s">
        <v>288</v>
      </c>
      <c r="EY44" s="97" t="str">
        <f t="shared" si="6"/>
        <v/>
      </c>
      <c r="EZ44" s="43">
        <v>1</v>
      </c>
      <c r="FA44" s="44"/>
      <c r="FB44" s="44" t="s">
        <v>287</v>
      </c>
      <c r="FC44" s="44" t="s">
        <v>460</v>
      </c>
      <c r="FD44" s="43">
        <v>1</v>
      </c>
      <c r="FE44" s="44" t="s">
        <v>689</v>
      </c>
      <c r="FF44" s="44" t="s">
        <v>296</v>
      </c>
      <c r="FG44" s="43">
        <v>1</v>
      </c>
      <c r="FH44" s="44"/>
      <c r="FI44" s="44" t="s">
        <v>404</v>
      </c>
      <c r="FJ44" s="44"/>
      <c r="FK44" s="44"/>
      <c r="FL44" s="44" t="s">
        <v>404</v>
      </c>
      <c r="FM44" s="44"/>
      <c r="FN44" s="44"/>
      <c r="FO44" s="44"/>
      <c r="FP44" s="43">
        <v>0</v>
      </c>
      <c r="FQ44" s="44"/>
      <c r="FR44" s="44"/>
      <c r="FS44" s="44"/>
      <c r="FT44" s="45"/>
      <c r="FU44" s="44" t="s">
        <v>317</v>
      </c>
      <c r="FV44" s="44" t="s">
        <v>693</v>
      </c>
      <c r="FW44" s="44"/>
      <c r="FX44" s="43">
        <v>-1</v>
      </c>
      <c r="FY44" s="43">
        <v>-1</v>
      </c>
      <c r="FZ44" s="43">
        <v>-1</v>
      </c>
      <c r="GA44" s="43">
        <v>-1</v>
      </c>
      <c r="GB44" s="43">
        <v>-1</v>
      </c>
      <c r="GC44" s="43">
        <v>-1</v>
      </c>
      <c r="GD44" s="43">
        <v>-1</v>
      </c>
      <c r="GE44" s="43">
        <v>-1</v>
      </c>
      <c r="GF44" s="43">
        <v>-1</v>
      </c>
      <c r="GG44" s="43">
        <v>-1</v>
      </c>
      <c r="GH44" s="43">
        <v>-1</v>
      </c>
      <c r="GI44" s="43">
        <v>-1</v>
      </c>
      <c r="GJ44" s="43">
        <v>-1</v>
      </c>
      <c r="GK44" s="43">
        <v>-1</v>
      </c>
      <c r="GL44" s="43">
        <v>-1</v>
      </c>
      <c r="GM44" s="43">
        <v>-15</v>
      </c>
      <c r="GN44" s="46"/>
      <c r="GO44" s="46"/>
      <c r="GP44" s="44" t="s">
        <v>319</v>
      </c>
      <c r="GQ44" s="44" t="s">
        <v>320</v>
      </c>
      <c r="GR44" s="44" t="s">
        <v>277</v>
      </c>
      <c r="GS44" s="43">
        <v>15</v>
      </c>
      <c r="GT44" s="43">
        <v>15</v>
      </c>
      <c r="GU44" s="43">
        <v>7</v>
      </c>
      <c r="GV44" s="43">
        <v>2</v>
      </c>
      <c r="GW44" s="47"/>
    </row>
    <row r="45" spans="1:205" s="49" customFormat="1" x14ac:dyDescent="0.25">
      <c r="A45" s="38">
        <v>204</v>
      </c>
      <c r="B45" s="39" t="s">
        <v>347</v>
      </c>
      <c r="C45" s="39">
        <v>57.5</v>
      </c>
      <c r="D45" s="39" t="s">
        <v>279</v>
      </c>
      <c r="E45" s="39" t="s">
        <v>377</v>
      </c>
      <c r="F45" s="39" t="s">
        <v>281</v>
      </c>
      <c r="G45" s="39" t="s">
        <v>281</v>
      </c>
      <c r="H45" s="39" t="s">
        <v>282</v>
      </c>
      <c r="I45" s="39" t="s">
        <v>282</v>
      </c>
      <c r="J45" s="39" t="s">
        <v>282</v>
      </c>
      <c r="K45" s="39" t="s">
        <v>281</v>
      </c>
      <c r="L45" s="39" t="s">
        <v>282</v>
      </c>
      <c r="M45" s="39" t="s">
        <v>282</v>
      </c>
      <c r="N45" s="39" t="s">
        <v>282</v>
      </c>
      <c r="O45" s="38">
        <v>0</v>
      </c>
      <c r="P45" s="39"/>
      <c r="Q45" s="39"/>
      <c r="R45" s="39" t="s">
        <v>423</v>
      </c>
      <c r="S45" s="39"/>
      <c r="T45" s="39"/>
      <c r="U45" s="39"/>
      <c r="V45" s="39" t="s">
        <v>280</v>
      </c>
      <c r="W45" s="40" t="s">
        <v>424</v>
      </c>
      <c r="X45" s="39" t="s">
        <v>350</v>
      </c>
      <c r="Y45" s="38">
        <v>1</v>
      </c>
      <c r="Z45" s="39" t="s">
        <v>585</v>
      </c>
      <c r="AA45" s="39"/>
      <c r="AB45" s="39" t="s">
        <v>310</v>
      </c>
      <c r="AC45" s="39" t="s">
        <v>297</v>
      </c>
      <c r="AD45" s="38">
        <v>0</v>
      </c>
      <c r="AE45" s="39"/>
      <c r="AF45" s="39"/>
      <c r="AG45" s="39" t="s">
        <v>288</v>
      </c>
      <c r="AH45" s="98" t="s">
        <v>305</v>
      </c>
      <c r="AI45" s="97" t="str">
        <f t="shared" si="0"/>
        <v/>
      </c>
      <c r="AJ45" s="39" t="s">
        <v>287</v>
      </c>
      <c r="AK45" s="38">
        <v>0</v>
      </c>
      <c r="AL45" s="39"/>
      <c r="AM45" s="39"/>
      <c r="AN45" s="38">
        <v>1</v>
      </c>
      <c r="AO45" s="39" t="s">
        <v>586</v>
      </c>
      <c r="AP45" s="39"/>
      <c r="AQ45" s="39" t="s">
        <v>328</v>
      </c>
      <c r="AR45" s="38">
        <v>1</v>
      </c>
      <c r="AS45" s="39" t="s">
        <v>405</v>
      </c>
      <c r="AT45" s="39"/>
      <c r="AU45" s="39" t="s">
        <v>294</v>
      </c>
      <c r="AV45" s="39" t="s">
        <v>287</v>
      </c>
      <c r="AW45" s="38">
        <v>0</v>
      </c>
      <c r="AX45" s="39"/>
      <c r="AY45" s="39"/>
      <c r="AZ45" s="39" t="s">
        <v>288</v>
      </c>
      <c r="BA45" s="98" t="s">
        <v>324</v>
      </c>
      <c r="BB45" s="97" t="str">
        <f t="shared" si="1"/>
        <v/>
      </c>
      <c r="BC45" s="39" t="s">
        <v>287</v>
      </c>
      <c r="BD45" s="38">
        <v>0</v>
      </c>
      <c r="BE45" s="39"/>
      <c r="BF45" s="39"/>
      <c r="BG45" s="38">
        <v>0</v>
      </c>
      <c r="BH45" s="39"/>
      <c r="BI45" s="39" t="s">
        <v>328</v>
      </c>
      <c r="BJ45" s="39" t="s">
        <v>303</v>
      </c>
      <c r="BK45" s="39" t="s">
        <v>297</v>
      </c>
      <c r="BL45" s="38">
        <v>1</v>
      </c>
      <c r="BM45" s="39" t="s">
        <v>339</v>
      </c>
      <c r="BN45" s="39"/>
      <c r="BO45" s="39" t="s">
        <v>324</v>
      </c>
      <c r="BP45" s="39" t="s">
        <v>339</v>
      </c>
      <c r="BQ45" s="38">
        <v>0</v>
      </c>
      <c r="BR45" s="39"/>
      <c r="BS45" s="39"/>
      <c r="BT45" s="38">
        <v>1</v>
      </c>
      <c r="BU45" s="39" t="s">
        <v>587</v>
      </c>
      <c r="BV45" s="39" t="s">
        <v>296</v>
      </c>
      <c r="BW45" s="38">
        <v>1</v>
      </c>
      <c r="BX45" s="39" t="s">
        <v>588</v>
      </c>
      <c r="BY45" s="39" t="s">
        <v>303</v>
      </c>
      <c r="BZ45" s="39" t="s">
        <v>297</v>
      </c>
      <c r="CA45" s="38">
        <v>0</v>
      </c>
      <c r="CB45" s="39"/>
      <c r="CC45" s="39"/>
      <c r="CD45" s="39" t="s">
        <v>288</v>
      </c>
      <c r="CE45" s="97" t="s">
        <v>288</v>
      </c>
      <c r="CF45" s="97">
        <f t="shared" si="2"/>
        <v>1</v>
      </c>
      <c r="CG45" s="39" t="s">
        <v>287</v>
      </c>
      <c r="CH45" s="38">
        <v>0</v>
      </c>
      <c r="CI45" s="39"/>
      <c r="CJ45" s="39"/>
      <c r="CK45" s="38">
        <v>0</v>
      </c>
      <c r="CL45" s="39"/>
      <c r="CM45" s="39" t="s">
        <v>296</v>
      </c>
      <c r="CN45" s="38">
        <v>1</v>
      </c>
      <c r="CO45" s="39" t="s">
        <v>589</v>
      </c>
      <c r="CP45" s="39"/>
      <c r="CQ45" s="39" t="s">
        <v>303</v>
      </c>
      <c r="CR45" s="39" t="s">
        <v>297</v>
      </c>
      <c r="CS45" s="38">
        <v>1</v>
      </c>
      <c r="CT45" s="39" t="s">
        <v>590</v>
      </c>
      <c r="CU45" s="39"/>
      <c r="CV45" s="39" t="s">
        <v>305</v>
      </c>
      <c r="CW45" s="98" t="s">
        <v>305</v>
      </c>
      <c r="CX45" s="97">
        <f t="shared" si="3"/>
        <v>1</v>
      </c>
      <c r="CY45" s="39" t="s">
        <v>287</v>
      </c>
      <c r="CZ45" s="38">
        <v>0</v>
      </c>
      <c r="DA45" s="39"/>
      <c r="DB45" s="39"/>
      <c r="DC45" s="38">
        <v>0</v>
      </c>
      <c r="DD45" s="39"/>
      <c r="DE45" s="39" t="s">
        <v>296</v>
      </c>
      <c r="DF45" s="38">
        <v>1</v>
      </c>
      <c r="DG45" s="39" t="s">
        <v>591</v>
      </c>
      <c r="DH45" s="39"/>
      <c r="DI45" s="39" t="s">
        <v>303</v>
      </c>
      <c r="DJ45" s="39" t="s">
        <v>331</v>
      </c>
      <c r="DK45" s="38">
        <v>0</v>
      </c>
      <c r="DL45" s="39"/>
      <c r="DM45" s="39"/>
      <c r="DN45" s="39" t="s">
        <v>298</v>
      </c>
      <c r="DO45" s="98" t="s">
        <v>298</v>
      </c>
      <c r="DP45" s="97">
        <f t="shared" si="4"/>
        <v>1</v>
      </c>
      <c r="DQ45" s="39" t="s">
        <v>331</v>
      </c>
      <c r="DR45" s="38">
        <v>0</v>
      </c>
      <c r="DS45" s="39"/>
      <c r="DT45" s="39"/>
      <c r="DU45" s="38">
        <v>1</v>
      </c>
      <c r="DV45" s="39" t="s">
        <v>406</v>
      </c>
      <c r="DW45" s="39" t="s">
        <v>296</v>
      </c>
      <c r="DX45" s="38">
        <v>1</v>
      </c>
      <c r="DY45" s="39" t="s">
        <v>592</v>
      </c>
      <c r="DZ45" s="39"/>
      <c r="EA45" s="39" t="s">
        <v>303</v>
      </c>
      <c r="EB45" s="39" t="s">
        <v>331</v>
      </c>
      <c r="EC45" s="38">
        <v>0</v>
      </c>
      <c r="ED45" s="39"/>
      <c r="EE45" s="39"/>
      <c r="EF45" s="39" t="s">
        <v>298</v>
      </c>
      <c r="EG45" s="98" t="s">
        <v>298</v>
      </c>
      <c r="EH45" s="97">
        <f t="shared" si="5"/>
        <v>1</v>
      </c>
      <c r="EI45" s="39" t="s">
        <v>331</v>
      </c>
      <c r="EJ45" s="38">
        <v>0</v>
      </c>
      <c r="EK45" s="39"/>
      <c r="EL45" s="39"/>
      <c r="EM45" s="39" t="s">
        <v>593</v>
      </c>
      <c r="EN45" s="39"/>
      <c r="EO45" s="39" t="s">
        <v>296</v>
      </c>
      <c r="EP45" s="38">
        <v>1</v>
      </c>
      <c r="EQ45" s="39" t="s">
        <v>594</v>
      </c>
      <c r="ER45" s="39" t="s">
        <v>303</v>
      </c>
      <c r="ES45" s="39" t="s">
        <v>331</v>
      </c>
      <c r="ET45" s="38">
        <v>1</v>
      </c>
      <c r="EU45" s="39" t="s">
        <v>287</v>
      </c>
      <c r="EV45" s="39"/>
      <c r="EW45" s="39" t="s">
        <v>305</v>
      </c>
      <c r="EX45" s="98" t="s">
        <v>288</v>
      </c>
      <c r="EY45" s="97" t="str">
        <f t="shared" si="6"/>
        <v/>
      </c>
      <c r="EZ45" s="38">
        <v>1</v>
      </c>
      <c r="FA45" s="39" t="s">
        <v>467</v>
      </c>
      <c r="FB45" s="39"/>
      <c r="FC45" s="39" t="s">
        <v>593</v>
      </c>
      <c r="FD45" s="38">
        <v>1</v>
      </c>
      <c r="FE45" s="39" t="s">
        <v>406</v>
      </c>
      <c r="FF45" s="39" t="s">
        <v>296</v>
      </c>
      <c r="FG45" s="38">
        <v>2</v>
      </c>
      <c r="FH45" s="39" t="s">
        <v>595</v>
      </c>
      <c r="FI45" s="39" t="s">
        <v>596</v>
      </c>
      <c r="FJ45" s="39"/>
      <c r="FK45" s="39"/>
      <c r="FL45" s="39" t="s">
        <v>597</v>
      </c>
      <c r="FM45" s="39" t="s">
        <v>598</v>
      </c>
      <c r="FN45" s="39"/>
      <c r="FO45" s="39"/>
      <c r="FP45" s="38">
        <v>1</v>
      </c>
      <c r="FQ45" s="39" t="s">
        <v>599</v>
      </c>
      <c r="FR45" s="39"/>
      <c r="FS45" s="39"/>
      <c r="FT45" s="40"/>
      <c r="FU45" s="39" t="s">
        <v>317</v>
      </c>
      <c r="FV45" s="39" t="s">
        <v>600</v>
      </c>
      <c r="FW45" s="39"/>
      <c r="FX45" s="38">
        <v>-1</v>
      </c>
      <c r="FY45" s="38">
        <v>-1</v>
      </c>
      <c r="FZ45" s="38">
        <v>-1</v>
      </c>
      <c r="GA45" s="38">
        <v>-1</v>
      </c>
      <c r="GB45" s="38">
        <v>-1</v>
      </c>
      <c r="GC45" s="38">
        <v>-1</v>
      </c>
      <c r="GD45" s="38">
        <v>-1</v>
      </c>
      <c r="GE45" s="38">
        <v>-1</v>
      </c>
      <c r="GF45" s="38">
        <v>-1</v>
      </c>
      <c r="GG45" s="38">
        <v>-1</v>
      </c>
      <c r="GH45" s="38">
        <v>-1</v>
      </c>
      <c r="GI45" s="38">
        <v>-1</v>
      </c>
      <c r="GJ45" s="38">
        <v>-1</v>
      </c>
      <c r="GK45" s="38">
        <v>-1</v>
      </c>
      <c r="GL45" s="38">
        <v>-1</v>
      </c>
      <c r="GM45" s="38">
        <v>-15</v>
      </c>
      <c r="GN45" s="41"/>
      <c r="GO45" s="41"/>
      <c r="GP45" s="39" t="s">
        <v>319</v>
      </c>
      <c r="GQ45" s="39" t="s">
        <v>320</v>
      </c>
      <c r="GR45" s="39" t="s">
        <v>277</v>
      </c>
      <c r="GS45" s="38">
        <v>15</v>
      </c>
      <c r="GT45" s="38">
        <v>15</v>
      </c>
      <c r="GU45" s="38">
        <v>23</v>
      </c>
      <c r="GV45" s="38">
        <v>5</v>
      </c>
      <c r="GW45" s="42"/>
    </row>
    <row r="46" spans="1:205" s="49" customFormat="1" x14ac:dyDescent="0.25">
      <c r="A46" s="38">
        <v>205</v>
      </c>
      <c r="B46" s="39" t="s">
        <v>347</v>
      </c>
      <c r="C46" s="39">
        <v>57.5</v>
      </c>
      <c r="D46" s="39" t="s">
        <v>353</v>
      </c>
      <c r="E46" s="39" t="s">
        <v>377</v>
      </c>
      <c r="F46" s="39" t="s">
        <v>281</v>
      </c>
      <c r="G46" s="39" t="s">
        <v>281</v>
      </c>
      <c r="H46" s="39" t="s">
        <v>282</v>
      </c>
      <c r="I46" s="39" t="s">
        <v>282</v>
      </c>
      <c r="J46" s="39" t="s">
        <v>282</v>
      </c>
      <c r="K46" s="39" t="s">
        <v>281</v>
      </c>
      <c r="L46" s="39" t="s">
        <v>282</v>
      </c>
      <c r="M46" s="39" t="s">
        <v>282</v>
      </c>
      <c r="N46" s="39" t="s">
        <v>282</v>
      </c>
      <c r="O46" s="38">
        <v>0</v>
      </c>
      <c r="P46" s="39"/>
      <c r="Q46" s="39"/>
      <c r="R46" s="39" t="s">
        <v>423</v>
      </c>
      <c r="S46" s="39"/>
      <c r="T46" s="39"/>
      <c r="U46" s="39"/>
      <c r="V46" s="39"/>
      <c r="W46" s="40" t="s">
        <v>424</v>
      </c>
      <c r="X46" s="39" t="s">
        <v>350</v>
      </c>
      <c r="Y46" s="38">
        <v>1</v>
      </c>
      <c r="Z46" s="39" t="s">
        <v>585</v>
      </c>
      <c r="AA46" s="39"/>
      <c r="AB46" s="39" t="s">
        <v>294</v>
      </c>
      <c r="AC46" s="39" t="s">
        <v>521</v>
      </c>
      <c r="AD46" s="38">
        <v>0</v>
      </c>
      <c r="AE46" s="39"/>
      <c r="AF46" s="39"/>
      <c r="AG46" s="39" t="s">
        <v>305</v>
      </c>
      <c r="AH46" s="98" t="s">
        <v>305</v>
      </c>
      <c r="AI46" s="97">
        <f t="shared" si="0"/>
        <v>1</v>
      </c>
      <c r="AJ46" s="39" t="s">
        <v>302</v>
      </c>
      <c r="AK46" s="38">
        <v>0</v>
      </c>
      <c r="AL46" s="39"/>
      <c r="AM46" s="39"/>
      <c r="AN46" s="38">
        <v>0</v>
      </c>
      <c r="AO46" s="39"/>
      <c r="AP46" s="39"/>
      <c r="AQ46" s="39" t="s">
        <v>299</v>
      </c>
      <c r="AR46" s="38">
        <v>1</v>
      </c>
      <c r="AS46" s="39" t="s">
        <v>405</v>
      </c>
      <c r="AT46" s="39"/>
      <c r="AU46" s="39" t="s">
        <v>303</v>
      </c>
      <c r="AV46" s="39" t="s">
        <v>287</v>
      </c>
      <c r="AW46" s="38">
        <v>0</v>
      </c>
      <c r="AX46" s="39"/>
      <c r="AY46" s="39"/>
      <c r="AZ46" s="39" t="s">
        <v>305</v>
      </c>
      <c r="BA46" s="98" t="s">
        <v>324</v>
      </c>
      <c r="BB46" s="97" t="str">
        <f t="shared" si="1"/>
        <v/>
      </c>
      <c r="BC46" s="39" t="s">
        <v>287</v>
      </c>
      <c r="BD46" s="38">
        <v>0</v>
      </c>
      <c r="BE46" s="39"/>
      <c r="BF46" s="39"/>
      <c r="BG46" s="38">
        <v>0</v>
      </c>
      <c r="BH46" s="39"/>
      <c r="BI46" s="39" t="s">
        <v>299</v>
      </c>
      <c r="BJ46" s="39" t="s">
        <v>294</v>
      </c>
      <c r="BK46" s="39" t="s">
        <v>297</v>
      </c>
      <c r="BL46" s="38">
        <v>0</v>
      </c>
      <c r="BM46" s="39"/>
      <c r="BN46" s="39"/>
      <c r="BO46" s="39" t="s">
        <v>324</v>
      </c>
      <c r="BP46" s="39" t="s">
        <v>297</v>
      </c>
      <c r="BQ46" s="38">
        <v>0</v>
      </c>
      <c r="BR46" s="39"/>
      <c r="BS46" s="39"/>
      <c r="BT46" s="38">
        <v>0</v>
      </c>
      <c r="BU46" s="39"/>
      <c r="BV46" s="39" t="s">
        <v>299</v>
      </c>
      <c r="BW46" s="38">
        <v>1</v>
      </c>
      <c r="BX46" s="39" t="s">
        <v>588</v>
      </c>
      <c r="BY46" s="39" t="s">
        <v>303</v>
      </c>
      <c r="BZ46" s="39" t="s">
        <v>297</v>
      </c>
      <c r="CA46" s="38">
        <v>0</v>
      </c>
      <c r="CB46" s="39"/>
      <c r="CC46" s="39"/>
      <c r="CD46" s="39" t="s">
        <v>305</v>
      </c>
      <c r="CE46" s="97" t="s">
        <v>288</v>
      </c>
      <c r="CF46" s="97" t="str">
        <f t="shared" si="2"/>
        <v/>
      </c>
      <c r="CG46" s="39" t="s">
        <v>297</v>
      </c>
      <c r="CH46" s="38">
        <v>0</v>
      </c>
      <c r="CI46" s="39"/>
      <c r="CJ46" s="39"/>
      <c r="CK46" s="38">
        <v>0</v>
      </c>
      <c r="CL46" s="39"/>
      <c r="CM46" s="39" t="s">
        <v>299</v>
      </c>
      <c r="CN46" s="38">
        <v>1</v>
      </c>
      <c r="CO46" s="39" t="s">
        <v>601</v>
      </c>
      <c r="CP46" s="39"/>
      <c r="CQ46" s="39" t="s">
        <v>294</v>
      </c>
      <c r="CR46" s="39" t="s">
        <v>297</v>
      </c>
      <c r="CS46" s="38">
        <v>0</v>
      </c>
      <c r="CT46" s="39"/>
      <c r="CU46" s="39"/>
      <c r="CV46" s="39" t="s">
        <v>305</v>
      </c>
      <c r="CW46" s="98" t="s">
        <v>305</v>
      </c>
      <c r="CX46" s="97">
        <f t="shared" si="3"/>
        <v>1</v>
      </c>
      <c r="CY46" s="39" t="s">
        <v>297</v>
      </c>
      <c r="CZ46" s="38">
        <v>0</v>
      </c>
      <c r="DA46" s="39"/>
      <c r="DB46" s="39"/>
      <c r="DC46" s="38">
        <v>0</v>
      </c>
      <c r="DD46" s="39"/>
      <c r="DE46" s="39" t="s">
        <v>299</v>
      </c>
      <c r="DF46" s="38">
        <v>1</v>
      </c>
      <c r="DG46" s="39" t="s">
        <v>602</v>
      </c>
      <c r="DH46" s="39"/>
      <c r="DI46" s="39" t="s">
        <v>303</v>
      </c>
      <c r="DJ46" s="39" t="s">
        <v>331</v>
      </c>
      <c r="DK46" s="38">
        <v>0</v>
      </c>
      <c r="DL46" s="39"/>
      <c r="DM46" s="39"/>
      <c r="DN46" s="39" t="s">
        <v>298</v>
      </c>
      <c r="DO46" s="98" t="s">
        <v>298</v>
      </c>
      <c r="DP46" s="97">
        <f t="shared" si="4"/>
        <v>1</v>
      </c>
      <c r="DQ46" s="39" t="s">
        <v>331</v>
      </c>
      <c r="DR46" s="38">
        <v>0</v>
      </c>
      <c r="DS46" s="39"/>
      <c r="DT46" s="39"/>
      <c r="DU46" s="38">
        <v>0</v>
      </c>
      <c r="DV46" s="39"/>
      <c r="DW46" s="39" t="s">
        <v>299</v>
      </c>
      <c r="DX46" s="38">
        <v>1</v>
      </c>
      <c r="DY46" s="39" t="s">
        <v>603</v>
      </c>
      <c r="DZ46" s="39"/>
      <c r="EA46" s="39" t="s">
        <v>303</v>
      </c>
      <c r="EB46" s="39" t="s">
        <v>331</v>
      </c>
      <c r="EC46" s="38">
        <v>0</v>
      </c>
      <c r="ED46" s="39"/>
      <c r="EE46" s="39"/>
      <c r="EF46" s="39" t="s">
        <v>298</v>
      </c>
      <c r="EG46" s="98" t="s">
        <v>298</v>
      </c>
      <c r="EH46" s="97">
        <f t="shared" si="5"/>
        <v>1</v>
      </c>
      <c r="EI46" s="39" t="s">
        <v>331</v>
      </c>
      <c r="EJ46" s="38">
        <v>0</v>
      </c>
      <c r="EK46" s="39"/>
      <c r="EL46" s="39"/>
      <c r="EM46" s="39" t="s">
        <v>604</v>
      </c>
      <c r="EN46" s="39"/>
      <c r="EO46" s="39" t="s">
        <v>299</v>
      </c>
      <c r="EP46" s="38">
        <v>1</v>
      </c>
      <c r="EQ46" s="39" t="s">
        <v>374</v>
      </c>
      <c r="ER46" s="39" t="s">
        <v>303</v>
      </c>
      <c r="ES46" s="39" t="s">
        <v>331</v>
      </c>
      <c r="ET46" s="38">
        <v>0</v>
      </c>
      <c r="EU46" s="39"/>
      <c r="EV46" s="39"/>
      <c r="EW46" s="39" t="s">
        <v>305</v>
      </c>
      <c r="EX46" s="98" t="s">
        <v>288</v>
      </c>
      <c r="EY46" s="97" t="str">
        <f t="shared" si="6"/>
        <v/>
      </c>
      <c r="EZ46" s="38">
        <v>0</v>
      </c>
      <c r="FA46" s="39"/>
      <c r="FB46" s="39"/>
      <c r="FC46" s="39" t="s">
        <v>605</v>
      </c>
      <c r="FD46" s="38">
        <v>0</v>
      </c>
      <c r="FE46" s="39"/>
      <c r="FF46" s="39" t="s">
        <v>299</v>
      </c>
      <c r="FG46" s="38">
        <v>1</v>
      </c>
      <c r="FH46" s="39" t="s">
        <v>606</v>
      </c>
      <c r="FI46" s="39"/>
      <c r="FJ46" s="39"/>
      <c r="FK46" s="39"/>
      <c r="FL46" s="39" t="s">
        <v>453</v>
      </c>
      <c r="FM46" s="39" t="s">
        <v>607</v>
      </c>
      <c r="FN46" s="39"/>
      <c r="FO46" s="39"/>
      <c r="FP46" s="38">
        <v>0</v>
      </c>
      <c r="FQ46" s="39"/>
      <c r="FR46" s="39"/>
      <c r="FS46" s="39"/>
      <c r="FT46" s="40"/>
      <c r="FU46" s="39" t="s">
        <v>317</v>
      </c>
      <c r="FV46" s="39" t="s">
        <v>608</v>
      </c>
      <c r="FW46" s="39"/>
      <c r="FX46" s="38">
        <v>-1</v>
      </c>
      <c r="FY46" s="38">
        <v>-1</v>
      </c>
      <c r="FZ46" s="38">
        <v>-1</v>
      </c>
      <c r="GA46" s="38">
        <v>-1</v>
      </c>
      <c r="GB46" s="38">
        <v>-1</v>
      </c>
      <c r="GC46" s="38">
        <v>-1</v>
      </c>
      <c r="GD46" s="38">
        <v>-1</v>
      </c>
      <c r="GE46" s="38">
        <v>-1</v>
      </c>
      <c r="GF46" s="38">
        <v>-1</v>
      </c>
      <c r="GG46" s="38">
        <v>-1</v>
      </c>
      <c r="GH46" s="38">
        <v>-1</v>
      </c>
      <c r="GI46" s="38">
        <v>-1</v>
      </c>
      <c r="GJ46" s="38">
        <v>-1</v>
      </c>
      <c r="GK46" s="38">
        <v>-1</v>
      </c>
      <c r="GL46" s="38">
        <v>-1</v>
      </c>
      <c r="GM46" s="38">
        <v>-15</v>
      </c>
      <c r="GN46" s="41"/>
      <c r="GO46" s="41"/>
      <c r="GP46" s="39" t="s">
        <v>319</v>
      </c>
      <c r="GQ46" s="39" t="s">
        <v>320</v>
      </c>
      <c r="GR46" s="39" t="s">
        <v>277</v>
      </c>
      <c r="GS46" s="38">
        <v>15</v>
      </c>
      <c r="GT46" s="38">
        <v>15</v>
      </c>
      <c r="GU46" s="38">
        <v>33</v>
      </c>
      <c r="GV46" s="38">
        <v>7</v>
      </c>
      <c r="GW46" s="42"/>
    </row>
    <row r="47" spans="1:205" s="62" customFormat="1" ht="13.8" thickBot="1" x14ac:dyDescent="0.3">
      <c r="A47" s="43">
        <v>209</v>
      </c>
      <c r="B47" s="44" t="s">
        <v>347</v>
      </c>
      <c r="C47" s="44">
        <v>57.5</v>
      </c>
      <c r="D47" s="44" t="s">
        <v>353</v>
      </c>
      <c r="E47" s="44" t="s">
        <v>377</v>
      </c>
      <c r="F47" s="44" t="s">
        <v>281</v>
      </c>
      <c r="G47" s="44" t="s">
        <v>282</v>
      </c>
      <c r="H47" s="44" t="s">
        <v>281</v>
      </c>
      <c r="I47" s="44" t="s">
        <v>282</v>
      </c>
      <c r="J47" s="44" t="s">
        <v>282</v>
      </c>
      <c r="K47" s="44" t="s">
        <v>281</v>
      </c>
      <c r="L47" s="44" t="s">
        <v>282</v>
      </c>
      <c r="M47" s="44" t="s">
        <v>282</v>
      </c>
      <c r="N47" s="44" t="s">
        <v>282</v>
      </c>
      <c r="O47" s="43">
        <v>0</v>
      </c>
      <c r="P47" s="44"/>
      <c r="Q47" s="44"/>
      <c r="R47" s="44" t="s">
        <v>423</v>
      </c>
      <c r="S47" s="44"/>
      <c r="T47" s="44"/>
      <c r="U47" s="44"/>
      <c r="V47" s="44"/>
      <c r="W47" s="45" t="s">
        <v>464</v>
      </c>
      <c r="X47" s="44" t="s">
        <v>350</v>
      </c>
      <c r="Y47" s="43">
        <v>1</v>
      </c>
      <c r="Z47" s="44" t="s">
        <v>585</v>
      </c>
      <c r="AA47" s="44"/>
      <c r="AB47" s="44" t="s">
        <v>301</v>
      </c>
      <c r="AC47" s="44" t="s">
        <v>297</v>
      </c>
      <c r="AD47" s="43">
        <v>0</v>
      </c>
      <c r="AE47" s="44"/>
      <c r="AF47" s="44"/>
      <c r="AG47" s="44" t="s">
        <v>305</v>
      </c>
      <c r="AH47" s="98" t="s">
        <v>305</v>
      </c>
      <c r="AI47" s="97">
        <f t="shared" si="0"/>
        <v>1</v>
      </c>
      <c r="AJ47" s="44" t="s">
        <v>297</v>
      </c>
      <c r="AK47" s="43">
        <v>0</v>
      </c>
      <c r="AL47" s="44"/>
      <c r="AM47" s="44"/>
      <c r="AN47" s="43">
        <v>1</v>
      </c>
      <c r="AO47" s="44" t="s">
        <v>628</v>
      </c>
      <c r="AP47" s="44"/>
      <c r="AQ47" s="44" t="s">
        <v>299</v>
      </c>
      <c r="AR47" s="43">
        <v>1</v>
      </c>
      <c r="AS47" s="44" t="s">
        <v>405</v>
      </c>
      <c r="AT47" s="44"/>
      <c r="AU47" s="44" t="s">
        <v>303</v>
      </c>
      <c r="AV47" s="44" t="s">
        <v>287</v>
      </c>
      <c r="AW47" s="43">
        <v>0</v>
      </c>
      <c r="AX47" s="44"/>
      <c r="AY47" s="44"/>
      <c r="AZ47" s="44" t="s">
        <v>288</v>
      </c>
      <c r="BA47" s="98" t="s">
        <v>324</v>
      </c>
      <c r="BB47" s="97" t="str">
        <f t="shared" si="1"/>
        <v/>
      </c>
      <c r="BC47" s="44" t="s">
        <v>287</v>
      </c>
      <c r="BD47" s="43">
        <v>0</v>
      </c>
      <c r="BE47" s="44"/>
      <c r="BF47" s="44"/>
      <c r="BG47" s="43">
        <v>0</v>
      </c>
      <c r="BH47" s="44"/>
      <c r="BI47" s="44" t="s">
        <v>328</v>
      </c>
      <c r="BJ47" s="44" t="s">
        <v>294</v>
      </c>
      <c r="BK47" s="44" t="s">
        <v>297</v>
      </c>
      <c r="BL47" s="43">
        <v>0</v>
      </c>
      <c r="BM47" s="44"/>
      <c r="BN47" s="44"/>
      <c r="BO47" s="44" t="s">
        <v>288</v>
      </c>
      <c r="BP47" s="44" t="s">
        <v>297</v>
      </c>
      <c r="BQ47" s="43">
        <v>0</v>
      </c>
      <c r="BR47" s="44"/>
      <c r="BS47" s="44"/>
      <c r="BT47" s="43">
        <v>0</v>
      </c>
      <c r="BU47" s="44"/>
      <c r="BV47" s="44" t="s">
        <v>328</v>
      </c>
      <c r="BW47" s="43">
        <v>1</v>
      </c>
      <c r="BX47" s="44" t="s">
        <v>629</v>
      </c>
      <c r="BY47" s="44" t="s">
        <v>294</v>
      </c>
      <c r="BZ47" s="44" t="s">
        <v>297</v>
      </c>
      <c r="CA47" s="43">
        <v>0</v>
      </c>
      <c r="CB47" s="44"/>
      <c r="CC47" s="44"/>
      <c r="CD47" s="44" t="s">
        <v>298</v>
      </c>
      <c r="CE47" s="97" t="s">
        <v>298</v>
      </c>
      <c r="CF47" s="97">
        <f t="shared" si="2"/>
        <v>1</v>
      </c>
      <c r="CG47" s="44" t="s">
        <v>297</v>
      </c>
      <c r="CH47" s="43">
        <v>0</v>
      </c>
      <c r="CI47" s="44"/>
      <c r="CJ47" s="44"/>
      <c r="CK47" s="43">
        <v>0</v>
      </c>
      <c r="CL47" s="44"/>
      <c r="CM47" s="44" t="s">
        <v>328</v>
      </c>
      <c r="CN47" s="43">
        <v>1</v>
      </c>
      <c r="CO47" s="44" t="s">
        <v>630</v>
      </c>
      <c r="CP47" s="44"/>
      <c r="CQ47" s="44" t="s">
        <v>294</v>
      </c>
      <c r="CR47" s="44" t="s">
        <v>297</v>
      </c>
      <c r="CS47" s="43">
        <v>0</v>
      </c>
      <c r="CT47" s="44"/>
      <c r="CU47" s="44"/>
      <c r="CV47" s="44" t="s">
        <v>305</v>
      </c>
      <c r="CW47" s="98" t="s">
        <v>837</v>
      </c>
      <c r="CX47" s="97" t="str">
        <f t="shared" si="3"/>
        <v/>
      </c>
      <c r="CY47" s="44" t="s">
        <v>297</v>
      </c>
      <c r="CZ47" s="43">
        <v>0</v>
      </c>
      <c r="DA47" s="44"/>
      <c r="DB47" s="44"/>
      <c r="DC47" s="43">
        <v>0</v>
      </c>
      <c r="DD47" s="44"/>
      <c r="DE47" s="44" t="s">
        <v>328</v>
      </c>
      <c r="DF47" s="43">
        <v>1</v>
      </c>
      <c r="DG47" s="44" t="s">
        <v>631</v>
      </c>
      <c r="DH47" s="44"/>
      <c r="DI47" s="44" t="s">
        <v>294</v>
      </c>
      <c r="DJ47" s="44" t="s">
        <v>302</v>
      </c>
      <c r="DK47" s="43">
        <v>0</v>
      </c>
      <c r="DL47" s="44"/>
      <c r="DM47" s="44"/>
      <c r="DN47" s="44" t="s">
        <v>298</v>
      </c>
      <c r="DO47" s="98" t="s">
        <v>298</v>
      </c>
      <c r="DP47" s="97">
        <f t="shared" si="4"/>
        <v>1</v>
      </c>
      <c r="DQ47" s="44" t="s">
        <v>302</v>
      </c>
      <c r="DR47" s="43">
        <v>0</v>
      </c>
      <c r="DS47" s="44"/>
      <c r="DT47" s="44"/>
      <c r="DU47" s="43">
        <v>0</v>
      </c>
      <c r="DV47" s="44"/>
      <c r="DW47" s="44" t="s">
        <v>328</v>
      </c>
      <c r="DX47" s="43">
        <v>1</v>
      </c>
      <c r="DY47" s="44" t="s">
        <v>632</v>
      </c>
      <c r="DZ47" s="44"/>
      <c r="EA47" s="44" t="s">
        <v>303</v>
      </c>
      <c r="EB47" s="44" t="s">
        <v>331</v>
      </c>
      <c r="EC47" s="43">
        <v>0</v>
      </c>
      <c r="ED47" s="44"/>
      <c r="EE47" s="44"/>
      <c r="EF47" s="44" t="s">
        <v>298</v>
      </c>
      <c r="EG47" s="98" t="s">
        <v>298</v>
      </c>
      <c r="EH47" s="97">
        <f t="shared" si="5"/>
        <v>1</v>
      </c>
      <c r="EI47" s="44" t="s">
        <v>331</v>
      </c>
      <c r="EJ47" s="43">
        <v>0</v>
      </c>
      <c r="EK47" s="44"/>
      <c r="EL47" s="44"/>
      <c r="EM47" s="44" t="s">
        <v>633</v>
      </c>
      <c r="EN47" s="44"/>
      <c r="EO47" s="44" t="s">
        <v>299</v>
      </c>
      <c r="EP47" s="43">
        <v>1</v>
      </c>
      <c r="EQ47" s="44" t="s">
        <v>374</v>
      </c>
      <c r="ER47" s="44" t="s">
        <v>294</v>
      </c>
      <c r="ES47" s="44" t="s">
        <v>297</v>
      </c>
      <c r="ET47" s="43">
        <v>0</v>
      </c>
      <c r="EU47" s="44"/>
      <c r="EV47" s="44"/>
      <c r="EW47" s="44" t="s">
        <v>298</v>
      </c>
      <c r="EX47" s="98" t="s">
        <v>298</v>
      </c>
      <c r="EY47" s="97">
        <f t="shared" si="6"/>
        <v>1</v>
      </c>
      <c r="EZ47" s="43">
        <v>0</v>
      </c>
      <c r="FA47" s="44"/>
      <c r="FB47" s="44"/>
      <c r="FC47" s="44" t="s">
        <v>460</v>
      </c>
      <c r="FD47" s="43">
        <v>0</v>
      </c>
      <c r="FE47" s="44"/>
      <c r="FF47" s="44"/>
      <c r="FG47" s="43">
        <v>1</v>
      </c>
      <c r="FH47" s="44" t="s">
        <v>404</v>
      </c>
      <c r="FI47" s="44"/>
      <c r="FJ47" s="44"/>
      <c r="FK47" s="44"/>
      <c r="FL47" s="44"/>
      <c r="FM47" s="44"/>
      <c r="FN47" s="44"/>
      <c r="FO47" s="44"/>
      <c r="FP47" s="43">
        <v>0</v>
      </c>
      <c r="FQ47" s="44"/>
      <c r="FR47" s="44"/>
      <c r="FS47" s="44"/>
      <c r="FT47" s="45"/>
      <c r="FU47" s="44" t="s">
        <v>335</v>
      </c>
      <c r="FV47" s="44" t="s">
        <v>634</v>
      </c>
      <c r="FW47" s="44"/>
      <c r="FX47" s="43">
        <v>-1</v>
      </c>
      <c r="FY47" s="43">
        <v>-1</v>
      </c>
      <c r="FZ47" s="43">
        <v>-1</v>
      </c>
      <c r="GA47" s="43">
        <v>-1</v>
      </c>
      <c r="GB47" s="43">
        <v>-1</v>
      </c>
      <c r="GC47" s="43">
        <v>-1</v>
      </c>
      <c r="GD47" s="43">
        <v>-1</v>
      </c>
      <c r="GE47" s="43">
        <v>-1</v>
      </c>
      <c r="GF47" s="43">
        <v>-1</v>
      </c>
      <c r="GG47" s="43">
        <v>-1</v>
      </c>
      <c r="GH47" s="43">
        <v>-1</v>
      </c>
      <c r="GI47" s="43">
        <v>-1</v>
      </c>
      <c r="GJ47" s="43">
        <v>-1</v>
      </c>
      <c r="GK47" s="43">
        <v>-1</v>
      </c>
      <c r="GL47" s="43">
        <v>-1</v>
      </c>
      <c r="GM47" s="43">
        <v>-15</v>
      </c>
      <c r="GN47" s="46"/>
      <c r="GO47" s="46"/>
      <c r="GP47" s="44" t="s">
        <v>319</v>
      </c>
      <c r="GQ47" s="44" t="s">
        <v>320</v>
      </c>
      <c r="GR47" s="44" t="s">
        <v>277</v>
      </c>
      <c r="GS47" s="43">
        <v>15</v>
      </c>
      <c r="GT47" s="43">
        <v>15</v>
      </c>
      <c r="GU47" s="43">
        <v>35</v>
      </c>
      <c r="GV47" s="43">
        <v>9</v>
      </c>
      <c r="GW47" s="47"/>
    </row>
    <row r="48" spans="1:205" s="50" customFormat="1" x14ac:dyDescent="0.25">
      <c r="A48" s="32">
        <v>216</v>
      </c>
      <c r="B48" s="11" t="s">
        <v>376</v>
      </c>
      <c r="C48" s="11">
        <v>72.5</v>
      </c>
      <c r="D48" s="11" t="s">
        <v>279</v>
      </c>
      <c r="E48" s="11" t="s">
        <v>320</v>
      </c>
      <c r="F48" s="11" t="s">
        <v>282</v>
      </c>
      <c r="G48" s="11" t="s">
        <v>282</v>
      </c>
      <c r="H48" s="11" t="s">
        <v>282</v>
      </c>
      <c r="I48" s="11" t="s">
        <v>282</v>
      </c>
      <c r="J48" s="11" t="s">
        <v>282</v>
      </c>
      <c r="K48" s="11" t="s">
        <v>281</v>
      </c>
      <c r="L48" s="11" t="s">
        <v>282</v>
      </c>
      <c r="M48" s="11" t="s">
        <v>282</v>
      </c>
      <c r="N48" s="11" t="s">
        <v>282</v>
      </c>
      <c r="O48" s="32">
        <v>0</v>
      </c>
      <c r="P48" s="11"/>
      <c r="Q48" s="11"/>
      <c r="R48" s="11" t="s">
        <v>423</v>
      </c>
      <c r="S48" s="11"/>
      <c r="T48" s="11"/>
      <c r="U48" s="11"/>
      <c r="V48" s="11" t="s">
        <v>348</v>
      </c>
      <c r="W48" s="10" t="s">
        <v>652</v>
      </c>
      <c r="X48" s="11" t="s">
        <v>437</v>
      </c>
      <c r="Y48" s="32">
        <v>0</v>
      </c>
      <c r="Z48" s="11"/>
      <c r="AA48" s="11"/>
      <c r="AB48" s="11"/>
      <c r="AC48" s="11"/>
      <c r="AD48" s="32">
        <v>0</v>
      </c>
      <c r="AE48" s="11"/>
      <c r="AF48" s="11"/>
      <c r="AG48" s="11"/>
      <c r="AH48" s="98"/>
      <c r="AI48" s="97"/>
      <c r="AJ48" s="11"/>
      <c r="AK48" s="32">
        <v>0</v>
      </c>
      <c r="AL48" s="11"/>
      <c r="AM48" s="11"/>
      <c r="AN48" s="32">
        <v>0</v>
      </c>
      <c r="AO48" s="11"/>
      <c r="AP48" s="11"/>
      <c r="AQ48" s="11"/>
      <c r="AR48" s="32">
        <v>0</v>
      </c>
      <c r="AS48" s="11"/>
      <c r="AT48" s="11"/>
      <c r="AU48" s="11"/>
      <c r="AV48" s="11"/>
      <c r="AW48" s="32">
        <v>0</v>
      </c>
      <c r="AX48" s="11"/>
      <c r="AY48" s="11"/>
      <c r="AZ48" s="11"/>
      <c r="BA48" s="98"/>
      <c r="BB48" s="97"/>
      <c r="BC48" s="11"/>
      <c r="BD48" s="32">
        <v>0</v>
      </c>
      <c r="BE48" s="11"/>
      <c r="BF48" s="11"/>
      <c r="BG48" s="32">
        <v>0</v>
      </c>
      <c r="BH48" s="11"/>
      <c r="BI48" s="11"/>
      <c r="BJ48" s="11" t="s">
        <v>294</v>
      </c>
      <c r="BK48" s="11" t="s">
        <v>297</v>
      </c>
      <c r="BL48" s="32">
        <v>0</v>
      </c>
      <c r="BM48" s="11"/>
      <c r="BN48" s="11"/>
      <c r="BO48" s="11" t="s">
        <v>324</v>
      </c>
      <c r="BP48" s="11" t="s">
        <v>297</v>
      </c>
      <c r="BQ48" s="32">
        <v>0</v>
      </c>
      <c r="BR48" s="11"/>
      <c r="BS48" s="11"/>
      <c r="BT48" s="32">
        <v>1</v>
      </c>
      <c r="BU48" s="11" t="s">
        <v>653</v>
      </c>
      <c r="BV48" s="11" t="s">
        <v>299</v>
      </c>
      <c r="BW48" s="32">
        <v>1</v>
      </c>
      <c r="BX48" s="11" t="s">
        <v>654</v>
      </c>
      <c r="BY48" s="11" t="s">
        <v>294</v>
      </c>
      <c r="BZ48" s="11" t="s">
        <v>297</v>
      </c>
      <c r="CA48" s="32">
        <v>0</v>
      </c>
      <c r="CB48" s="11"/>
      <c r="CC48" s="11"/>
      <c r="CD48" s="11" t="s">
        <v>324</v>
      </c>
      <c r="CE48" s="97" t="s">
        <v>842</v>
      </c>
      <c r="CF48" s="97">
        <v>1</v>
      </c>
      <c r="CG48" s="11" t="s">
        <v>287</v>
      </c>
      <c r="CH48" s="32">
        <v>0</v>
      </c>
      <c r="CI48" s="11"/>
      <c r="CJ48" s="11"/>
      <c r="CK48" s="32">
        <v>0</v>
      </c>
      <c r="CL48" s="11"/>
      <c r="CM48" s="11" t="s">
        <v>296</v>
      </c>
      <c r="CN48" s="32">
        <v>1</v>
      </c>
      <c r="CO48" s="11" t="s">
        <v>359</v>
      </c>
      <c r="CP48" s="11"/>
      <c r="CQ48" s="11" t="s">
        <v>303</v>
      </c>
      <c r="CR48" s="11" t="s">
        <v>297</v>
      </c>
      <c r="CS48" s="32">
        <v>0</v>
      </c>
      <c r="CT48" s="11"/>
      <c r="CU48" s="11"/>
      <c r="CV48" s="11" t="s">
        <v>305</v>
      </c>
      <c r="CW48" s="98" t="s">
        <v>305</v>
      </c>
      <c r="CX48" s="97">
        <f>IF(CW48=CV48,1,"")</f>
        <v>1</v>
      </c>
      <c r="CY48" s="11" t="s">
        <v>297</v>
      </c>
      <c r="CZ48" s="32">
        <v>0</v>
      </c>
      <c r="DA48" s="11"/>
      <c r="DB48" s="11"/>
      <c r="DC48" s="32">
        <v>0</v>
      </c>
      <c r="DD48" s="11"/>
      <c r="DE48" s="11" t="s">
        <v>299</v>
      </c>
      <c r="DF48" s="32">
        <v>1</v>
      </c>
      <c r="DG48" s="11" t="s">
        <v>655</v>
      </c>
      <c r="DH48" s="11"/>
      <c r="DI48" s="11" t="s">
        <v>303</v>
      </c>
      <c r="DJ48" s="11" t="s">
        <v>297</v>
      </c>
      <c r="DK48" s="32">
        <v>0</v>
      </c>
      <c r="DL48" s="11"/>
      <c r="DM48" s="11"/>
      <c r="DN48" s="11" t="s">
        <v>298</v>
      </c>
      <c r="DO48" s="98" t="s">
        <v>298</v>
      </c>
      <c r="DP48" s="97">
        <f>IF(DO48=DN48,1,"")</f>
        <v>1</v>
      </c>
      <c r="DQ48" s="11" t="s">
        <v>297</v>
      </c>
      <c r="DR48" s="32">
        <v>0</v>
      </c>
      <c r="DS48" s="11"/>
      <c r="DT48" s="11"/>
      <c r="DU48" s="32">
        <v>0</v>
      </c>
      <c r="DV48" s="11"/>
      <c r="DW48" s="11" t="s">
        <v>296</v>
      </c>
      <c r="DX48" s="32">
        <v>1</v>
      </c>
      <c r="DY48" s="11" t="s">
        <v>603</v>
      </c>
      <c r="DZ48" s="11"/>
      <c r="EA48" s="11" t="s">
        <v>303</v>
      </c>
      <c r="EB48" s="11" t="s">
        <v>331</v>
      </c>
      <c r="EC48" s="32">
        <v>0</v>
      </c>
      <c r="ED48" s="11"/>
      <c r="EE48" s="11"/>
      <c r="EF48" s="11" t="s">
        <v>298</v>
      </c>
      <c r="EG48" s="98" t="s">
        <v>298</v>
      </c>
      <c r="EH48" s="97">
        <f>IF(EG48=EF48,1,"")</f>
        <v>1</v>
      </c>
      <c r="EI48" s="11" t="s">
        <v>331</v>
      </c>
      <c r="EJ48" s="32">
        <v>0</v>
      </c>
      <c r="EK48" s="11"/>
      <c r="EL48" s="11"/>
      <c r="EM48" s="11" t="s">
        <v>656</v>
      </c>
      <c r="EN48" s="11"/>
      <c r="EO48" s="11" t="s">
        <v>296</v>
      </c>
      <c r="EP48" s="32">
        <v>1</v>
      </c>
      <c r="EQ48" s="11" t="s">
        <v>374</v>
      </c>
      <c r="ER48" s="11" t="s">
        <v>303</v>
      </c>
      <c r="ES48" s="11" t="s">
        <v>331</v>
      </c>
      <c r="ET48" s="32">
        <v>0</v>
      </c>
      <c r="EU48" s="11"/>
      <c r="EV48" s="11"/>
      <c r="EW48" s="11" t="s">
        <v>305</v>
      </c>
      <c r="EX48" s="98" t="s">
        <v>288</v>
      </c>
      <c r="EY48" s="97" t="str">
        <f>IF(EX48=EW48,1,"")</f>
        <v/>
      </c>
      <c r="EZ48" s="32">
        <v>0</v>
      </c>
      <c r="FA48" s="11"/>
      <c r="FB48" s="11"/>
      <c r="FC48" s="11"/>
      <c r="FD48" s="32">
        <v>0</v>
      </c>
      <c r="FE48" s="11"/>
      <c r="FF48" s="11" t="s">
        <v>299</v>
      </c>
      <c r="FG48" s="32">
        <v>0</v>
      </c>
      <c r="FH48" s="11"/>
      <c r="FI48" s="11"/>
      <c r="FJ48" s="11"/>
      <c r="FK48" s="11"/>
      <c r="FL48" s="11" t="s">
        <v>370</v>
      </c>
      <c r="FM48" s="11" t="s">
        <v>657</v>
      </c>
      <c r="FN48" s="11"/>
      <c r="FO48" s="11"/>
      <c r="FP48" s="32">
        <v>0</v>
      </c>
      <c r="FQ48" s="11"/>
      <c r="FR48" s="11"/>
      <c r="FS48" s="11"/>
      <c r="FT48" s="10"/>
      <c r="FU48" s="11" t="s">
        <v>351</v>
      </c>
      <c r="FV48" s="11" t="s">
        <v>658</v>
      </c>
      <c r="FW48" s="11"/>
      <c r="FX48" s="32">
        <v>-1</v>
      </c>
      <c r="FY48" s="32">
        <v>-1</v>
      </c>
      <c r="FZ48" s="32">
        <v>-1</v>
      </c>
      <c r="GA48" s="32">
        <v>-1</v>
      </c>
      <c r="GB48" s="32">
        <v>-1</v>
      </c>
      <c r="GC48" s="32">
        <v>-1</v>
      </c>
      <c r="GD48" s="32">
        <v>-1</v>
      </c>
      <c r="GE48" s="32">
        <v>-1</v>
      </c>
      <c r="GF48" s="32">
        <v>-1</v>
      </c>
      <c r="GG48" s="32">
        <v>-1</v>
      </c>
      <c r="GH48" s="32">
        <v>-1</v>
      </c>
      <c r="GI48" s="32">
        <v>-1</v>
      </c>
      <c r="GJ48" s="32">
        <v>-1</v>
      </c>
      <c r="GK48" s="32">
        <v>-1</v>
      </c>
      <c r="GL48" s="32">
        <v>-1</v>
      </c>
      <c r="GM48" s="32">
        <v>-15</v>
      </c>
      <c r="GN48" s="33"/>
      <c r="GO48" s="33"/>
      <c r="GP48" s="11" t="s">
        <v>319</v>
      </c>
      <c r="GQ48" s="11" t="s">
        <v>320</v>
      </c>
      <c r="GR48" s="11" t="s">
        <v>277</v>
      </c>
      <c r="GS48" s="32">
        <v>15</v>
      </c>
      <c r="GT48" s="32">
        <v>15</v>
      </c>
      <c r="GU48" s="32">
        <v>48</v>
      </c>
      <c r="GV48" s="32">
        <v>27</v>
      </c>
      <c r="GW48" s="34"/>
    </row>
    <row r="49" spans="1:205" x14ac:dyDescent="0.25">
      <c r="A49" s="32">
        <v>217</v>
      </c>
      <c r="B49" s="11" t="s">
        <v>376</v>
      </c>
      <c r="C49" s="11">
        <v>72.5</v>
      </c>
      <c r="D49" s="11" t="s">
        <v>353</v>
      </c>
      <c r="E49" s="11" t="s">
        <v>320</v>
      </c>
      <c r="F49" s="11" t="s">
        <v>282</v>
      </c>
      <c r="G49" s="11" t="s">
        <v>282</v>
      </c>
      <c r="H49" s="11" t="s">
        <v>282</v>
      </c>
      <c r="I49" s="11" t="s">
        <v>282</v>
      </c>
      <c r="J49" s="11" t="s">
        <v>282</v>
      </c>
      <c r="K49" s="11" t="s">
        <v>281</v>
      </c>
      <c r="L49" s="11" t="s">
        <v>282</v>
      </c>
      <c r="M49" s="11" t="s">
        <v>282</v>
      </c>
      <c r="N49" s="11" t="s">
        <v>282</v>
      </c>
      <c r="O49" s="32">
        <v>0</v>
      </c>
      <c r="P49" s="11"/>
      <c r="Q49" s="11"/>
      <c r="R49" s="11" t="s">
        <v>423</v>
      </c>
      <c r="S49" s="11"/>
      <c r="T49" s="11"/>
      <c r="U49" s="11"/>
      <c r="V49" s="11"/>
      <c r="W49" s="10" t="s">
        <v>652</v>
      </c>
      <c r="X49" s="11" t="s">
        <v>437</v>
      </c>
      <c r="Y49" s="32">
        <v>1</v>
      </c>
      <c r="Z49" s="11" t="s">
        <v>374</v>
      </c>
      <c r="AA49" s="11"/>
      <c r="AB49" s="11" t="s">
        <v>294</v>
      </c>
      <c r="AC49" s="11" t="s">
        <v>302</v>
      </c>
      <c r="AD49" s="32">
        <v>0</v>
      </c>
      <c r="AE49" s="11"/>
      <c r="AF49" s="11"/>
      <c r="AG49" s="11" t="s">
        <v>305</v>
      </c>
      <c r="AH49" s="98" t="s">
        <v>305</v>
      </c>
      <c r="AI49" s="97">
        <f>IF(AH49=AG49,1,"")</f>
        <v>1</v>
      </c>
      <c r="AJ49" s="11" t="s">
        <v>302</v>
      </c>
      <c r="AK49" s="32">
        <v>0</v>
      </c>
      <c r="AL49" s="11"/>
      <c r="AM49" s="11"/>
      <c r="AN49" s="32">
        <v>0</v>
      </c>
      <c r="AO49" s="11"/>
      <c r="AP49" s="11"/>
      <c r="AQ49" s="11" t="s">
        <v>299</v>
      </c>
      <c r="AR49" s="32">
        <v>0</v>
      </c>
      <c r="AS49" s="11"/>
      <c r="AT49" s="11"/>
      <c r="AU49" s="11" t="s">
        <v>301</v>
      </c>
      <c r="AV49" s="11" t="s">
        <v>297</v>
      </c>
      <c r="AW49" s="32">
        <v>0</v>
      </c>
      <c r="AX49" s="11"/>
      <c r="AY49" s="11"/>
      <c r="AZ49" s="11" t="s">
        <v>288</v>
      </c>
      <c r="BA49" s="98"/>
      <c r="BB49" s="97" t="str">
        <f>IF(BA49=AZ49,1,"")</f>
        <v/>
      </c>
      <c r="BC49" s="11" t="s">
        <v>302</v>
      </c>
      <c r="BD49" s="32">
        <v>0</v>
      </c>
      <c r="BE49" s="11"/>
      <c r="BF49" s="11"/>
      <c r="BG49" s="32">
        <v>0</v>
      </c>
      <c r="BH49" s="11"/>
      <c r="BI49" s="11" t="s">
        <v>299</v>
      </c>
      <c r="BJ49" s="11" t="s">
        <v>294</v>
      </c>
      <c r="BK49" s="11" t="s">
        <v>297</v>
      </c>
      <c r="BL49" s="32">
        <v>0</v>
      </c>
      <c r="BM49" s="11"/>
      <c r="BN49" s="11"/>
      <c r="BO49" s="11" t="s">
        <v>324</v>
      </c>
      <c r="BP49" s="11" t="s">
        <v>339</v>
      </c>
      <c r="BQ49" s="32">
        <v>0</v>
      </c>
      <c r="BR49" s="11"/>
      <c r="BS49" s="11"/>
      <c r="BT49" s="32">
        <v>1</v>
      </c>
      <c r="BU49" s="11" t="s">
        <v>653</v>
      </c>
      <c r="BV49" s="11" t="s">
        <v>299</v>
      </c>
      <c r="BW49" s="32">
        <v>1</v>
      </c>
      <c r="BX49" s="11" t="s">
        <v>659</v>
      </c>
      <c r="BY49" s="11" t="s">
        <v>294</v>
      </c>
      <c r="BZ49" s="11" t="s">
        <v>297</v>
      </c>
      <c r="CA49" s="32">
        <v>0</v>
      </c>
      <c r="CB49" s="11"/>
      <c r="CC49" s="11"/>
      <c r="CD49" s="11" t="s">
        <v>288</v>
      </c>
      <c r="CE49" s="97" t="s">
        <v>288</v>
      </c>
      <c r="CF49" s="97">
        <f>IF(CE49=CD49,1,"")</f>
        <v>1</v>
      </c>
      <c r="CG49" s="11" t="s">
        <v>287</v>
      </c>
      <c r="CH49" s="32">
        <v>0</v>
      </c>
      <c r="CI49" s="11"/>
      <c r="CJ49" s="11"/>
      <c r="CK49" s="32">
        <v>0</v>
      </c>
      <c r="CL49" s="11"/>
      <c r="CM49" s="11" t="s">
        <v>296</v>
      </c>
      <c r="CN49" s="32">
        <v>1</v>
      </c>
      <c r="CO49" s="11" t="s">
        <v>359</v>
      </c>
      <c r="CP49" s="11"/>
      <c r="CQ49" s="11" t="s">
        <v>303</v>
      </c>
      <c r="CR49" s="11" t="s">
        <v>297</v>
      </c>
      <c r="CS49" s="32">
        <v>0</v>
      </c>
      <c r="CT49" s="11"/>
      <c r="CU49" s="11"/>
      <c r="CV49" s="11" t="s">
        <v>305</v>
      </c>
      <c r="CW49" s="98" t="s">
        <v>305</v>
      </c>
      <c r="CX49" s="97">
        <f>IF(CW49=CV49,1,"")</f>
        <v>1</v>
      </c>
      <c r="CY49" s="11" t="s">
        <v>287</v>
      </c>
      <c r="CZ49" s="32">
        <v>0</v>
      </c>
      <c r="DA49" s="11"/>
      <c r="DB49" s="11"/>
      <c r="DC49" s="32">
        <v>0</v>
      </c>
      <c r="DD49" s="11"/>
      <c r="DE49" s="11" t="s">
        <v>299</v>
      </c>
      <c r="DF49" s="32">
        <v>1</v>
      </c>
      <c r="DG49" s="11" t="s">
        <v>660</v>
      </c>
      <c r="DH49" s="11"/>
      <c r="DI49" s="11" t="s">
        <v>310</v>
      </c>
      <c r="DJ49" s="11" t="s">
        <v>297</v>
      </c>
      <c r="DK49" s="32">
        <v>0</v>
      </c>
      <c r="DL49" s="11"/>
      <c r="DM49" s="11"/>
      <c r="DN49" s="11" t="s">
        <v>324</v>
      </c>
      <c r="DO49" s="98" t="s">
        <v>324</v>
      </c>
      <c r="DP49" s="97">
        <f>IF(DO49=DN49,1,"")</f>
        <v>1</v>
      </c>
      <c r="DQ49" s="11" t="s">
        <v>287</v>
      </c>
      <c r="DR49" s="32">
        <v>0</v>
      </c>
      <c r="DS49" s="11"/>
      <c r="DT49" s="11"/>
      <c r="DU49" s="32">
        <v>0</v>
      </c>
      <c r="DV49" s="11"/>
      <c r="DW49" s="11" t="s">
        <v>296</v>
      </c>
      <c r="DX49" s="32">
        <v>1</v>
      </c>
      <c r="DY49" s="11" t="s">
        <v>603</v>
      </c>
      <c r="DZ49" s="11"/>
      <c r="EA49" s="11" t="s">
        <v>303</v>
      </c>
      <c r="EB49" s="11" t="s">
        <v>331</v>
      </c>
      <c r="EC49" s="32">
        <v>0</v>
      </c>
      <c r="ED49" s="11"/>
      <c r="EE49" s="11"/>
      <c r="EF49" s="11" t="s">
        <v>298</v>
      </c>
      <c r="EG49" s="98" t="s">
        <v>298</v>
      </c>
      <c r="EH49" s="97">
        <f>IF(EG49=EF49,1,"")</f>
        <v>1</v>
      </c>
      <c r="EI49" s="11" t="s">
        <v>331</v>
      </c>
      <c r="EJ49" s="32">
        <v>0</v>
      </c>
      <c r="EK49" s="11"/>
      <c r="EL49" s="11"/>
      <c r="EM49" s="11" t="s">
        <v>656</v>
      </c>
      <c r="EN49" s="11"/>
      <c r="EO49" s="11" t="s">
        <v>296</v>
      </c>
      <c r="EP49" s="32">
        <v>1</v>
      </c>
      <c r="EQ49" s="11" t="s">
        <v>374</v>
      </c>
      <c r="ER49" s="11" t="s">
        <v>303</v>
      </c>
      <c r="ES49" s="11" t="s">
        <v>331</v>
      </c>
      <c r="ET49" s="32">
        <v>0</v>
      </c>
      <c r="EU49" s="11"/>
      <c r="EV49" s="11"/>
      <c r="EW49" s="11" t="s">
        <v>305</v>
      </c>
      <c r="EX49" s="98" t="s">
        <v>288</v>
      </c>
      <c r="EY49" s="97" t="str">
        <f>IF(EX49=EW49,1,"")</f>
        <v/>
      </c>
      <c r="EZ49" s="32">
        <v>0</v>
      </c>
      <c r="FA49" s="11"/>
      <c r="FB49" s="11"/>
      <c r="FC49" s="11"/>
      <c r="FD49" s="32">
        <v>0</v>
      </c>
      <c r="FE49" s="11"/>
      <c r="FF49" s="11" t="s">
        <v>299</v>
      </c>
      <c r="FG49" s="32">
        <v>0</v>
      </c>
      <c r="FH49" s="11"/>
      <c r="FI49" s="11"/>
      <c r="FJ49" s="11"/>
      <c r="FK49" s="11"/>
      <c r="FL49" s="11" t="s">
        <v>397</v>
      </c>
      <c r="FM49" s="11" t="s">
        <v>661</v>
      </c>
      <c r="FN49" s="11"/>
      <c r="FO49" s="11"/>
      <c r="FP49" s="32">
        <v>0</v>
      </c>
      <c r="FQ49" s="11"/>
      <c r="FR49" s="11"/>
      <c r="FS49" s="11"/>
      <c r="FT49" s="10"/>
      <c r="FU49" s="11" t="s">
        <v>351</v>
      </c>
      <c r="FV49" s="11" t="s">
        <v>662</v>
      </c>
      <c r="FW49" s="11"/>
      <c r="FX49" s="32">
        <v>-1</v>
      </c>
      <c r="FY49" s="32">
        <v>-1</v>
      </c>
      <c r="FZ49" s="32">
        <v>-1</v>
      </c>
      <c r="GA49" s="32">
        <v>-1</v>
      </c>
      <c r="GB49" s="32">
        <v>-1</v>
      </c>
      <c r="GC49" s="32">
        <v>-1</v>
      </c>
      <c r="GD49" s="32">
        <v>-1</v>
      </c>
      <c r="GE49" s="32">
        <v>-1</v>
      </c>
      <c r="GF49" s="32">
        <v>-1</v>
      </c>
      <c r="GG49" s="32">
        <v>-1</v>
      </c>
      <c r="GH49" s="32">
        <v>-1</v>
      </c>
      <c r="GI49" s="32">
        <v>-1</v>
      </c>
      <c r="GJ49" s="32">
        <v>-1</v>
      </c>
      <c r="GK49" s="32">
        <v>-1</v>
      </c>
      <c r="GL49" s="32">
        <v>-1</v>
      </c>
      <c r="GM49" s="32">
        <v>-15</v>
      </c>
      <c r="GN49" s="33"/>
      <c r="GO49" s="33"/>
      <c r="GP49" s="11" t="s">
        <v>319</v>
      </c>
      <c r="GQ49" s="11" t="s">
        <v>320</v>
      </c>
      <c r="GR49" s="11" t="s">
        <v>277</v>
      </c>
      <c r="GS49" s="32">
        <v>15</v>
      </c>
      <c r="GT49" s="32">
        <v>15</v>
      </c>
      <c r="GU49" s="32">
        <v>36</v>
      </c>
      <c r="GV49" s="32">
        <v>9</v>
      </c>
      <c r="GW49" s="34"/>
    </row>
    <row r="50" spans="1:205" x14ac:dyDescent="0.25">
      <c r="A50" s="32">
        <v>221</v>
      </c>
      <c r="B50" s="11" t="s">
        <v>376</v>
      </c>
      <c r="C50" s="11">
        <v>72.5</v>
      </c>
      <c r="D50" s="11" t="s">
        <v>353</v>
      </c>
      <c r="E50" s="11" t="s">
        <v>422</v>
      </c>
      <c r="F50" s="11" t="s">
        <v>282</v>
      </c>
      <c r="G50" s="11" t="s">
        <v>281</v>
      </c>
      <c r="H50" s="11" t="s">
        <v>282</v>
      </c>
      <c r="I50" s="11" t="s">
        <v>282</v>
      </c>
      <c r="J50" s="11" t="s">
        <v>282</v>
      </c>
      <c r="K50" s="11" t="s">
        <v>281</v>
      </c>
      <c r="L50" s="11" t="s">
        <v>282</v>
      </c>
      <c r="M50" s="11" t="s">
        <v>282</v>
      </c>
      <c r="N50" s="11" t="s">
        <v>282</v>
      </c>
      <c r="O50" s="32">
        <v>0</v>
      </c>
      <c r="P50" s="11"/>
      <c r="Q50" s="11"/>
      <c r="R50" s="11" t="s">
        <v>423</v>
      </c>
      <c r="S50" s="11"/>
      <c r="T50" s="11"/>
      <c r="U50" s="11"/>
      <c r="V50" s="11"/>
      <c r="W50" s="10" t="s">
        <v>463</v>
      </c>
      <c r="X50" s="11" t="s">
        <v>437</v>
      </c>
      <c r="Y50" s="32">
        <v>1</v>
      </c>
      <c r="Z50" s="11" t="s">
        <v>585</v>
      </c>
      <c r="AA50" s="11"/>
      <c r="AB50" s="11" t="s">
        <v>310</v>
      </c>
      <c r="AC50" s="11" t="s">
        <v>297</v>
      </c>
      <c r="AD50" s="32">
        <v>0</v>
      </c>
      <c r="AE50" s="11"/>
      <c r="AF50" s="11"/>
      <c r="AG50" s="11" t="s">
        <v>288</v>
      </c>
      <c r="AH50" s="98" t="s">
        <v>305</v>
      </c>
      <c r="AI50" s="97" t="str">
        <f t="shared" si="0"/>
        <v/>
      </c>
      <c r="AJ50" s="11" t="s">
        <v>302</v>
      </c>
      <c r="AK50" s="32">
        <v>0</v>
      </c>
      <c r="AL50" s="11"/>
      <c r="AM50" s="11"/>
      <c r="AN50" s="32">
        <v>1</v>
      </c>
      <c r="AO50" s="11" t="s">
        <v>666</v>
      </c>
      <c r="AP50" s="11"/>
      <c r="AQ50" s="11" t="s">
        <v>292</v>
      </c>
      <c r="AR50" s="32">
        <v>0</v>
      </c>
      <c r="AS50" s="11"/>
      <c r="AT50" s="11"/>
      <c r="AU50" s="11"/>
      <c r="AV50" s="11"/>
      <c r="AW50" s="32">
        <v>0</v>
      </c>
      <c r="AX50" s="11"/>
      <c r="AY50" s="11"/>
      <c r="AZ50" s="11"/>
      <c r="BA50" s="98"/>
      <c r="BC50" s="11"/>
      <c r="BD50" s="32">
        <v>0</v>
      </c>
      <c r="BE50" s="11"/>
      <c r="BF50" s="11"/>
      <c r="BG50" s="32">
        <v>0</v>
      </c>
      <c r="BH50" s="11"/>
      <c r="BI50" s="11"/>
      <c r="BJ50" s="11"/>
      <c r="BK50" s="11"/>
      <c r="BL50" s="32">
        <v>0</v>
      </c>
      <c r="BM50" s="11"/>
      <c r="BN50" s="11"/>
      <c r="BO50" s="11"/>
      <c r="BP50" s="11"/>
      <c r="BQ50" s="32">
        <v>0</v>
      </c>
      <c r="BR50" s="11"/>
      <c r="BS50" s="11"/>
      <c r="BT50" s="32">
        <v>0</v>
      </c>
      <c r="BU50" s="11"/>
      <c r="BV50" s="11"/>
      <c r="BW50" s="32">
        <v>0</v>
      </c>
      <c r="BX50" s="11"/>
      <c r="BY50" s="11" t="s">
        <v>303</v>
      </c>
      <c r="BZ50" s="11" t="s">
        <v>302</v>
      </c>
      <c r="CA50" s="32">
        <v>0</v>
      </c>
      <c r="CB50" s="11"/>
      <c r="CC50" s="11"/>
      <c r="CD50" s="11" t="s">
        <v>288</v>
      </c>
      <c r="CE50" s="97"/>
      <c r="CF50" s="97" t="str">
        <f t="shared" ref="CF50:CF55" si="7">IF(CE50=CD50,1,"")</f>
        <v/>
      </c>
      <c r="CG50" s="11" t="s">
        <v>302</v>
      </c>
      <c r="CH50" s="32">
        <v>0</v>
      </c>
      <c r="CI50" s="11"/>
      <c r="CJ50" s="11"/>
      <c r="CK50" s="32">
        <v>0</v>
      </c>
      <c r="CL50" s="11"/>
      <c r="CM50" s="11" t="s">
        <v>296</v>
      </c>
      <c r="CN50" s="32">
        <v>1</v>
      </c>
      <c r="CO50" s="11" t="s">
        <v>359</v>
      </c>
      <c r="CP50" s="11"/>
      <c r="CQ50" s="11" t="s">
        <v>294</v>
      </c>
      <c r="CR50" s="11" t="s">
        <v>297</v>
      </c>
      <c r="CS50" s="32">
        <v>0</v>
      </c>
      <c r="CT50" s="11"/>
      <c r="CU50" s="11"/>
      <c r="CV50" s="11" t="s">
        <v>288</v>
      </c>
      <c r="CW50" s="98" t="s">
        <v>305</v>
      </c>
      <c r="CX50" s="97" t="str">
        <f t="shared" ref="CX50:CX54" si="8">IF(CW50=CV50,1,"")</f>
        <v/>
      </c>
      <c r="CY50" s="11" t="s">
        <v>297</v>
      </c>
      <c r="CZ50" s="32">
        <v>0</v>
      </c>
      <c r="DA50" s="11"/>
      <c r="DB50" s="11"/>
      <c r="DC50" s="32">
        <v>0</v>
      </c>
      <c r="DD50" s="11"/>
      <c r="DE50" s="11" t="s">
        <v>296</v>
      </c>
      <c r="DF50" s="32">
        <v>0</v>
      </c>
      <c r="DG50" s="11"/>
      <c r="DH50" s="11"/>
      <c r="DI50" s="11"/>
      <c r="DJ50" s="11"/>
      <c r="DK50" s="32">
        <v>0</v>
      </c>
      <c r="DL50" s="11"/>
      <c r="DM50" s="11"/>
      <c r="DN50" s="11"/>
      <c r="DO50" s="98"/>
      <c r="DQ50" s="11"/>
      <c r="DR50" s="32">
        <v>0</v>
      </c>
      <c r="DS50" s="11"/>
      <c r="DT50" s="11"/>
      <c r="DU50" s="32">
        <v>0</v>
      </c>
      <c r="DV50" s="11"/>
      <c r="DW50" s="11"/>
      <c r="DX50" s="32">
        <v>1</v>
      </c>
      <c r="DY50" s="11" t="s">
        <v>603</v>
      </c>
      <c r="DZ50" s="11"/>
      <c r="EA50" s="11" t="s">
        <v>303</v>
      </c>
      <c r="EB50" s="11" t="s">
        <v>331</v>
      </c>
      <c r="EC50" s="32">
        <v>0</v>
      </c>
      <c r="ED50" s="11"/>
      <c r="EE50" s="11"/>
      <c r="EF50" s="11" t="s">
        <v>305</v>
      </c>
      <c r="EG50" s="98" t="s">
        <v>298</v>
      </c>
      <c r="EI50" s="11" t="s">
        <v>331</v>
      </c>
      <c r="EJ50" s="32">
        <v>0</v>
      </c>
      <c r="EK50" s="11"/>
      <c r="EL50" s="11"/>
      <c r="EM50" s="11"/>
      <c r="EN50" s="11"/>
      <c r="EO50" s="11" t="s">
        <v>296</v>
      </c>
      <c r="EP50" s="32">
        <v>1</v>
      </c>
      <c r="EQ50" s="11" t="s">
        <v>374</v>
      </c>
      <c r="ER50" s="11" t="s">
        <v>303</v>
      </c>
      <c r="ES50" s="11" t="s">
        <v>297</v>
      </c>
      <c r="ET50" s="32">
        <v>0</v>
      </c>
      <c r="EU50" s="11"/>
      <c r="EV50" s="11"/>
      <c r="EW50" s="11" t="s">
        <v>288</v>
      </c>
      <c r="EX50" s="98" t="s">
        <v>298</v>
      </c>
      <c r="EZ50" s="32">
        <v>0</v>
      </c>
      <c r="FA50" s="11"/>
      <c r="FB50" s="11"/>
      <c r="FC50" s="11" t="s">
        <v>412</v>
      </c>
      <c r="FD50" s="32">
        <v>0</v>
      </c>
      <c r="FE50" s="11"/>
      <c r="FF50" s="11" t="s">
        <v>296</v>
      </c>
      <c r="FG50" s="32">
        <v>0</v>
      </c>
      <c r="FH50" s="11"/>
      <c r="FI50" s="11"/>
      <c r="FJ50" s="11"/>
      <c r="FK50" s="11"/>
      <c r="FL50" s="11"/>
      <c r="FM50" s="11" t="s">
        <v>667</v>
      </c>
      <c r="FN50" s="11"/>
      <c r="FO50" s="11"/>
      <c r="FP50" s="32">
        <v>0</v>
      </c>
      <c r="FQ50" s="11"/>
      <c r="FR50" s="11"/>
      <c r="FS50" s="11"/>
      <c r="FT50" s="10"/>
      <c r="FU50" s="11" t="s">
        <v>351</v>
      </c>
      <c r="FV50" s="11"/>
      <c r="FW50" s="11"/>
      <c r="FX50" s="32">
        <v>-1</v>
      </c>
      <c r="FY50" s="32">
        <v>-1</v>
      </c>
      <c r="FZ50" s="32">
        <v>-1</v>
      </c>
      <c r="GA50" s="32">
        <v>-1</v>
      </c>
      <c r="GB50" s="32">
        <v>-1</v>
      </c>
      <c r="GC50" s="32">
        <v>-1</v>
      </c>
      <c r="GD50" s="32">
        <v>-1</v>
      </c>
      <c r="GE50" s="32">
        <v>-1</v>
      </c>
      <c r="GF50" s="32">
        <v>-1</v>
      </c>
      <c r="GG50" s="32">
        <v>-1</v>
      </c>
      <c r="GH50" s="32">
        <v>-1</v>
      </c>
      <c r="GI50" s="32">
        <v>-1</v>
      </c>
      <c r="GJ50" s="32">
        <v>-1</v>
      </c>
      <c r="GK50" s="32">
        <v>-1</v>
      </c>
      <c r="GL50" s="32">
        <v>-1</v>
      </c>
      <c r="GM50" s="32">
        <v>-15</v>
      </c>
      <c r="GN50" s="33"/>
      <c r="GO50" s="33"/>
      <c r="GP50" s="11"/>
      <c r="GQ50" s="11" t="s">
        <v>320</v>
      </c>
      <c r="GR50" s="11" t="s">
        <v>277</v>
      </c>
      <c r="GS50" s="32">
        <v>15</v>
      </c>
      <c r="GT50" s="32">
        <v>15</v>
      </c>
      <c r="GU50" s="32">
        <v>58</v>
      </c>
      <c r="GV50" s="32">
        <v>36</v>
      </c>
      <c r="GW50" s="34"/>
    </row>
    <row r="51" spans="1:205" s="49" customFormat="1" x14ac:dyDescent="0.25">
      <c r="A51" s="38">
        <v>223</v>
      </c>
      <c r="B51" s="39" t="s">
        <v>376</v>
      </c>
      <c r="C51" s="39">
        <v>72.5</v>
      </c>
      <c r="D51" s="39" t="s">
        <v>279</v>
      </c>
      <c r="E51" s="39" t="s">
        <v>422</v>
      </c>
      <c r="F51" s="39" t="s">
        <v>282</v>
      </c>
      <c r="G51" s="39" t="s">
        <v>281</v>
      </c>
      <c r="H51" s="39" t="s">
        <v>282</v>
      </c>
      <c r="I51" s="39" t="s">
        <v>282</v>
      </c>
      <c r="J51" s="39" t="s">
        <v>282</v>
      </c>
      <c r="K51" s="39" t="s">
        <v>281</v>
      </c>
      <c r="L51" s="39" t="s">
        <v>282</v>
      </c>
      <c r="M51" s="39" t="s">
        <v>282</v>
      </c>
      <c r="N51" s="39" t="s">
        <v>282</v>
      </c>
      <c r="O51" s="38">
        <v>0</v>
      </c>
      <c r="P51" s="39"/>
      <c r="Q51" s="39"/>
      <c r="R51" s="39" t="s">
        <v>423</v>
      </c>
      <c r="S51" s="39"/>
      <c r="T51" s="39"/>
      <c r="U51" s="39"/>
      <c r="V51" s="39"/>
      <c r="W51" s="40" t="s">
        <v>424</v>
      </c>
      <c r="X51" s="39" t="s">
        <v>437</v>
      </c>
      <c r="Y51" s="38">
        <v>1</v>
      </c>
      <c r="Z51" s="39" t="s">
        <v>365</v>
      </c>
      <c r="AA51" s="39"/>
      <c r="AB51" s="39" t="s">
        <v>303</v>
      </c>
      <c r="AC51" s="39" t="s">
        <v>297</v>
      </c>
      <c r="AD51" s="38">
        <v>0</v>
      </c>
      <c r="AE51" s="39"/>
      <c r="AF51" s="39"/>
      <c r="AG51" s="39" t="s">
        <v>305</v>
      </c>
      <c r="AH51" s="98" t="s">
        <v>298</v>
      </c>
      <c r="AI51" s="97" t="str">
        <f t="shared" si="0"/>
        <v/>
      </c>
      <c r="AJ51" s="39" t="s">
        <v>302</v>
      </c>
      <c r="AK51" s="38">
        <v>0</v>
      </c>
      <c r="AL51" s="39"/>
      <c r="AM51" s="39"/>
      <c r="AN51" s="38">
        <v>0</v>
      </c>
      <c r="AO51" s="39"/>
      <c r="AP51" s="39"/>
      <c r="AQ51" s="39" t="s">
        <v>299</v>
      </c>
      <c r="AR51" s="38">
        <v>0</v>
      </c>
      <c r="AS51" s="39"/>
      <c r="AT51" s="39"/>
      <c r="AU51" s="39"/>
      <c r="AV51" s="39"/>
      <c r="AW51" s="38">
        <v>0</v>
      </c>
      <c r="AX51" s="39"/>
      <c r="AY51" s="39"/>
      <c r="AZ51" s="39"/>
      <c r="BA51" s="98"/>
      <c r="BB51" s="97"/>
      <c r="BC51" s="39"/>
      <c r="BD51" s="38">
        <v>0</v>
      </c>
      <c r="BE51" s="39"/>
      <c r="BF51" s="39"/>
      <c r="BG51" s="38">
        <v>0</v>
      </c>
      <c r="BH51" s="39"/>
      <c r="BI51" s="39"/>
      <c r="BJ51" s="39"/>
      <c r="BK51" s="39"/>
      <c r="BL51" s="38">
        <v>0</v>
      </c>
      <c r="BM51" s="39"/>
      <c r="BN51" s="39"/>
      <c r="BO51" s="39"/>
      <c r="BP51" s="39"/>
      <c r="BQ51" s="38">
        <v>0</v>
      </c>
      <c r="BR51" s="39"/>
      <c r="BS51" s="39"/>
      <c r="BT51" s="38">
        <v>0</v>
      </c>
      <c r="BU51" s="39"/>
      <c r="BV51" s="39"/>
      <c r="BW51" s="38">
        <v>1</v>
      </c>
      <c r="BX51" s="39" t="s">
        <v>668</v>
      </c>
      <c r="BY51" s="39" t="s">
        <v>303</v>
      </c>
      <c r="BZ51" s="39" t="s">
        <v>302</v>
      </c>
      <c r="CA51" s="38">
        <v>0</v>
      </c>
      <c r="CB51" s="39"/>
      <c r="CC51" s="39"/>
      <c r="CD51" s="39" t="s">
        <v>305</v>
      </c>
      <c r="CE51" s="97" t="s">
        <v>305</v>
      </c>
      <c r="CF51" s="97">
        <f t="shared" si="7"/>
        <v>1</v>
      </c>
      <c r="CG51" s="39" t="s">
        <v>302</v>
      </c>
      <c r="CH51" s="38">
        <v>0</v>
      </c>
      <c r="CI51" s="39"/>
      <c r="CJ51" s="39"/>
      <c r="CK51" s="38">
        <v>0</v>
      </c>
      <c r="CL51" s="39"/>
      <c r="CM51" s="39" t="s">
        <v>296</v>
      </c>
      <c r="CN51" s="38">
        <v>1</v>
      </c>
      <c r="CO51" s="39" t="s">
        <v>669</v>
      </c>
      <c r="CP51" s="39"/>
      <c r="CQ51" s="39" t="s">
        <v>303</v>
      </c>
      <c r="CR51" s="39" t="s">
        <v>297</v>
      </c>
      <c r="CS51" s="38">
        <v>0</v>
      </c>
      <c r="CT51" s="39"/>
      <c r="CU51" s="39"/>
      <c r="CV51" s="39" t="s">
        <v>288</v>
      </c>
      <c r="CW51" s="98" t="s">
        <v>305</v>
      </c>
      <c r="CX51" s="97" t="str">
        <f t="shared" si="8"/>
        <v/>
      </c>
      <c r="CY51" s="39" t="s">
        <v>297</v>
      </c>
      <c r="CZ51" s="38">
        <v>0</v>
      </c>
      <c r="DA51" s="39"/>
      <c r="DB51" s="39"/>
      <c r="DC51" s="38">
        <v>0</v>
      </c>
      <c r="DD51" s="39"/>
      <c r="DE51" s="39" t="s">
        <v>296</v>
      </c>
      <c r="DF51" s="38">
        <v>1</v>
      </c>
      <c r="DG51" s="39" t="s">
        <v>372</v>
      </c>
      <c r="DH51" s="39"/>
      <c r="DI51" s="39" t="s">
        <v>303</v>
      </c>
      <c r="DJ51" s="39" t="s">
        <v>297</v>
      </c>
      <c r="DK51" s="38">
        <v>0</v>
      </c>
      <c r="DL51" s="39"/>
      <c r="DM51" s="39"/>
      <c r="DN51" s="39" t="s">
        <v>288</v>
      </c>
      <c r="DO51" s="98" t="s">
        <v>288</v>
      </c>
      <c r="DP51" s="97">
        <f t="shared" ref="DP51:DP55" si="9">IF(DO51=DN51,1,"")</f>
        <v>1</v>
      </c>
      <c r="DQ51" s="39" t="s">
        <v>297</v>
      </c>
      <c r="DR51" s="38">
        <v>0</v>
      </c>
      <c r="DS51" s="39"/>
      <c r="DT51" s="39"/>
      <c r="DU51" s="38">
        <v>0</v>
      </c>
      <c r="DV51" s="39"/>
      <c r="DW51" s="39" t="s">
        <v>328</v>
      </c>
      <c r="DX51" s="38">
        <v>1</v>
      </c>
      <c r="DY51" s="39" t="s">
        <v>603</v>
      </c>
      <c r="DZ51" s="39"/>
      <c r="EA51" s="39" t="s">
        <v>303</v>
      </c>
      <c r="EB51" s="39" t="s">
        <v>331</v>
      </c>
      <c r="EC51" s="38">
        <v>0</v>
      </c>
      <c r="ED51" s="39"/>
      <c r="EE51" s="39"/>
      <c r="EF51" s="39" t="s">
        <v>305</v>
      </c>
      <c r="EG51" s="98" t="s">
        <v>298</v>
      </c>
      <c r="EH51" s="97" t="str">
        <f t="shared" ref="EH51:EH55" si="10">IF(EG51=EF51,1,"")</f>
        <v/>
      </c>
      <c r="EI51" s="39" t="s">
        <v>331</v>
      </c>
      <c r="EJ51" s="38">
        <v>0</v>
      </c>
      <c r="EK51" s="39"/>
      <c r="EL51" s="39"/>
      <c r="EM51" s="39"/>
      <c r="EN51" s="39"/>
      <c r="EO51" s="39" t="s">
        <v>296</v>
      </c>
      <c r="EP51" s="38">
        <v>1</v>
      </c>
      <c r="EQ51" s="39" t="s">
        <v>374</v>
      </c>
      <c r="ER51" s="39" t="s">
        <v>303</v>
      </c>
      <c r="ES51" s="39" t="s">
        <v>302</v>
      </c>
      <c r="ET51" s="38">
        <v>0</v>
      </c>
      <c r="EU51" s="39"/>
      <c r="EV51" s="39"/>
      <c r="EW51" s="39" t="s">
        <v>305</v>
      </c>
      <c r="EX51" s="98" t="s">
        <v>298</v>
      </c>
      <c r="EY51" s="97" t="str">
        <f t="shared" ref="EY51:EY55" si="11">IF(EX51=EW51,1,"")</f>
        <v/>
      </c>
      <c r="EZ51" s="38">
        <v>0</v>
      </c>
      <c r="FA51" s="39"/>
      <c r="FB51" s="39"/>
      <c r="FC51" s="39"/>
      <c r="FD51" s="38">
        <v>0</v>
      </c>
      <c r="FE51" s="39"/>
      <c r="FF51" s="39" t="s">
        <v>296</v>
      </c>
      <c r="FG51" s="38">
        <v>0</v>
      </c>
      <c r="FH51" s="39"/>
      <c r="FI51" s="39"/>
      <c r="FJ51" s="39"/>
      <c r="FK51" s="39"/>
      <c r="FL51" s="39" t="s">
        <v>670</v>
      </c>
      <c r="FM51" s="39"/>
      <c r="FN51" s="39"/>
      <c r="FO51" s="39"/>
      <c r="FP51" s="38">
        <v>0</v>
      </c>
      <c r="FQ51" s="39"/>
      <c r="FR51" s="39"/>
      <c r="FS51" s="39"/>
      <c r="FT51" s="40"/>
      <c r="FU51" s="39" t="s">
        <v>351</v>
      </c>
      <c r="FV51" s="39"/>
      <c r="FW51" s="39"/>
      <c r="FX51" s="38">
        <v>-1</v>
      </c>
      <c r="FY51" s="38">
        <v>-1</v>
      </c>
      <c r="FZ51" s="38">
        <v>-1</v>
      </c>
      <c r="GA51" s="38">
        <v>-1</v>
      </c>
      <c r="GB51" s="38">
        <v>-1</v>
      </c>
      <c r="GC51" s="38">
        <v>-1</v>
      </c>
      <c r="GD51" s="38">
        <v>-1</v>
      </c>
      <c r="GE51" s="38">
        <v>-1</v>
      </c>
      <c r="GF51" s="38">
        <v>-1</v>
      </c>
      <c r="GG51" s="38">
        <v>-1</v>
      </c>
      <c r="GH51" s="38">
        <v>-1</v>
      </c>
      <c r="GI51" s="38">
        <v>-1</v>
      </c>
      <c r="GJ51" s="38">
        <v>-1</v>
      </c>
      <c r="GK51" s="38">
        <v>-1</v>
      </c>
      <c r="GL51" s="38">
        <v>-1</v>
      </c>
      <c r="GM51" s="38">
        <v>-15</v>
      </c>
      <c r="GN51" s="41"/>
      <c r="GO51" s="41"/>
      <c r="GP51" s="39"/>
      <c r="GQ51" s="39" t="s">
        <v>320</v>
      </c>
      <c r="GR51" s="39" t="s">
        <v>277</v>
      </c>
      <c r="GS51" s="38">
        <v>15</v>
      </c>
      <c r="GT51" s="38">
        <v>15</v>
      </c>
      <c r="GU51" s="38">
        <v>51</v>
      </c>
      <c r="GV51" s="38">
        <v>27</v>
      </c>
      <c r="GW51" s="42"/>
    </row>
    <row r="52" spans="1:205" x14ac:dyDescent="0.25">
      <c r="A52" s="38">
        <v>225</v>
      </c>
      <c r="B52" s="39" t="s">
        <v>376</v>
      </c>
      <c r="C52" s="39">
        <v>72.5</v>
      </c>
      <c r="D52" s="39" t="s">
        <v>353</v>
      </c>
      <c r="E52" s="39" t="s">
        <v>320</v>
      </c>
      <c r="F52" s="39" t="s">
        <v>282</v>
      </c>
      <c r="G52" s="39" t="s">
        <v>281</v>
      </c>
      <c r="H52" s="39" t="s">
        <v>282</v>
      </c>
      <c r="I52" s="39" t="s">
        <v>282</v>
      </c>
      <c r="J52" s="39" t="s">
        <v>282</v>
      </c>
      <c r="K52" s="39" t="s">
        <v>282</v>
      </c>
      <c r="L52" s="39" t="s">
        <v>282</v>
      </c>
      <c r="M52" s="39" t="s">
        <v>282</v>
      </c>
      <c r="N52" s="39" t="s">
        <v>282</v>
      </c>
      <c r="O52" s="38">
        <v>0</v>
      </c>
      <c r="P52" s="39"/>
      <c r="Q52" s="39"/>
      <c r="R52" s="39" t="s">
        <v>423</v>
      </c>
      <c r="S52" s="39"/>
      <c r="T52" s="39"/>
      <c r="U52" s="39"/>
      <c r="V52" s="39"/>
      <c r="W52" s="40" t="s">
        <v>424</v>
      </c>
      <c r="X52" s="39" t="s">
        <v>437</v>
      </c>
      <c r="Y52" s="38">
        <v>1</v>
      </c>
      <c r="Z52" s="39" t="s">
        <v>365</v>
      </c>
      <c r="AA52" s="39"/>
      <c r="AB52" s="39" t="s">
        <v>303</v>
      </c>
      <c r="AC52" s="39" t="s">
        <v>297</v>
      </c>
      <c r="AD52" s="38">
        <v>0</v>
      </c>
      <c r="AE52" s="39"/>
      <c r="AF52" s="39"/>
      <c r="AG52" s="39" t="s">
        <v>305</v>
      </c>
      <c r="AH52" s="98" t="s">
        <v>298</v>
      </c>
      <c r="AI52" s="97" t="str">
        <f t="shared" si="0"/>
        <v/>
      </c>
      <c r="AJ52" s="39" t="s">
        <v>302</v>
      </c>
      <c r="AK52" s="38">
        <v>0</v>
      </c>
      <c r="AL52" s="39"/>
      <c r="AM52" s="39"/>
      <c r="AN52" s="38">
        <v>0</v>
      </c>
      <c r="AO52" s="39"/>
      <c r="AP52" s="39"/>
      <c r="AQ52" s="39" t="s">
        <v>328</v>
      </c>
      <c r="AR52" s="38">
        <v>0</v>
      </c>
      <c r="AS52" s="39"/>
      <c r="AT52" s="39"/>
      <c r="AU52" s="39" t="s">
        <v>301</v>
      </c>
      <c r="AV52" s="39" t="s">
        <v>287</v>
      </c>
      <c r="AW52" s="38">
        <v>0</v>
      </c>
      <c r="AX52" s="39"/>
      <c r="AY52" s="39"/>
      <c r="AZ52" s="39" t="s">
        <v>324</v>
      </c>
      <c r="BA52" s="98"/>
      <c r="BB52" s="97" t="str">
        <f t="shared" si="1"/>
        <v/>
      </c>
      <c r="BC52" s="39" t="s">
        <v>302</v>
      </c>
      <c r="BD52" s="38">
        <v>0</v>
      </c>
      <c r="BE52" s="39"/>
      <c r="BF52" s="39"/>
      <c r="BG52" s="38">
        <v>1</v>
      </c>
      <c r="BH52" s="39" t="s">
        <v>671</v>
      </c>
      <c r="BI52" s="39" t="s">
        <v>292</v>
      </c>
      <c r="BJ52" s="39"/>
      <c r="BK52" s="39"/>
      <c r="BL52" s="38">
        <v>0</v>
      </c>
      <c r="BM52" s="39"/>
      <c r="BN52" s="39"/>
      <c r="BO52" s="39"/>
      <c r="BP52" s="39"/>
      <c r="BQ52" s="38">
        <v>0</v>
      </c>
      <c r="BR52" s="39"/>
      <c r="BS52" s="39"/>
      <c r="BT52" s="38">
        <v>0</v>
      </c>
      <c r="BU52" s="39"/>
      <c r="BV52" s="39"/>
      <c r="BW52" s="38">
        <v>1</v>
      </c>
      <c r="BX52" s="39" t="s">
        <v>672</v>
      </c>
      <c r="BY52" s="39" t="s">
        <v>303</v>
      </c>
      <c r="BZ52" s="39" t="s">
        <v>302</v>
      </c>
      <c r="CA52" s="38">
        <v>0</v>
      </c>
      <c r="CB52" s="39"/>
      <c r="CC52" s="39"/>
      <c r="CD52" s="39" t="s">
        <v>288</v>
      </c>
      <c r="CE52" s="97" t="s">
        <v>305</v>
      </c>
      <c r="CF52" s="97" t="str">
        <f t="shared" si="7"/>
        <v/>
      </c>
      <c r="CG52" s="39" t="s">
        <v>302</v>
      </c>
      <c r="CH52" s="38">
        <v>0</v>
      </c>
      <c r="CI52" s="39"/>
      <c r="CJ52" s="39"/>
      <c r="CK52" s="38">
        <v>0</v>
      </c>
      <c r="CL52" s="39"/>
      <c r="CM52" s="39" t="s">
        <v>296</v>
      </c>
      <c r="CN52" s="38">
        <v>1</v>
      </c>
      <c r="CO52" s="39" t="s">
        <v>673</v>
      </c>
      <c r="CP52" s="39"/>
      <c r="CQ52" s="39" t="s">
        <v>303</v>
      </c>
      <c r="CR52" s="39" t="s">
        <v>297</v>
      </c>
      <c r="CS52" s="38">
        <v>0</v>
      </c>
      <c r="CT52" s="39"/>
      <c r="CU52" s="39"/>
      <c r="CV52" s="39" t="s">
        <v>288</v>
      </c>
      <c r="CW52" s="98" t="s">
        <v>305</v>
      </c>
      <c r="CX52" s="97" t="str">
        <f t="shared" si="8"/>
        <v/>
      </c>
      <c r="CY52" s="39" t="s">
        <v>297</v>
      </c>
      <c r="CZ52" s="38">
        <v>0</v>
      </c>
      <c r="DA52" s="39"/>
      <c r="DB52" s="39"/>
      <c r="DC52" s="38">
        <v>0</v>
      </c>
      <c r="DD52" s="39"/>
      <c r="DE52" s="39" t="s">
        <v>296</v>
      </c>
      <c r="DF52" s="38">
        <v>0</v>
      </c>
      <c r="DG52" s="39"/>
      <c r="DH52" s="39"/>
      <c r="DI52" s="39"/>
      <c r="DJ52" s="39"/>
      <c r="DK52" s="38">
        <v>0</v>
      </c>
      <c r="DL52" s="39"/>
      <c r="DM52" s="39"/>
      <c r="DN52" s="39"/>
      <c r="DO52" s="98"/>
      <c r="DQ52" s="39"/>
      <c r="DR52" s="38">
        <v>0</v>
      </c>
      <c r="DS52" s="39"/>
      <c r="DT52" s="39"/>
      <c r="DU52" s="38">
        <v>0</v>
      </c>
      <c r="DV52" s="39"/>
      <c r="DW52" s="39"/>
      <c r="DX52" s="38">
        <v>1</v>
      </c>
      <c r="DY52" s="39" t="s">
        <v>603</v>
      </c>
      <c r="DZ52" s="39"/>
      <c r="EA52" s="39" t="s">
        <v>303</v>
      </c>
      <c r="EB52" s="39" t="s">
        <v>331</v>
      </c>
      <c r="EC52" s="38">
        <v>0</v>
      </c>
      <c r="ED52" s="39"/>
      <c r="EE52" s="39"/>
      <c r="EF52" s="39" t="s">
        <v>305</v>
      </c>
      <c r="EG52" s="98" t="s">
        <v>298</v>
      </c>
      <c r="EI52" s="39" t="s">
        <v>331</v>
      </c>
      <c r="EJ52" s="38">
        <v>0</v>
      </c>
      <c r="EK52" s="39"/>
      <c r="EL52" s="39"/>
      <c r="EM52" s="39"/>
      <c r="EN52" s="39"/>
      <c r="EO52" s="39" t="s">
        <v>296</v>
      </c>
      <c r="EP52" s="38">
        <v>1</v>
      </c>
      <c r="EQ52" s="39" t="s">
        <v>374</v>
      </c>
      <c r="ER52" s="39" t="s">
        <v>303</v>
      </c>
      <c r="ES52" s="39" t="s">
        <v>297</v>
      </c>
      <c r="ET52" s="38">
        <v>0</v>
      </c>
      <c r="EU52" s="39"/>
      <c r="EV52" s="39"/>
      <c r="EW52" s="39" t="s">
        <v>305</v>
      </c>
      <c r="EX52" s="98" t="s">
        <v>298</v>
      </c>
      <c r="EZ52" s="38">
        <v>0</v>
      </c>
      <c r="FA52" s="39"/>
      <c r="FB52" s="39"/>
      <c r="FC52" s="39"/>
      <c r="FD52" s="38">
        <v>0</v>
      </c>
      <c r="FE52" s="39"/>
      <c r="FF52" s="39" t="s">
        <v>296</v>
      </c>
      <c r="FG52" s="38">
        <v>0</v>
      </c>
      <c r="FH52" s="39"/>
      <c r="FI52" s="39"/>
      <c r="FJ52" s="39"/>
      <c r="FK52" s="39"/>
      <c r="FL52" s="39"/>
      <c r="FM52" s="39"/>
      <c r="FN52" s="39"/>
      <c r="FO52" s="39"/>
      <c r="FP52" s="38">
        <v>0</v>
      </c>
      <c r="FQ52" s="39"/>
      <c r="FR52" s="39"/>
      <c r="FS52" s="39"/>
      <c r="FT52" s="40"/>
      <c r="FU52" s="39" t="s">
        <v>351</v>
      </c>
      <c r="FV52" s="39"/>
      <c r="FW52" s="39"/>
      <c r="FX52" s="38">
        <v>-1</v>
      </c>
      <c r="FY52" s="38">
        <v>-1</v>
      </c>
      <c r="FZ52" s="38">
        <v>-1</v>
      </c>
      <c r="GA52" s="38">
        <v>-1</v>
      </c>
      <c r="GB52" s="38">
        <v>-1</v>
      </c>
      <c r="GC52" s="38">
        <v>-1</v>
      </c>
      <c r="GD52" s="38">
        <v>-1</v>
      </c>
      <c r="GE52" s="38">
        <v>-1</v>
      </c>
      <c r="GF52" s="38">
        <v>-1</v>
      </c>
      <c r="GG52" s="38">
        <v>-1</v>
      </c>
      <c r="GH52" s="38">
        <v>-1</v>
      </c>
      <c r="GI52" s="38">
        <v>-1</v>
      </c>
      <c r="GJ52" s="38">
        <v>-1</v>
      </c>
      <c r="GK52" s="38">
        <v>-1</v>
      </c>
      <c r="GL52" s="38">
        <v>-1</v>
      </c>
      <c r="GM52" s="38">
        <v>-15</v>
      </c>
      <c r="GN52" s="41"/>
      <c r="GO52" s="41"/>
      <c r="GP52" s="39"/>
      <c r="GQ52" s="39" t="s">
        <v>320</v>
      </c>
      <c r="GR52" s="39" t="s">
        <v>277</v>
      </c>
      <c r="GS52" s="38">
        <v>15</v>
      </c>
      <c r="GT52" s="38">
        <v>15</v>
      </c>
      <c r="GU52" s="38">
        <v>53</v>
      </c>
      <c r="GV52" s="38">
        <v>28</v>
      </c>
      <c r="GW52" s="42"/>
    </row>
    <row r="53" spans="1:205" s="48" customFormat="1" x14ac:dyDescent="0.25">
      <c r="A53" s="32">
        <v>227</v>
      </c>
      <c r="B53" s="11" t="s">
        <v>376</v>
      </c>
      <c r="C53" s="11">
        <v>72.5</v>
      </c>
      <c r="D53" s="11" t="s">
        <v>279</v>
      </c>
      <c r="E53" s="11" t="s">
        <v>320</v>
      </c>
      <c r="F53" s="11" t="s">
        <v>282</v>
      </c>
      <c r="G53" s="11" t="s">
        <v>282</v>
      </c>
      <c r="H53" s="11" t="s">
        <v>282</v>
      </c>
      <c r="I53" s="11" t="s">
        <v>282</v>
      </c>
      <c r="J53" s="11" t="s">
        <v>282</v>
      </c>
      <c r="K53" s="11" t="s">
        <v>281</v>
      </c>
      <c r="L53" s="11" t="s">
        <v>282</v>
      </c>
      <c r="M53" s="11" t="s">
        <v>282</v>
      </c>
      <c r="N53" s="11" t="s">
        <v>282</v>
      </c>
      <c r="O53" s="32">
        <v>0</v>
      </c>
      <c r="P53" s="11"/>
      <c r="Q53" s="11"/>
      <c r="R53" s="11" t="s">
        <v>423</v>
      </c>
      <c r="S53" s="11"/>
      <c r="T53" s="11"/>
      <c r="U53" s="11"/>
      <c r="V53" s="11"/>
      <c r="W53" s="10" t="s">
        <v>463</v>
      </c>
      <c r="X53" s="11" t="s">
        <v>350</v>
      </c>
      <c r="Y53" s="32">
        <v>0</v>
      </c>
      <c r="Z53" s="11"/>
      <c r="AA53" s="11"/>
      <c r="AB53" s="11"/>
      <c r="AC53" s="11"/>
      <c r="AD53" s="32">
        <v>0</v>
      </c>
      <c r="AE53" s="11"/>
      <c r="AF53" s="11"/>
      <c r="AG53" s="11"/>
      <c r="AH53" s="98"/>
      <c r="AI53" s="97"/>
      <c r="AJ53" s="11"/>
      <c r="AK53" s="32">
        <v>0</v>
      </c>
      <c r="AL53" s="11"/>
      <c r="AM53" s="11"/>
      <c r="AN53" s="32">
        <v>0</v>
      </c>
      <c r="AO53" s="11"/>
      <c r="AP53" s="11"/>
      <c r="AQ53" s="11"/>
      <c r="AR53" s="32">
        <v>0</v>
      </c>
      <c r="AS53" s="11"/>
      <c r="AT53" s="11"/>
      <c r="AU53" s="11"/>
      <c r="AV53" s="11"/>
      <c r="AW53" s="32">
        <v>0</v>
      </c>
      <c r="AX53" s="11"/>
      <c r="AY53" s="11"/>
      <c r="AZ53" s="11"/>
      <c r="BA53" s="98"/>
      <c r="BB53" s="97"/>
      <c r="BC53" s="11"/>
      <c r="BD53" s="32">
        <v>0</v>
      </c>
      <c r="BE53" s="11"/>
      <c r="BF53" s="11"/>
      <c r="BG53" s="32">
        <v>0</v>
      </c>
      <c r="BH53" s="11"/>
      <c r="BI53" s="11"/>
      <c r="BJ53" s="11"/>
      <c r="BK53" s="11"/>
      <c r="BL53" s="32">
        <v>0</v>
      </c>
      <c r="BM53" s="11"/>
      <c r="BN53" s="11"/>
      <c r="BO53" s="11"/>
      <c r="BP53" s="11"/>
      <c r="BQ53" s="32">
        <v>0</v>
      </c>
      <c r="BR53" s="11"/>
      <c r="BS53" s="11"/>
      <c r="BT53" s="32">
        <v>0</v>
      </c>
      <c r="BU53" s="11"/>
      <c r="BV53" s="11"/>
      <c r="BW53" s="32">
        <v>1</v>
      </c>
      <c r="BX53" s="11" t="s">
        <v>674</v>
      </c>
      <c r="BY53" s="11" t="s">
        <v>303</v>
      </c>
      <c r="BZ53" s="11" t="s">
        <v>297</v>
      </c>
      <c r="CA53" s="32">
        <v>0</v>
      </c>
      <c r="CB53" s="11"/>
      <c r="CC53" s="11"/>
      <c r="CD53" s="11" t="s">
        <v>288</v>
      </c>
      <c r="CE53" s="97" t="s">
        <v>298</v>
      </c>
      <c r="CF53" s="97" t="str">
        <f t="shared" si="7"/>
        <v/>
      </c>
      <c r="CG53" s="11" t="s">
        <v>297</v>
      </c>
      <c r="CH53" s="32">
        <v>0</v>
      </c>
      <c r="CI53" s="11"/>
      <c r="CJ53" s="11"/>
      <c r="CK53" s="32">
        <v>0</v>
      </c>
      <c r="CL53" s="11"/>
      <c r="CM53" s="11" t="s">
        <v>296</v>
      </c>
      <c r="CN53" s="32">
        <v>1</v>
      </c>
      <c r="CO53" s="11" t="s">
        <v>673</v>
      </c>
      <c r="CP53" s="11"/>
      <c r="CQ53" s="11" t="s">
        <v>303</v>
      </c>
      <c r="CR53" s="11" t="s">
        <v>297</v>
      </c>
      <c r="CS53" s="32">
        <v>0</v>
      </c>
      <c r="CT53" s="11"/>
      <c r="CU53" s="11"/>
      <c r="CV53" s="11" t="s">
        <v>288</v>
      </c>
      <c r="CW53" s="98" t="s">
        <v>305</v>
      </c>
      <c r="CX53" s="97" t="str">
        <f t="shared" si="8"/>
        <v/>
      </c>
      <c r="CY53" s="11" t="s">
        <v>297</v>
      </c>
      <c r="CZ53" s="32">
        <v>0</v>
      </c>
      <c r="DA53" s="11"/>
      <c r="DB53" s="11"/>
      <c r="DC53" s="32">
        <v>0</v>
      </c>
      <c r="DD53" s="11"/>
      <c r="DE53" s="11" t="s">
        <v>296</v>
      </c>
      <c r="DF53" s="32">
        <v>0</v>
      </c>
      <c r="DG53" s="11"/>
      <c r="DH53" s="11"/>
      <c r="DI53" s="11"/>
      <c r="DJ53" s="11"/>
      <c r="DK53" s="32">
        <v>0</v>
      </c>
      <c r="DL53" s="11"/>
      <c r="DM53" s="11"/>
      <c r="DN53" s="11"/>
      <c r="DO53" s="98"/>
      <c r="DP53" s="97"/>
      <c r="DQ53" s="11"/>
      <c r="DR53" s="32">
        <v>0</v>
      </c>
      <c r="DS53" s="11"/>
      <c r="DT53" s="11"/>
      <c r="DU53" s="32">
        <v>0</v>
      </c>
      <c r="DV53" s="11"/>
      <c r="DW53" s="11"/>
      <c r="DX53" s="32">
        <v>1</v>
      </c>
      <c r="DY53" s="11" t="s">
        <v>603</v>
      </c>
      <c r="DZ53" s="11"/>
      <c r="EA53" s="11" t="s">
        <v>303</v>
      </c>
      <c r="EB53" s="11" t="s">
        <v>297</v>
      </c>
      <c r="EC53" s="32">
        <v>0</v>
      </c>
      <c r="ED53" s="11"/>
      <c r="EE53" s="11"/>
      <c r="EF53" s="11" t="s">
        <v>298</v>
      </c>
      <c r="EG53" s="98" t="s">
        <v>298</v>
      </c>
      <c r="EH53" s="97">
        <f t="shared" si="10"/>
        <v>1</v>
      </c>
      <c r="EI53" s="11" t="s">
        <v>297</v>
      </c>
      <c r="EJ53" s="32">
        <v>0</v>
      </c>
      <c r="EK53" s="11"/>
      <c r="EL53" s="11"/>
      <c r="EM53" s="11"/>
      <c r="EN53" s="11"/>
      <c r="EO53" s="11" t="s">
        <v>296</v>
      </c>
      <c r="EP53" s="32">
        <v>1</v>
      </c>
      <c r="EQ53" s="11" t="s">
        <v>374</v>
      </c>
      <c r="ER53" s="11" t="s">
        <v>303</v>
      </c>
      <c r="ES53" s="11" t="s">
        <v>297</v>
      </c>
      <c r="ET53" s="32">
        <v>0</v>
      </c>
      <c r="EU53" s="11"/>
      <c r="EV53" s="11"/>
      <c r="EW53" s="11" t="s">
        <v>305</v>
      </c>
      <c r="EX53" s="98" t="s">
        <v>298</v>
      </c>
      <c r="EY53" s="97" t="str">
        <f t="shared" si="11"/>
        <v/>
      </c>
      <c r="EZ53" s="32">
        <v>0</v>
      </c>
      <c r="FA53" s="11"/>
      <c r="FB53" s="11"/>
      <c r="FC53" s="11"/>
      <c r="FD53" s="32">
        <v>0</v>
      </c>
      <c r="FE53" s="11"/>
      <c r="FF53" s="11" t="s">
        <v>296</v>
      </c>
      <c r="FG53" s="32">
        <v>0</v>
      </c>
      <c r="FH53" s="11"/>
      <c r="FI53" s="11"/>
      <c r="FJ53" s="11"/>
      <c r="FK53" s="11"/>
      <c r="FL53" s="11"/>
      <c r="FM53" s="11"/>
      <c r="FN53" s="11"/>
      <c r="FO53" s="11"/>
      <c r="FP53" s="32">
        <v>0</v>
      </c>
      <c r="FQ53" s="11"/>
      <c r="FR53" s="11"/>
      <c r="FS53" s="11"/>
      <c r="FT53" s="10"/>
      <c r="FU53" s="11" t="s">
        <v>351</v>
      </c>
      <c r="FV53" s="11"/>
      <c r="FW53" s="11" t="s">
        <v>675</v>
      </c>
      <c r="FX53" s="32">
        <v>-1</v>
      </c>
      <c r="FY53" s="32">
        <v>-1</v>
      </c>
      <c r="FZ53" s="32">
        <v>-1</v>
      </c>
      <c r="GA53" s="32">
        <v>-1</v>
      </c>
      <c r="GB53" s="32">
        <v>-1</v>
      </c>
      <c r="GC53" s="32">
        <v>-1</v>
      </c>
      <c r="GD53" s="32">
        <v>-1</v>
      </c>
      <c r="GE53" s="32">
        <v>-1</v>
      </c>
      <c r="GF53" s="32">
        <v>-1</v>
      </c>
      <c r="GG53" s="32">
        <v>-1</v>
      </c>
      <c r="GH53" s="32">
        <v>-1</v>
      </c>
      <c r="GI53" s="32">
        <v>-1</v>
      </c>
      <c r="GJ53" s="32">
        <v>-1</v>
      </c>
      <c r="GK53" s="32">
        <v>-1</v>
      </c>
      <c r="GL53" s="32">
        <v>-1</v>
      </c>
      <c r="GM53" s="32">
        <v>-15</v>
      </c>
      <c r="GN53" s="33"/>
      <c r="GO53" s="33"/>
      <c r="GP53" s="11"/>
      <c r="GQ53" s="11" t="s">
        <v>320</v>
      </c>
      <c r="GR53" s="11" t="s">
        <v>277</v>
      </c>
      <c r="GS53" s="32">
        <v>15</v>
      </c>
      <c r="GT53" s="32">
        <v>15</v>
      </c>
      <c r="GU53" s="32">
        <v>65</v>
      </c>
      <c r="GV53" s="32">
        <v>47</v>
      </c>
      <c r="GW53" s="34"/>
    </row>
    <row r="54" spans="1:205" s="45" customFormat="1" ht="13.8" thickBot="1" x14ac:dyDescent="0.3">
      <c r="A54" s="43">
        <v>231</v>
      </c>
      <c r="B54" s="44" t="s">
        <v>376</v>
      </c>
      <c r="C54" s="44">
        <v>72.5</v>
      </c>
      <c r="D54" s="44" t="s">
        <v>353</v>
      </c>
      <c r="E54" s="44" t="s">
        <v>377</v>
      </c>
      <c r="F54" s="44" t="s">
        <v>281</v>
      </c>
      <c r="G54" s="44" t="s">
        <v>281</v>
      </c>
      <c r="H54" s="44" t="s">
        <v>282</v>
      </c>
      <c r="I54" s="44" t="s">
        <v>282</v>
      </c>
      <c r="J54" s="44" t="s">
        <v>282</v>
      </c>
      <c r="K54" s="44" t="s">
        <v>281</v>
      </c>
      <c r="L54" s="44" t="s">
        <v>282</v>
      </c>
      <c r="M54" s="44" t="s">
        <v>282</v>
      </c>
      <c r="N54" s="44" t="s">
        <v>282</v>
      </c>
      <c r="O54" s="43">
        <v>0</v>
      </c>
      <c r="P54" s="44"/>
      <c r="Q54" s="44"/>
      <c r="R54" s="44" t="s">
        <v>423</v>
      </c>
      <c r="S54" s="44"/>
      <c r="T54" s="44"/>
      <c r="U54" s="44"/>
      <c r="V54" s="44"/>
      <c r="W54" s="45" t="s">
        <v>464</v>
      </c>
      <c r="X54" s="44" t="s">
        <v>350</v>
      </c>
      <c r="Y54" s="43">
        <v>1</v>
      </c>
      <c r="Z54" s="44" t="s">
        <v>694</v>
      </c>
      <c r="AA54" s="44"/>
      <c r="AB54" s="44" t="s">
        <v>301</v>
      </c>
      <c r="AC54" s="44" t="s">
        <v>297</v>
      </c>
      <c r="AD54" s="43">
        <v>0</v>
      </c>
      <c r="AE54" s="44"/>
      <c r="AF54" s="44"/>
      <c r="AG54" s="44" t="s">
        <v>288</v>
      </c>
      <c r="AH54" s="98" t="s">
        <v>305</v>
      </c>
      <c r="AI54" s="97" t="str">
        <f t="shared" si="0"/>
        <v/>
      </c>
      <c r="AJ54" s="44" t="s">
        <v>521</v>
      </c>
      <c r="AK54" s="43">
        <v>0</v>
      </c>
      <c r="AL54" s="44"/>
      <c r="AM54" s="44"/>
      <c r="AN54" s="43">
        <v>0</v>
      </c>
      <c r="AO54" s="44"/>
      <c r="AP54" s="44"/>
      <c r="AQ54" s="44" t="s">
        <v>296</v>
      </c>
      <c r="AR54" s="43">
        <v>1</v>
      </c>
      <c r="AS54" s="44" t="s">
        <v>405</v>
      </c>
      <c r="AT54" s="44"/>
      <c r="AU54" s="44" t="s">
        <v>303</v>
      </c>
      <c r="AV54" s="44" t="s">
        <v>297</v>
      </c>
      <c r="AW54" s="43">
        <v>0</v>
      </c>
      <c r="AX54" s="44"/>
      <c r="AY54" s="44"/>
      <c r="AZ54" s="44" t="s">
        <v>288</v>
      </c>
      <c r="BA54" s="98" t="s">
        <v>324</v>
      </c>
      <c r="BB54" s="97" t="str">
        <f t="shared" si="1"/>
        <v/>
      </c>
      <c r="BC54" s="44" t="s">
        <v>287</v>
      </c>
      <c r="BD54" s="43">
        <v>0</v>
      </c>
      <c r="BE54" s="44"/>
      <c r="BF54" s="44"/>
      <c r="BG54" s="43">
        <v>0</v>
      </c>
      <c r="BH54" s="44"/>
      <c r="BI54" s="44" t="s">
        <v>296</v>
      </c>
      <c r="BJ54" s="44" t="s">
        <v>294</v>
      </c>
      <c r="BK54" s="44" t="s">
        <v>297</v>
      </c>
      <c r="BL54" s="43">
        <v>0</v>
      </c>
      <c r="BM54" s="44"/>
      <c r="BN54" s="44"/>
      <c r="BO54" s="44" t="s">
        <v>305</v>
      </c>
      <c r="BP54" s="44" t="s">
        <v>302</v>
      </c>
      <c r="BQ54" s="43">
        <v>0</v>
      </c>
      <c r="BR54" s="44"/>
      <c r="BS54" s="44"/>
      <c r="BT54" s="43">
        <v>0</v>
      </c>
      <c r="BU54" s="44"/>
      <c r="BV54" s="44" t="s">
        <v>296</v>
      </c>
      <c r="BW54" s="43">
        <v>1</v>
      </c>
      <c r="BX54" s="44" t="s">
        <v>588</v>
      </c>
      <c r="BY54" s="44" t="s">
        <v>294</v>
      </c>
      <c r="BZ54" s="44" t="s">
        <v>297</v>
      </c>
      <c r="CA54" s="43">
        <v>0</v>
      </c>
      <c r="CB54" s="44"/>
      <c r="CC54" s="44"/>
      <c r="CD54" s="44" t="s">
        <v>288</v>
      </c>
      <c r="CE54" s="97" t="s">
        <v>288</v>
      </c>
      <c r="CF54" s="97">
        <f t="shared" si="7"/>
        <v>1</v>
      </c>
      <c r="CG54" s="44" t="s">
        <v>297</v>
      </c>
      <c r="CH54" s="43">
        <v>0</v>
      </c>
      <c r="CI54" s="44"/>
      <c r="CJ54" s="44"/>
      <c r="CK54" s="43">
        <v>0</v>
      </c>
      <c r="CL54" s="44"/>
      <c r="CM54" s="44" t="s">
        <v>296</v>
      </c>
      <c r="CN54" s="43">
        <v>1</v>
      </c>
      <c r="CO54" s="44" t="s">
        <v>358</v>
      </c>
      <c r="CP54" s="44"/>
      <c r="CQ54" s="44" t="s">
        <v>303</v>
      </c>
      <c r="CR54" s="44" t="s">
        <v>302</v>
      </c>
      <c r="CS54" s="43">
        <v>0</v>
      </c>
      <c r="CT54" s="44"/>
      <c r="CU54" s="44"/>
      <c r="CV54" s="44" t="s">
        <v>305</v>
      </c>
      <c r="CW54" s="98" t="s">
        <v>305</v>
      </c>
      <c r="CX54" s="97">
        <f t="shared" si="8"/>
        <v>1</v>
      </c>
      <c r="CY54" s="44" t="s">
        <v>302</v>
      </c>
      <c r="CZ54" s="43">
        <v>0</v>
      </c>
      <c r="DA54" s="44"/>
      <c r="DB54" s="44"/>
      <c r="DC54" s="43">
        <v>0</v>
      </c>
      <c r="DD54" s="44"/>
      <c r="DE54" s="44" t="s">
        <v>296</v>
      </c>
      <c r="DF54" s="43">
        <v>1</v>
      </c>
      <c r="DG54" s="44" t="s">
        <v>695</v>
      </c>
      <c r="DH54" s="44"/>
      <c r="DI54" s="44" t="s">
        <v>301</v>
      </c>
      <c r="DJ54" s="44" t="s">
        <v>297</v>
      </c>
      <c r="DK54" s="43">
        <v>0</v>
      </c>
      <c r="DL54" s="44"/>
      <c r="DM54" s="44"/>
      <c r="DN54" s="44" t="s">
        <v>324</v>
      </c>
      <c r="DO54" s="98" t="s">
        <v>324</v>
      </c>
      <c r="DP54" s="97">
        <f t="shared" si="9"/>
        <v>1</v>
      </c>
      <c r="DQ54" s="44" t="s">
        <v>302</v>
      </c>
      <c r="DR54" s="43">
        <v>0</v>
      </c>
      <c r="DS54" s="44"/>
      <c r="DT54" s="44"/>
      <c r="DU54" s="43">
        <v>0</v>
      </c>
      <c r="DV54" s="44"/>
      <c r="DW54" s="44" t="s">
        <v>296</v>
      </c>
      <c r="DX54" s="43">
        <v>1</v>
      </c>
      <c r="DY54" s="44" t="s">
        <v>696</v>
      </c>
      <c r="DZ54" s="44"/>
      <c r="EA54" s="44" t="s">
        <v>303</v>
      </c>
      <c r="EB54" s="44" t="s">
        <v>331</v>
      </c>
      <c r="EC54" s="43">
        <v>0</v>
      </c>
      <c r="ED54" s="44"/>
      <c r="EE54" s="44"/>
      <c r="EF54" s="44" t="s">
        <v>298</v>
      </c>
      <c r="EG54" s="98" t="s">
        <v>298</v>
      </c>
      <c r="EH54" s="97">
        <f t="shared" si="10"/>
        <v>1</v>
      </c>
      <c r="EI54" s="44" t="s">
        <v>331</v>
      </c>
      <c r="EJ54" s="43">
        <v>0</v>
      </c>
      <c r="EK54" s="44"/>
      <c r="EL54" s="44"/>
      <c r="EM54" s="44"/>
      <c r="EN54" s="44"/>
      <c r="EO54" s="44" t="s">
        <v>292</v>
      </c>
      <c r="EP54" s="43">
        <v>1</v>
      </c>
      <c r="EQ54" s="44" t="s">
        <v>697</v>
      </c>
      <c r="ER54" s="44" t="s">
        <v>294</v>
      </c>
      <c r="ES54" s="44" t="s">
        <v>302</v>
      </c>
      <c r="ET54" s="43">
        <v>0</v>
      </c>
      <c r="EU54" s="44"/>
      <c r="EV54" s="44"/>
      <c r="EW54" s="44" t="s">
        <v>305</v>
      </c>
      <c r="EX54" s="98" t="s">
        <v>298</v>
      </c>
      <c r="EY54" s="97" t="str">
        <f t="shared" si="11"/>
        <v/>
      </c>
      <c r="EZ54" s="43">
        <v>0</v>
      </c>
      <c r="FA54" s="44"/>
      <c r="FB54" s="44"/>
      <c r="FC54" s="44"/>
      <c r="FD54" s="43">
        <v>0</v>
      </c>
      <c r="FE54" s="44"/>
      <c r="FF54" s="44" t="s">
        <v>328</v>
      </c>
      <c r="FG54" s="43">
        <v>0</v>
      </c>
      <c r="FH54" s="44"/>
      <c r="FI54" s="44"/>
      <c r="FJ54" s="44"/>
      <c r="FK54" s="44"/>
      <c r="FL54" s="44"/>
      <c r="FM54" s="44"/>
      <c r="FN54" s="44"/>
      <c r="FO54" s="44"/>
      <c r="FP54" s="43">
        <v>1</v>
      </c>
      <c r="FQ54" s="44" t="s">
        <v>698</v>
      </c>
      <c r="FR54" s="44"/>
      <c r="FS54" s="44"/>
      <c r="FU54" s="44" t="s">
        <v>335</v>
      </c>
      <c r="FV54" s="44"/>
      <c r="FW54" s="44"/>
      <c r="FX54" s="43">
        <v>-1</v>
      </c>
      <c r="FY54" s="43">
        <v>-1</v>
      </c>
      <c r="FZ54" s="43">
        <v>-1</v>
      </c>
      <c r="GA54" s="43">
        <v>-1</v>
      </c>
      <c r="GB54" s="43">
        <v>-1</v>
      </c>
      <c r="GC54" s="43">
        <v>-1</v>
      </c>
      <c r="GD54" s="43">
        <v>-1</v>
      </c>
      <c r="GE54" s="43">
        <v>-1</v>
      </c>
      <c r="GF54" s="43">
        <v>-1</v>
      </c>
      <c r="GG54" s="43">
        <v>-1</v>
      </c>
      <c r="GH54" s="43">
        <v>-1</v>
      </c>
      <c r="GI54" s="43">
        <v>-1</v>
      </c>
      <c r="GJ54" s="43">
        <v>-1</v>
      </c>
      <c r="GK54" s="43">
        <v>-1</v>
      </c>
      <c r="GL54" s="43">
        <v>-1</v>
      </c>
      <c r="GM54" s="43">
        <v>-15</v>
      </c>
      <c r="GN54" s="46"/>
      <c r="GO54" s="46"/>
      <c r="GP54" s="44" t="s">
        <v>319</v>
      </c>
      <c r="GQ54" s="44" t="s">
        <v>320</v>
      </c>
      <c r="GR54" s="44" t="s">
        <v>277</v>
      </c>
      <c r="GS54" s="43">
        <v>15</v>
      </c>
      <c r="GT54" s="43">
        <v>15</v>
      </c>
      <c r="GU54" s="43">
        <v>38</v>
      </c>
      <c r="GV54" s="43">
        <v>10</v>
      </c>
      <c r="GW54" s="47"/>
    </row>
    <row r="55" spans="1:205" s="86" customFormat="1" ht="13.8" thickBot="1" x14ac:dyDescent="0.3">
      <c r="A55" s="84">
        <v>232</v>
      </c>
      <c r="B55" s="85" t="s">
        <v>676</v>
      </c>
      <c r="C55" s="85">
        <v>85</v>
      </c>
      <c r="D55" s="85" t="s">
        <v>279</v>
      </c>
      <c r="E55" s="85" t="s">
        <v>320</v>
      </c>
      <c r="F55" s="85" t="s">
        <v>282</v>
      </c>
      <c r="G55" s="85" t="s">
        <v>282</v>
      </c>
      <c r="H55" s="85" t="s">
        <v>281</v>
      </c>
      <c r="I55" s="85" t="s">
        <v>282</v>
      </c>
      <c r="J55" s="85" t="s">
        <v>282</v>
      </c>
      <c r="K55" s="85" t="s">
        <v>282</v>
      </c>
      <c r="L55" s="85" t="s">
        <v>282</v>
      </c>
      <c r="M55" s="85" t="s">
        <v>282</v>
      </c>
      <c r="N55" s="85" t="s">
        <v>282</v>
      </c>
      <c r="O55" s="84">
        <v>0</v>
      </c>
      <c r="P55" s="85"/>
      <c r="Q55" s="85"/>
      <c r="R55" s="85" t="s">
        <v>423</v>
      </c>
      <c r="S55" s="85"/>
      <c r="T55" s="85"/>
      <c r="U55" s="85"/>
      <c r="V55" s="85" t="s">
        <v>354</v>
      </c>
      <c r="W55" s="86" t="s">
        <v>464</v>
      </c>
      <c r="X55" s="85" t="s">
        <v>437</v>
      </c>
      <c r="Y55" s="84">
        <v>1</v>
      </c>
      <c r="Z55" s="85" t="s">
        <v>694</v>
      </c>
      <c r="AA55" s="85"/>
      <c r="AB55" s="85" t="s">
        <v>294</v>
      </c>
      <c r="AC55" s="85" t="s">
        <v>297</v>
      </c>
      <c r="AD55" s="84">
        <v>0</v>
      </c>
      <c r="AE55" s="85"/>
      <c r="AF55" s="85"/>
      <c r="AG55" s="85" t="s">
        <v>288</v>
      </c>
      <c r="AH55" s="98" t="s">
        <v>305</v>
      </c>
      <c r="AI55" s="97" t="str">
        <f t="shared" si="0"/>
        <v/>
      </c>
      <c r="AJ55" s="85" t="s">
        <v>521</v>
      </c>
      <c r="AK55" s="84">
        <v>0</v>
      </c>
      <c r="AL55" s="85"/>
      <c r="AM55" s="85"/>
      <c r="AN55" s="84">
        <v>0</v>
      </c>
      <c r="AO55" s="85"/>
      <c r="AP55" s="85"/>
      <c r="AQ55" s="85" t="s">
        <v>296</v>
      </c>
      <c r="AR55" s="84">
        <v>1</v>
      </c>
      <c r="AS55" s="85" t="s">
        <v>699</v>
      </c>
      <c r="AT55" s="85"/>
      <c r="AU55" s="85" t="s">
        <v>303</v>
      </c>
      <c r="AV55" s="85" t="s">
        <v>297</v>
      </c>
      <c r="AW55" s="84">
        <v>0</v>
      </c>
      <c r="AX55" s="85"/>
      <c r="AY55" s="85"/>
      <c r="AZ55" s="85" t="s">
        <v>288</v>
      </c>
      <c r="BA55" s="98" t="s">
        <v>324</v>
      </c>
      <c r="BB55" s="97" t="str">
        <f t="shared" si="1"/>
        <v/>
      </c>
      <c r="BC55" s="85" t="s">
        <v>287</v>
      </c>
      <c r="BD55" s="84">
        <v>0</v>
      </c>
      <c r="BE55" s="85"/>
      <c r="BF55" s="85"/>
      <c r="BG55" s="84">
        <v>0</v>
      </c>
      <c r="BH55" s="85"/>
      <c r="BI55" s="85" t="s">
        <v>296</v>
      </c>
      <c r="BJ55" s="85" t="s">
        <v>303</v>
      </c>
      <c r="BK55" s="85" t="s">
        <v>331</v>
      </c>
      <c r="BL55" s="84">
        <v>0</v>
      </c>
      <c r="BM55" s="85"/>
      <c r="BN55" s="85"/>
      <c r="BO55" s="85" t="s">
        <v>298</v>
      </c>
      <c r="BP55" s="85" t="s">
        <v>331</v>
      </c>
      <c r="BQ55" s="84">
        <v>0</v>
      </c>
      <c r="BR55" s="85"/>
      <c r="BS55" s="85"/>
      <c r="BT55" s="84">
        <v>0</v>
      </c>
      <c r="BU55" s="85"/>
      <c r="BV55" s="85" t="s">
        <v>296</v>
      </c>
      <c r="BW55" s="84">
        <v>1</v>
      </c>
      <c r="BX55" s="85" t="s">
        <v>588</v>
      </c>
      <c r="BY55" s="85" t="s">
        <v>294</v>
      </c>
      <c r="BZ55" s="85" t="s">
        <v>297</v>
      </c>
      <c r="CA55" s="84">
        <v>0</v>
      </c>
      <c r="CB55" s="85"/>
      <c r="CC55" s="85"/>
      <c r="CD55" s="85" t="s">
        <v>288</v>
      </c>
      <c r="CE55" s="97" t="s">
        <v>288</v>
      </c>
      <c r="CF55" s="97">
        <f t="shared" si="7"/>
        <v>1</v>
      </c>
      <c r="CG55" s="85" t="s">
        <v>297</v>
      </c>
      <c r="CH55" s="84">
        <v>0</v>
      </c>
      <c r="CI55" s="85"/>
      <c r="CJ55" s="85"/>
      <c r="CK55" s="84">
        <v>0</v>
      </c>
      <c r="CL55" s="85"/>
      <c r="CM55" s="85" t="s">
        <v>296</v>
      </c>
      <c r="CN55" s="84">
        <v>1</v>
      </c>
      <c r="CO55" s="85" t="s">
        <v>359</v>
      </c>
      <c r="CP55" s="85"/>
      <c r="CQ55" s="85" t="s">
        <v>303</v>
      </c>
      <c r="CR55" s="85" t="s">
        <v>297</v>
      </c>
      <c r="CS55" s="84">
        <v>0</v>
      </c>
      <c r="CT55" s="85"/>
      <c r="CU55" s="85"/>
      <c r="CV55" s="85" t="s">
        <v>305</v>
      </c>
      <c r="CW55" s="98" t="s">
        <v>305</v>
      </c>
      <c r="CX55" s="97">
        <f t="shared" ref="CX55" si="12">IF(CW55=CV55,1,"")</f>
        <v>1</v>
      </c>
      <c r="CY55" s="85" t="s">
        <v>287</v>
      </c>
      <c r="CZ55" s="84">
        <v>0</v>
      </c>
      <c r="DA55" s="85"/>
      <c r="DB55" s="85"/>
      <c r="DC55" s="84">
        <v>0</v>
      </c>
      <c r="DD55" s="85"/>
      <c r="DE55" s="85" t="s">
        <v>296</v>
      </c>
      <c r="DF55" s="84">
        <v>1</v>
      </c>
      <c r="DG55" s="85" t="s">
        <v>700</v>
      </c>
      <c r="DH55" s="85"/>
      <c r="DI55" s="85" t="s">
        <v>303</v>
      </c>
      <c r="DJ55" s="85" t="s">
        <v>302</v>
      </c>
      <c r="DK55" s="84">
        <v>0</v>
      </c>
      <c r="DL55" s="85"/>
      <c r="DM55" s="85"/>
      <c r="DN55" s="85" t="s">
        <v>305</v>
      </c>
      <c r="DO55" s="98" t="s">
        <v>305</v>
      </c>
      <c r="DP55" s="97">
        <f t="shared" si="9"/>
        <v>1</v>
      </c>
      <c r="DQ55" s="85" t="s">
        <v>302</v>
      </c>
      <c r="DR55" s="84">
        <v>0</v>
      </c>
      <c r="DS55" s="85"/>
      <c r="DT55" s="85"/>
      <c r="DU55" s="84">
        <v>0</v>
      </c>
      <c r="DV55" s="85"/>
      <c r="DW55" s="85" t="s">
        <v>296</v>
      </c>
      <c r="DX55" s="84">
        <v>1</v>
      </c>
      <c r="DY55" s="85" t="s">
        <v>696</v>
      </c>
      <c r="DZ55" s="85"/>
      <c r="EA55" s="85" t="s">
        <v>303</v>
      </c>
      <c r="EB55" s="85" t="s">
        <v>331</v>
      </c>
      <c r="EC55" s="84">
        <v>0</v>
      </c>
      <c r="ED55" s="85"/>
      <c r="EE55" s="85"/>
      <c r="EF55" s="85" t="s">
        <v>298</v>
      </c>
      <c r="EG55" s="98" t="s">
        <v>298</v>
      </c>
      <c r="EH55" s="97">
        <f t="shared" si="10"/>
        <v>1</v>
      </c>
      <c r="EI55" s="85" t="s">
        <v>331</v>
      </c>
      <c r="EJ55" s="84">
        <v>0</v>
      </c>
      <c r="EK55" s="85"/>
      <c r="EL55" s="85"/>
      <c r="EM55" s="85"/>
      <c r="EN55" s="85"/>
      <c r="EO55" s="85" t="s">
        <v>292</v>
      </c>
      <c r="EP55" s="84">
        <v>1</v>
      </c>
      <c r="EQ55" s="85" t="s">
        <v>697</v>
      </c>
      <c r="ER55" s="85" t="s">
        <v>294</v>
      </c>
      <c r="ES55" s="85" t="s">
        <v>302</v>
      </c>
      <c r="ET55" s="84">
        <v>0</v>
      </c>
      <c r="EU55" s="85"/>
      <c r="EV55" s="85"/>
      <c r="EW55" s="85" t="s">
        <v>305</v>
      </c>
      <c r="EX55" s="98" t="s">
        <v>298</v>
      </c>
      <c r="EY55" s="97" t="str">
        <f t="shared" si="11"/>
        <v/>
      </c>
      <c r="EZ55" s="84">
        <v>0</v>
      </c>
      <c r="FA55" s="85"/>
      <c r="FB55" s="85"/>
      <c r="FC55" s="85"/>
      <c r="FD55" s="84">
        <v>0</v>
      </c>
      <c r="FE55" s="85"/>
      <c r="FF55" s="85" t="s">
        <v>328</v>
      </c>
      <c r="FG55" s="84">
        <v>0</v>
      </c>
      <c r="FH55" s="85"/>
      <c r="FI55" s="85"/>
      <c r="FJ55" s="85"/>
      <c r="FK55" s="85"/>
      <c r="FL55" s="85"/>
      <c r="FM55" s="85"/>
      <c r="FN55" s="85"/>
      <c r="FO55" s="85"/>
      <c r="FP55" s="84">
        <v>1</v>
      </c>
      <c r="FQ55" s="85" t="s">
        <v>701</v>
      </c>
      <c r="FR55" s="85"/>
      <c r="FS55" s="85"/>
      <c r="FU55" s="85" t="s">
        <v>335</v>
      </c>
      <c r="FV55" s="85"/>
      <c r="FW55" s="85"/>
      <c r="FX55" s="84">
        <v>-1</v>
      </c>
      <c r="FY55" s="84">
        <v>-1</v>
      </c>
      <c r="FZ55" s="84">
        <v>-1</v>
      </c>
      <c r="GA55" s="84">
        <v>-1</v>
      </c>
      <c r="GB55" s="84">
        <v>-1</v>
      </c>
      <c r="GC55" s="84">
        <v>-1</v>
      </c>
      <c r="GD55" s="84">
        <v>-1</v>
      </c>
      <c r="GE55" s="84">
        <v>-1</v>
      </c>
      <c r="GF55" s="84">
        <v>-1</v>
      </c>
      <c r="GG55" s="84">
        <v>-1</v>
      </c>
      <c r="GH55" s="84">
        <v>-1</v>
      </c>
      <c r="GI55" s="84">
        <v>-1</v>
      </c>
      <c r="GJ55" s="84">
        <v>-1</v>
      </c>
      <c r="GK55" s="84">
        <v>-1</v>
      </c>
      <c r="GL55" s="84">
        <v>-1</v>
      </c>
      <c r="GM55" s="84">
        <v>-15</v>
      </c>
      <c r="GN55" s="87"/>
      <c r="GO55" s="87"/>
      <c r="GP55" s="85" t="s">
        <v>319</v>
      </c>
      <c r="GQ55" s="85" t="s">
        <v>320</v>
      </c>
      <c r="GR55" s="85" t="s">
        <v>277</v>
      </c>
      <c r="GS55" s="84">
        <v>15</v>
      </c>
      <c r="GT55" s="84">
        <v>15</v>
      </c>
      <c r="GU55" s="84">
        <v>38</v>
      </c>
      <c r="GV55" s="84">
        <v>10</v>
      </c>
      <c r="GW55" s="88"/>
    </row>
    <row r="56" spans="1:205" s="45" customFormat="1" ht="13.8" thickBot="1" x14ac:dyDescent="0.3">
      <c r="A56" s="43"/>
      <c r="B56" s="44"/>
      <c r="C56" s="44"/>
      <c r="D56" s="44"/>
      <c r="E56" s="44"/>
      <c r="F56" s="44"/>
      <c r="G56" s="44"/>
      <c r="H56" s="44"/>
      <c r="I56" s="44"/>
      <c r="J56" s="44"/>
      <c r="K56" s="44"/>
      <c r="L56" s="44"/>
      <c r="M56" s="44"/>
      <c r="N56" s="44"/>
      <c r="O56" s="43"/>
      <c r="P56" s="44"/>
      <c r="Q56" s="44"/>
      <c r="R56" s="44"/>
      <c r="S56" s="44"/>
      <c r="T56" s="44"/>
      <c r="U56" s="44"/>
      <c r="V56" s="44"/>
      <c r="X56" s="44"/>
      <c r="Y56" s="43"/>
      <c r="Z56" s="44"/>
      <c r="AA56" s="44"/>
      <c r="AB56" s="44"/>
      <c r="AC56" s="44"/>
      <c r="AD56" s="43"/>
      <c r="AE56" s="44"/>
      <c r="AF56" s="44"/>
      <c r="AG56" s="44"/>
      <c r="AH56" s="98"/>
      <c r="AI56" s="97">
        <f>COUNTIF(AI33:AI55,1)</f>
        <v>7</v>
      </c>
      <c r="AJ56" s="44"/>
      <c r="AK56" s="43"/>
      <c r="AL56" s="44"/>
      <c r="AM56" s="44"/>
      <c r="AN56" s="43"/>
      <c r="AO56" s="44"/>
      <c r="AP56" s="44"/>
      <c r="AQ56" s="44"/>
      <c r="AR56" s="43"/>
      <c r="AS56" s="44"/>
      <c r="AT56" s="44"/>
      <c r="AU56" s="44"/>
      <c r="AV56" s="44"/>
      <c r="AW56" s="43"/>
      <c r="AX56" s="44"/>
      <c r="AY56" s="44"/>
      <c r="AZ56" s="44"/>
      <c r="BA56" s="98"/>
      <c r="BB56" s="97">
        <f>COUNTIF(BB33:BB55,1)</f>
        <v>1</v>
      </c>
      <c r="BC56" s="44"/>
      <c r="BD56" s="43"/>
      <c r="BE56" s="44"/>
      <c r="BF56" s="44"/>
      <c r="BG56" s="43"/>
      <c r="BH56" s="44"/>
      <c r="BI56" s="44"/>
      <c r="BJ56" s="44"/>
      <c r="BK56" s="44"/>
      <c r="BL56" s="43"/>
      <c r="BM56" s="44"/>
      <c r="BN56" s="44"/>
      <c r="BO56" s="44"/>
      <c r="BP56" s="44"/>
      <c r="BQ56" s="43"/>
      <c r="BR56" s="44"/>
      <c r="BS56" s="44"/>
      <c r="BT56" s="43"/>
      <c r="BU56" s="44"/>
      <c r="BV56" s="44"/>
      <c r="BW56" s="43"/>
      <c r="BX56" s="44"/>
      <c r="BY56" s="44"/>
      <c r="BZ56" s="44"/>
      <c r="CA56" s="43"/>
      <c r="CB56" s="44"/>
      <c r="CC56" s="44"/>
      <c r="CD56" s="44"/>
      <c r="CE56" s="97"/>
      <c r="CF56" s="97">
        <f>COUNTIF(CF33:CF55,1)</f>
        <v>11</v>
      </c>
      <c r="CG56" s="44"/>
      <c r="CH56" s="43"/>
      <c r="CI56" s="44"/>
      <c r="CJ56" s="44"/>
      <c r="CK56" s="43"/>
      <c r="CL56" s="44"/>
      <c r="CM56" s="44"/>
      <c r="CN56" s="43"/>
      <c r="CO56" s="44"/>
      <c r="CP56" s="44"/>
      <c r="CQ56" s="44"/>
      <c r="CR56" s="44"/>
      <c r="CS56" s="43"/>
      <c r="CT56" s="44"/>
      <c r="CU56" s="44"/>
      <c r="CV56" s="44"/>
      <c r="CW56" s="98"/>
      <c r="CX56" s="97">
        <f>COUNTIF(CX33:CX55,1)</f>
        <v>9</v>
      </c>
      <c r="CY56" s="44"/>
      <c r="CZ56" s="43"/>
      <c r="DA56" s="44"/>
      <c r="DB56" s="44"/>
      <c r="DC56" s="43"/>
      <c r="DD56" s="44"/>
      <c r="DE56" s="44"/>
      <c r="DF56" s="43"/>
      <c r="DG56" s="44"/>
      <c r="DH56" s="44"/>
      <c r="DI56" s="44"/>
      <c r="DJ56" s="44"/>
      <c r="DK56" s="43"/>
      <c r="DL56" s="44"/>
      <c r="DM56" s="44"/>
      <c r="DN56" s="44"/>
      <c r="DO56" s="98"/>
      <c r="DP56" s="97">
        <f>COUNTIF(DP33:DP55,1)</f>
        <v>11</v>
      </c>
      <c r="DQ56" s="44"/>
      <c r="DR56" s="43"/>
      <c r="DS56" s="44"/>
      <c r="DT56" s="44"/>
      <c r="DU56" s="43"/>
      <c r="DV56" s="44"/>
      <c r="DW56" s="44"/>
      <c r="DX56" s="43"/>
      <c r="DY56" s="44"/>
      <c r="DZ56" s="44"/>
      <c r="EA56" s="44"/>
      <c r="EB56" s="44"/>
      <c r="EC56" s="43"/>
      <c r="ED56" s="44"/>
      <c r="EE56" s="44"/>
      <c r="EF56" s="44"/>
      <c r="EG56" s="98"/>
      <c r="EH56" s="97">
        <f>COUNTIF(EH33:EH55,1)</f>
        <v>13</v>
      </c>
      <c r="EI56" s="44"/>
      <c r="EJ56" s="43"/>
      <c r="EK56" s="44"/>
      <c r="EL56" s="44"/>
      <c r="EM56" s="44"/>
      <c r="EN56" s="44"/>
      <c r="EO56" s="44"/>
      <c r="EP56" s="43"/>
      <c r="EQ56" s="44"/>
      <c r="ER56" s="44"/>
      <c r="ES56" s="44"/>
      <c r="ET56" s="43"/>
      <c r="EU56" s="44"/>
      <c r="EV56" s="44"/>
      <c r="EW56" s="44"/>
      <c r="EX56" s="98"/>
      <c r="EY56" s="97">
        <f>COUNTIF(EY33:EY55,1)</f>
        <v>5</v>
      </c>
      <c r="EZ56" s="43"/>
      <c r="FA56" s="44"/>
      <c r="FB56" s="44"/>
      <c r="FC56" s="44"/>
      <c r="FD56" s="43"/>
      <c r="FE56" s="44"/>
      <c r="FF56" s="44"/>
      <c r="FG56" s="43"/>
      <c r="FH56" s="44"/>
      <c r="FI56" s="44"/>
      <c r="FJ56" s="44"/>
      <c r="FK56" s="44"/>
      <c r="FL56" s="44"/>
      <c r="FM56" s="44"/>
      <c r="FN56" s="44"/>
      <c r="FO56" s="44"/>
      <c r="FP56" s="43"/>
      <c r="FQ56" s="44"/>
      <c r="FR56" s="44"/>
      <c r="FS56" s="44"/>
      <c r="FU56" s="44"/>
      <c r="FV56" s="44"/>
      <c r="FW56" s="44"/>
      <c r="FX56" s="43"/>
      <c r="FY56" s="43"/>
      <c r="FZ56" s="43"/>
      <c r="GA56" s="43"/>
      <c r="GB56" s="43"/>
      <c r="GC56" s="43"/>
      <c r="GD56" s="43"/>
      <c r="GE56" s="43"/>
      <c r="GF56" s="43"/>
      <c r="GG56" s="43"/>
      <c r="GH56" s="43"/>
      <c r="GI56" s="43"/>
      <c r="GJ56" s="43"/>
      <c r="GK56" s="43"/>
      <c r="GL56" s="43"/>
      <c r="GM56" s="43"/>
      <c r="GN56" s="46"/>
      <c r="GO56" s="46"/>
      <c r="GP56" s="44"/>
      <c r="GQ56" s="44"/>
      <c r="GR56" s="44"/>
      <c r="GS56" s="43"/>
      <c r="GT56" s="43"/>
      <c r="GU56" s="43"/>
      <c r="GV56" s="43"/>
      <c r="GW56" s="47"/>
    </row>
    <row r="57" spans="1:205" s="45" customFormat="1" ht="13.8" thickBot="1" x14ac:dyDescent="0.3">
      <c r="A57" s="43"/>
      <c r="B57" s="44"/>
      <c r="C57" s="44"/>
      <c r="D57" s="44"/>
      <c r="E57" s="44"/>
      <c r="F57" s="44"/>
      <c r="G57" s="44"/>
      <c r="H57" s="44"/>
      <c r="I57" s="44"/>
      <c r="J57" s="44"/>
      <c r="K57" s="44"/>
      <c r="L57" s="44"/>
      <c r="M57" s="44"/>
      <c r="N57" s="44"/>
      <c r="O57" s="43"/>
      <c r="P57" s="44"/>
      <c r="Q57" s="44"/>
      <c r="R57" s="44"/>
      <c r="S57" s="44"/>
      <c r="T57" s="44"/>
      <c r="U57" s="44"/>
      <c r="V57" s="44"/>
      <c r="X57" s="44"/>
      <c r="Y57" s="43"/>
      <c r="Z57" s="44"/>
      <c r="AA57" s="44"/>
      <c r="AB57" s="44"/>
      <c r="AC57" s="44"/>
      <c r="AD57" s="43"/>
      <c r="AE57" s="44"/>
      <c r="AF57" s="44"/>
      <c r="AG57" s="97" t="s">
        <v>846</v>
      </c>
      <c r="AH57" s="98"/>
      <c r="AI57" s="97">
        <f>COUNTIFS(AG32:AG55, "&lt;&gt;", AH32:AH55, "&lt;&gt;")</f>
        <v>14</v>
      </c>
      <c r="AJ57" s="101">
        <f>AI56/AI57</f>
        <v>0.5</v>
      </c>
      <c r="AK57" s="43"/>
      <c r="AL57" s="44"/>
      <c r="AM57" s="44"/>
      <c r="AN57" s="43"/>
      <c r="AO57" s="44"/>
      <c r="AP57" s="44"/>
      <c r="AQ57" s="44"/>
      <c r="AR57" s="43"/>
      <c r="AS57" s="44"/>
      <c r="AT57" s="44"/>
      <c r="AU57" s="44"/>
      <c r="AV57" s="44"/>
      <c r="AW57" s="43"/>
      <c r="AX57" s="44"/>
      <c r="AY57" s="44"/>
      <c r="AZ57" s="97" t="s">
        <v>846</v>
      </c>
      <c r="BA57" s="98"/>
      <c r="BB57" s="97">
        <f>COUNTIFS(AZ32:AZ55, "&lt;&gt;", BA32:BA55, "&lt;&gt;")</f>
        <v>8</v>
      </c>
      <c r="BC57" s="101">
        <f>BB56/BB57</f>
        <v>0.125</v>
      </c>
      <c r="BD57" s="43"/>
      <c r="BE57" s="44"/>
      <c r="BF57" s="44"/>
      <c r="BG57" s="43"/>
      <c r="BH57" s="44"/>
      <c r="BI57" s="44"/>
      <c r="BJ57" s="44"/>
      <c r="BK57" s="44"/>
      <c r="BL57" s="43"/>
      <c r="BM57" s="44"/>
      <c r="BN57" s="44"/>
      <c r="BO57" s="44"/>
      <c r="BP57" s="44"/>
      <c r="BQ57" s="43"/>
      <c r="BR57" s="44"/>
      <c r="BS57" s="44"/>
      <c r="BT57" s="43"/>
      <c r="BU57" s="44"/>
      <c r="BV57" s="44"/>
      <c r="BW57" s="43"/>
      <c r="BX57" s="44"/>
      <c r="BY57" s="44"/>
      <c r="BZ57" s="44"/>
      <c r="CA57" s="43"/>
      <c r="CB57" s="44"/>
      <c r="CC57" s="44"/>
      <c r="CD57" s="97" t="s">
        <v>846</v>
      </c>
      <c r="CE57" s="98"/>
      <c r="CF57" s="97">
        <f>COUNTIFS(CD32:CD55, "&lt;&gt;", CE32:CE55, "&lt;&gt;")</f>
        <v>15</v>
      </c>
      <c r="CG57" s="101">
        <f>CF56/CF57</f>
        <v>0.73333333333333328</v>
      </c>
      <c r="CH57" s="43"/>
      <c r="CI57" s="44"/>
      <c r="CJ57" s="44"/>
      <c r="CK57" s="43"/>
      <c r="CL57" s="44"/>
      <c r="CM57" s="44"/>
      <c r="CN57" s="43"/>
      <c r="CO57" s="44"/>
      <c r="CP57" s="44"/>
      <c r="CQ57" s="44"/>
      <c r="CR57" s="44"/>
      <c r="CS57" s="43"/>
      <c r="CT57" s="44"/>
      <c r="CU57" s="44"/>
      <c r="CV57" s="97" t="s">
        <v>846</v>
      </c>
      <c r="CW57" s="98"/>
      <c r="CX57" s="97">
        <f>COUNTIFS(CV32:CV55, "&lt;&gt;", CW32:CW55, "&lt;&gt;")</f>
        <v>16</v>
      </c>
      <c r="CY57" s="101">
        <f>CX56/CX57</f>
        <v>0.5625</v>
      </c>
      <c r="CZ57" s="43"/>
      <c r="DA57" s="44"/>
      <c r="DB57" s="44"/>
      <c r="DC57" s="43"/>
      <c r="DD57" s="44"/>
      <c r="DE57" s="44"/>
      <c r="DF57" s="43"/>
      <c r="DG57" s="44"/>
      <c r="DH57" s="44"/>
      <c r="DI57" s="44"/>
      <c r="DJ57" s="44"/>
      <c r="DK57" s="43"/>
      <c r="DL57" s="44"/>
      <c r="DM57" s="44"/>
      <c r="DN57" s="97" t="s">
        <v>846</v>
      </c>
      <c r="DO57" s="98"/>
      <c r="DP57" s="97">
        <f>COUNTIFS(DN32:DN55, "&lt;&gt;", DO32:DO55, "&lt;&gt;")</f>
        <v>11</v>
      </c>
      <c r="DQ57" s="101">
        <f>DP56/DP57</f>
        <v>1</v>
      </c>
      <c r="DR57" s="43"/>
      <c r="DS57" s="44"/>
      <c r="DT57" s="44"/>
      <c r="DU57" s="43"/>
      <c r="DV57" s="44"/>
      <c r="DW57" s="44"/>
      <c r="DX57" s="43"/>
      <c r="DY57" s="44"/>
      <c r="DZ57" s="44"/>
      <c r="EA57" s="44"/>
      <c r="EB57" s="44"/>
      <c r="EC57" s="43"/>
      <c r="ED57" s="44"/>
      <c r="EE57" s="44"/>
      <c r="EF57" s="97" t="s">
        <v>846</v>
      </c>
      <c r="EG57" s="98"/>
      <c r="EH57" s="97">
        <f>COUNTIFS(EF32:EF55, "&lt;&gt;", EG32:EG55, "&lt;&gt;")</f>
        <v>16</v>
      </c>
      <c r="EI57" s="101">
        <f>EH56/EH57</f>
        <v>0.8125</v>
      </c>
      <c r="EJ57" s="43"/>
      <c r="EK57" s="44"/>
      <c r="EL57" s="44"/>
      <c r="EM57" s="44"/>
      <c r="EN57" s="44"/>
      <c r="EO57" s="44"/>
      <c r="EP57" s="43"/>
      <c r="EQ57" s="44"/>
      <c r="ER57" s="44"/>
      <c r="ES57" s="44"/>
      <c r="ET57" s="43"/>
      <c r="EU57" s="44"/>
      <c r="EV57" s="44"/>
      <c r="EW57" s="97" t="s">
        <v>846</v>
      </c>
      <c r="EX57" s="98"/>
      <c r="EY57" s="97">
        <f>COUNTIFS(EW32:EW55, "&lt;&gt;", EX32:EX55, "&lt;&gt;")</f>
        <v>18</v>
      </c>
      <c r="EZ57" s="101">
        <f>EY56/EY57</f>
        <v>0.27777777777777779</v>
      </c>
      <c r="FA57" s="44"/>
      <c r="FB57" s="44"/>
      <c r="FC57" s="44"/>
      <c r="FD57" s="43"/>
      <c r="FE57" s="44"/>
      <c r="FF57" s="44"/>
      <c r="FG57" s="43"/>
      <c r="FH57" s="44"/>
      <c r="FI57" s="44"/>
      <c r="FJ57" s="44"/>
      <c r="FK57" s="44"/>
      <c r="FL57" s="44"/>
      <c r="FM57" s="44"/>
      <c r="FN57" s="44"/>
      <c r="FO57" s="44"/>
      <c r="FP57" s="43"/>
      <c r="FQ57" s="44"/>
      <c r="FR57" s="44"/>
      <c r="FS57" s="44"/>
      <c r="FU57" s="44"/>
      <c r="FV57" s="44"/>
      <c r="FW57" s="44"/>
      <c r="FX57" s="43"/>
      <c r="FY57" s="43"/>
      <c r="FZ57" s="43"/>
      <c r="GA57" s="43"/>
      <c r="GB57" s="43"/>
      <c r="GC57" s="43"/>
      <c r="GD57" s="43"/>
      <c r="GE57" s="43"/>
      <c r="GF57" s="43"/>
      <c r="GG57" s="43"/>
      <c r="GH57" s="43"/>
      <c r="GI57" s="43"/>
      <c r="GJ57" s="43"/>
      <c r="GK57" s="43"/>
      <c r="GL57" s="43"/>
      <c r="GM57" s="43"/>
      <c r="GN57" s="46"/>
      <c r="GO57" s="46"/>
      <c r="GP57" s="44"/>
      <c r="GQ57" s="44"/>
      <c r="GR57" s="44"/>
      <c r="GS57" s="43"/>
      <c r="GT57" s="43"/>
      <c r="GU57" s="43"/>
      <c r="GV57" s="43"/>
      <c r="GW57" s="47"/>
    </row>
    <row r="58" spans="1:205" s="45" customFormat="1" ht="13.8" thickBot="1" x14ac:dyDescent="0.3">
      <c r="A58" s="13">
        <v>117</v>
      </c>
      <c r="B58" s="20" t="s">
        <v>278</v>
      </c>
      <c r="C58" s="20">
        <v>10</v>
      </c>
      <c r="D58" s="14" t="s">
        <v>279</v>
      </c>
      <c r="E58" s="14" t="s">
        <v>280</v>
      </c>
      <c r="F58" s="14" t="s">
        <v>281</v>
      </c>
      <c r="G58" s="14" t="s">
        <v>281</v>
      </c>
      <c r="H58" s="14" t="s">
        <v>282</v>
      </c>
      <c r="I58" s="14" t="s">
        <v>281</v>
      </c>
      <c r="J58" s="14" t="s">
        <v>282</v>
      </c>
      <c r="K58" s="14" t="s">
        <v>282</v>
      </c>
      <c r="L58" s="14" t="s">
        <v>281</v>
      </c>
      <c r="M58" s="14" t="s">
        <v>282</v>
      </c>
      <c r="N58" s="14" t="s">
        <v>282</v>
      </c>
      <c r="O58" s="13">
        <v>0</v>
      </c>
      <c r="P58" s="14"/>
      <c r="Q58" s="14"/>
      <c r="R58" s="14" t="s">
        <v>283</v>
      </c>
      <c r="S58" s="14" t="s">
        <v>284</v>
      </c>
      <c r="T58" s="14"/>
      <c r="U58" s="14"/>
      <c r="V58" s="14">
        <v>1</v>
      </c>
      <c r="W58" s="14"/>
      <c r="X58" s="14" t="s">
        <v>316</v>
      </c>
      <c r="Y58" s="13">
        <v>1</v>
      </c>
      <c r="Z58" s="14" t="s">
        <v>285</v>
      </c>
      <c r="AA58" s="14"/>
      <c r="AB58" s="14" t="s">
        <v>286</v>
      </c>
      <c r="AC58" s="14" t="s">
        <v>287</v>
      </c>
      <c r="AD58" s="13">
        <v>0</v>
      </c>
      <c r="AE58" s="14"/>
      <c r="AF58" s="14"/>
      <c r="AG58" s="14" t="s">
        <v>288</v>
      </c>
      <c r="AH58" s="98" t="s">
        <v>298</v>
      </c>
      <c r="AI58" s="97" t="str">
        <f t="shared" si="0"/>
        <v/>
      </c>
      <c r="AJ58" s="14" t="s">
        <v>289</v>
      </c>
      <c r="AK58" s="13">
        <v>0</v>
      </c>
      <c r="AL58" s="14"/>
      <c r="AM58" s="14"/>
      <c r="AN58" s="13">
        <v>2</v>
      </c>
      <c r="AO58" s="14" t="s">
        <v>290</v>
      </c>
      <c r="AP58" s="14" t="s">
        <v>291</v>
      </c>
      <c r="AQ58" s="14" t="s">
        <v>292</v>
      </c>
      <c r="AR58" s="13">
        <v>1</v>
      </c>
      <c r="AS58" s="14" t="s">
        <v>293</v>
      </c>
      <c r="AT58" s="14"/>
      <c r="AU58" s="14" t="s">
        <v>294</v>
      </c>
      <c r="AV58" s="14" t="s">
        <v>287</v>
      </c>
      <c r="AW58" s="13">
        <v>0</v>
      </c>
      <c r="AX58" s="14"/>
      <c r="AY58" s="14"/>
      <c r="AZ58" s="14" t="s">
        <v>288</v>
      </c>
      <c r="BA58" s="98" t="s">
        <v>840</v>
      </c>
      <c r="BB58" s="97">
        <v>1</v>
      </c>
      <c r="BC58" s="14" t="s">
        <v>289</v>
      </c>
      <c r="BD58" s="13">
        <v>1</v>
      </c>
      <c r="BE58" s="14" t="s">
        <v>295</v>
      </c>
      <c r="BF58" s="14"/>
      <c r="BG58" s="13">
        <v>0</v>
      </c>
      <c r="BH58" s="14"/>
      <c r="BI58" s="14" t="s">
        <v>296</v>
      </c>
      <c r="BJ58" s="14" t="s">
        <v>294</v>
      </c>
      <c r="BK58" s="14" t="s">
        <v>297</v>
      </c>
      <c r="BL58" s="13">
        <v>0</v>
      </c>
      <c r="BM58" s="14"/>
      <c r="BN58" s="14"/>
      <c r="BO58" s="14" t="s">
        <v>298</v>
      </c>
      <c r="BP58" s="14" t="s">
        <v>289</v>
      </c>
      <c r="BQ58" s="13">
        <v>1</v>
      </c>
      <c r="BR58" s="14" t="s">
        <v>295</v>
      </c>
      <c r="BS58" s="14"/>
      <c r="BT58" s="13">
        <v>0</v>
      </c>
      <c r="BU58" s="14"/>
      <c r="BV58" s="14" t="s">
        <v>299</v>
      </c>
      <c r="BW58" s="13">
        <v>1</v>
      </c>
      <c r="BX58" s="14" t="s">
        <v>300</v>
      </c>
      <c r="BY58" s="14" t="s">
        <v>301</v>
      </c>
      <c r="BZ58" s="14" t="s">
        <v>302</v>
      </c>
      <c r="CA58" s="13">
        <v>0</v>
      </c>
      <c r="CB58" s="14"/>
      <c r="CC58" s="14"/>
      <c r="CD58" s="14" t="s">
        <v>298</v>
      </c>
      <c r="CE58" s="97"/>
      <c r="CF58" s="97"/>
      <c r="CG58" s="14" t="s">
        <v>289</v>
      </c>
      <c r="CH58" s="13">
        <v>0</v>
      </c>
      <c r="CI58" s="14"/>
      <c r="CJ58" s="14"/>
      <c r="CK58" s="13">
        <v>0</v>
      </c>
      <c r="CL58" s="14"/>
      <c r="CM58" s="14" t="s">
        <v>296</v>
      </c>
      <c r="CN58" s="13">
        <v>0</v>
      </c>
      <c r="CO58" s="14"/>
      <c r="CP58" s="14"/>
      <c r="CQ58" s="14" t="s">
        <v>303</v>
      </c>
      <c r="CR58" s="14" t="s">
        <v>304</v>
      </c>
      <c r="CS58" s="13">
        <v>0</v>
      </c>
      <c r="CT58" s="14"/>
      <c r="CU58" s="14"/>
      <c r="CV58" s="14" t="s">
        <v>305</v>
      </c>
      <c r="CW58" s="99"/>
      <c r="CX58" s="97"/>
      <c r="CY58" s="14" t="s">
        <v>304</v>
      </c>
      <c r="CZ58" s="13">
        <v>0</v>
      </c>
      <c r="DA58" s="14"/>
      <c r="DB58" s="14"/>
      <c r="DC58" s="13">
        <v>0</v>
      </c>
      <c r="DD58" s="14"/>
      <c r="DE58" s="14" t="s">
        <v>296</v>
      </c>
      <c r="DF58" s="13">
        <v>1</v>
      </c>
      <c r="DG58" s="14" t="s">
        <v>306</v>
      </c>
      <c r="DH58" s="14"/>
      <c r="DI58" s="14" t="s">
        <v>303</v>
      </c>
      <c r="DJ58" s="14" t="s">
        <v>304</v>
      </c>
      <c r="DK58" s="13">
        <v>0</v>
      </c>
      <c r="DL58" s="14"/>
      <c r="DM58" s="14"/>
      <c r="DN58" s="14" t="s">
        <v>298</v>
      </c>
      <c r="DO58" s="98" t="s">
        <v>298</v>
      </c>
      <c r="DP58" s="97">
        <f t="shared" si="4"/>
        <v>1</v>
      </c>
      <c r="DQ58" s="14" t="s">
        <v>304</v>
      </c>
      <c r="DR58" s="13">
        <v>0</v>
      </c>
      <c r="DS58" s="14"/>
      <c r="DT58" s="14"/>
      <c r="DU58" s="13">
        <v>0</v>
      </c>
      <c r="DV58" s="14"/>
      <c r="DW58" s="14" t="s">
        <v>296</v>
      </c>
      <c r="DX58" s="13">
        <v>2</v>
      </c>
      <c r="DY58" s="14" t="s">
        <v>307</v>
      </c>
      <c r="DZ58" s="14" t="s">
        <v>308</v>
      </c>
      <c r="EA58" s="14" t="s">
        <v>303</v>
      </c>
      <c r="EB58" s="14" t="s">
        <v>287</v>
      </c>
      <c r="EC58" s="13">
        <v>0</v>
      </c>
      <c r="ED58" s="14"/>
      <c r="EE58" s="14"/>
      <c r="EF58" s="14"/>
      <c r="EG58" s="98" t="s">
        <v>298</v>
      </c>
      <c r="EH58" s="97" t="str">
        <f t="shared" si="5"/>
        <v/>
      </c>
      <c r="EI58" s="14"/>
      <c r="EJ58" s="13">
        <v>0</v>
      </c>
      <c r="EK58" s="14"/>
      <c r="EL58" s="14"/>
      <c r="EM58" s="14"/>
      <c r="EN58" s="14"/>
      <c r="EO58" s="14"/>
      <c r="EP58" s="13">
        <v>1</v>
      </c>
      <c r="EQ58" s="14" t="s">
        <v>309</v>
      </c>
      <c r="ER58" s="14" t="s">
        <v>310</v>
      </c>
      <c r="ES58" s="14"/>
      <c r="ET58" s="13">
        <v>0</v>
      </c>
      <c r="EU58" s="14"/>
      <c r="EV58" s="14"/>
      <c r="EW58" s="14"/>
      <c r="EX58" s="98"/>
      <c r="EY58" s="97"/>
      <c r="EZ58" s="13">
        <v>0</v>
      </c>
      <c r="FA58" s="14"/>
      <c r="FB58" s="14"/>
      <c r="FC58" s="14"/>
      <c r="FD58" s="13">
        <v>0</v>
      </c>
      <c r="FE58" s="14"/>
      <c r="FF58" s="14"/>
      <c r="FG58" s="13">
        <v>0</v>
      </c>
      <c r="FH58" s="14"/>
      <c r="FI58" s="14"/>
      <c r="FJ58" s="14"/>
      <c r="FK58" s="14"/>
      <c r="FL58" s="14" t="s">
        <v>311</v>
      </c>
      <c r="FM58" s="14" t="s">
        <v>312</v>
      </c>
      <c r="FN58" s="14"/>
      <c r="FO58" s="14"/>
      <c r="FP58" s="13">
        <v>3</v>
      </c>
      <c r="FQ58" s="14" t="s">
        <v>313</v>
      </c>
      <c r="FR58" s="14" t="s">
        <v>314</v>
      </c>
      <c r="FS58" s="14" t="s">
        <v>315</v>
      </c>
      <c r="FT58" s="17"/>
      <c r="FU58" s="14" t="s">
        <v>317</v>
      </c>
      <c r="FV58" s="14"/>
      <c r="FW58" s="14" t="s">
        <v>318</v>
      </c>
      <c r="FX58" s="13">
        <v>-1</v>
      </c>
      <c r="FY58" s="13">
        <v>-1</v>
      </c>
      <c r="FZ58" s="13">
        <v>-1</v>
      </c>
      <c r="GA58" s="13">
        <v>-1</v>
      </c>
      <c r="GB58" s="13">
        <v>-1</v>
      </c>
      <c r="GC58" s="13">
        <v>-1</v>
      </c>
      <c r="GD58" s="13">
        <v>-1</v>
      </c>
      <c r="GE58" s="13">
        <v>-1</v>
      </c>
      <c r="GF58" s="13">
        <v>-1</v>
      </c>
      <c r="GG58" s="13">
        <v>-1</v>
      </c>
      <c r="GH58" s="13">
        <v>-1</v>
      </c>
      <c r="GI58" s="13">
        <v>-1</v>
      </c>
      <c r="GJ58" s="13">
        <v>-1</v>
      </c>
      <c r="GK58" s="13">
        <v>-1</v>
      </c>
      <c r="GL58" s="13">
        <v>-1</v>
      </c>
      <c r="GM58" s="13">
        <v>-15</v>
      </c>
      <c r="GN58" s="15"/>
      <c r="GO58" s="15"/>
      <c r="GP58" s="14" t="s">
        <v>319</v>
      </c>
      <c r="GQ58" s="14" t="s">
        <v>320</v>
      </c>
      <c r="GR58" s="14" t="s">
        <v>277</v>
      </c>
      <c r="GS58" s="13">
        <v>15</v>
      </c>
      <c r="GT58" s="13">
        <v>15</v>
      </c>
      <c r="GU58" s="13">
        <v>39</v>
      </c>
      <c r="GV58" s="13">
        <v>20</v>
      </c>
      <c r="GW58" s="16"/>
    </row>
    <row r="59" spans="1:205" s="49" customFormat="1" x14ac:dyDescent="0.25">
      <c r="A59" s="51">
        <v>119</v>
      </c>
      <c r="B59" s="52" t="s">
        <v>321</v>
      </c>
      <c r="C59" s="52">
        <v>22</v>
      </c>
      <c r="D59" s="52" t="s">
        <v>279</v>
      </c>
      <c r="E59" s="52" t="s">
        <v>280</v>
      </c>
      <c r="F59" s="52" t="s">
        <v>281</v>
      </c>
      <c r="G59" s="52" t="s">
        <v>281</v>
      </c>
      <c r="H59" s="52" t="s">
        <v>282</v>
      </c>
      <c r="I59" s="52" t="s">
        <v>282</v>
      </c>
      <c r="J59" s="52" t="s">
        <v>282</v>
      </c>
      <c r="K59" s="52" t="s">
        <v>282</v>
      </c>
      <c r="L59" s="52" t="s">
        <v>281</v>
      </c>
      <c r="M59" s="52" t="s">
        <v>281</v>
      </c>
      <c r="N59" s="52" t="s">
        <v>282</v>
      </c>
      <c r="O59" s="51">
        <v>0</v>
      </c>
      <c r="P59" s="52"/>
      <c r="Q59" s="52"/>
      <c r="R59" s="52" t="s">
        <v>283</v>
      </c>
      <c r="S59" s="52" t="s">
        <v>322</v>
      </c>
      <c r="T59" s="52"/>
      <c r="U59" s="52"/>
      <c r="V59" s="52" t="s">
        <v>422</v>
      </c>
      <c r="W59" s="52"/>
      <c r="X59" s="52" t="s">
        <v>316</v>
      </c>
      <c r="Y59" s="51">
        <v>0</v>
      </c>
      <c r="Z59" s="52"/>
      <c r="AA59" s="52"/>
      <c r="AB59" s="52" t="s">
        <v>303</v>
      </c>
      <c r="AC59" s="52" t="s">
        <v>302</v>
      </c>
      <c r="AD59" s="51">
        <v>0</v>
      </c>
      <c r="AE59" s="52"/>
      <c r="AF59" s="52"/>
      <c r="AG59" s="52" t="s">
        <v>305</v>
      </c>
      <c r="AH59" s="98" t="s">
        <v>298</v>
      </c>
      <c r="AI59" s="97" t="str">
        <f t="shared" si="0"/>
        <v/>
      </c>
      <c r="AJ59" s="52" t="s">
        <v>302</v>
      </c>
      <c r="AK59" s="51">
        <v>0</v>
      </c>
      <c r="AL59" s="52"/>
      <c r="AM59" s="52"/>
      <c r="AN59" s="51">
        <v>0</v>
      </c>
      <c r="AO59" s="52"/>
      <c r="AP59" s="52"/>
      <c r="AQ59" s="52" t="s">
        <v>299</v>
      </c>
      <c r="AR59" s="51">
        <v>1</v>
      </c>
      <c r="AS59" s="52" t="s">
        <v>323</v>
      </c>
      <c r="AT59" s="52"/>
      <c r="AU59" s="52" t="s">
        <v>301</v>
      </c>
      <c r="AV59" s="52" t="s">
        <v>287</v>
      </c>
      <c r="AW59" s="51">
        <v>0</v>
      </c>
      <c r="AX59" s="52"/>
      <c r="AY59" s="52"/>
      <c r="AZ59" s="52" t="s">
        <v>324</v>
      </c>
      <c r="BA59" s="98" t="s">
        <v>840</v>
      </c>
      <c r="BB59" s="97">
        <v>1</v>
      </c>
      <c r="BC59" s="52" t="s">
        <v>287</v>
      </c>
      <c r="BD59" s="51">
        <v>0</v>
      </c>
      <c r="BE59" s="52"/>
      <c r="BF59" s="52"/>
      <c r="BG59" s="51">
        <v>1</v>
      </c>
      <c r="BH59" s="52" t="s">
        <v>325</v>
      </c>
      <c r="BI59" s="52" t="s">
        <v>299</v>
      </c>
      <c r="BJ59" s="52"/>
      <c r="BK59" s="52"/>
      <c r="BL59" s="51">
        <v>0</v>
      </c>
      <c r="BM59" s="52"/>
      <c r="BN59" s="52"/>
      <c r="BO59" s="52"/>
      <c r="BP59" s="52"/>
      <c r="BQ59" s="51">
        <v>0</v>
      </c>
      <c r="BR59" s="52"/>
      <c r="BS59" s="52"/>
      <c r="BT59" s="51">
        <v>0</v>
      </c>
      <c r="BU59" s="52"/>
      <c r="BV59" s="52"/>
      <c r="BW59" s="51">
        <v>0</v>
      </c>
      <c r="BX59" s="52"/>
      <c r="BY59" s="52"/>
      <c r="BZ59" s="52"/>
      <c r="CA59" s="51">
        <v>0</v>
      </c>
      <c r="CB59" s="52"/>
      <c r="CC59" s="52"/>
      <c r="CD59" s="52"/>
      <c r="CE59" s="97"/>
      <c r="CF59" s="97"/>
      <c r="CG59" s="52"/>
      <c r="CH59" s="51">
        <v>0</v>
      </c>
      <c r="CI59" s="52"/>
      <c r="CJ59" s="52"/>
      <c r="CK59" s="51">
        <v>0</v>
      </c>
      <c r="CL59" s="52"/>
      <c r="CM59" s="52"/>
      <c r="CN59" s="51">
        <v>1</v>
      </c>
      <c r="CO59" s="52" t="s">
        <v>326</v>
      </c>
      <c r="CP59" s="52"/>
      <c r="CQ59" s="52" t="s">
        <v>303</v>
      </c>
      <c r="CR59" s="52" t="s">
        <v>302</v>
      </c>
      <c r="CS59" s="51">
        <v>0</v>
      </c>
      <c r="CT59" s="52"/>
      <c r="CU59" s="52"/>
      <c r="CV59" s="52" t="s">
        <v>305</v>
      </c>
      <c r="CW59" s="98" t="s">
        <v>305</v>
      </c>
      <c r="CX59" s="97">
        <f t="shared" si="3"/>
        <v>1</v>
      </c>
      <c r="CY59" s="52" t="s">
        <v>302</v>
      </c>
      <c r="CZ59" s="51">
        <v>0</v>
      </c>
      <c r="DA59" s="52"/>
      <c r="DB59" s="52"/>
      <c r="DC59" s="51">
        <v>1</v>
      </c>
      <c r="DD59" s="52" t="s">
        <v>327</v>
      </c>
      <c r="DE59" s="52" t="s">
        <v>328</v>
      </c>
      <c r="DF59" s="51">
        <v>1</v>
      </c>
      <c r="DG59" s="52" t="s">
        <v>329</v>
      </c>
      <c r="DH59" s="52"/>
      <c r="DI59" s="52" t="s">
        <v>294</v>
      </c>
      <c r="DJ59" s="52" t="s">
        <v>302</v>
      </c>
      <c r="DK59" s="51">
        <v>0</v>
      </c>
      <c r="DL59" s="52"/>
      <c r="DM59" s="52"/>
      <c r="DN59" s="52" t="s">
        <v>305</v>
      </c>
      <c r="DO59" s="98" t="s">
        <v>298</v>
      </c>
      <c r="DP59" s="97" t="str">
        <f t="shared" si="4"/>
        <v/>
      </c>
      <c r="DQ59" s="52" t="s">
        <v>302</v>
      </c>
      <c r="DR59" s="51">
        <v>0</v>
      </c>
      <c r="DS59" s="52"/>
      <c r="DT59" s="52"/>
      <c r="DU59" s="51">
        <v>1</v>
      </c>
      <c r="DV59" s="52" t="s">
        <v>330</v>
      </c>
      <c r="DW59" s="52" t="s">
        <v>299</v>
      </c>
      <c r="DX59" s="51">
        <v>1</v>
      </c>
      <c r="DY59" s="52" t="s">
        <v>308</v>
      </c>
      <c r="DZ59" s="52"/>
      <c r="EA59" s="52" t="s">
        <v>294</v>
      </c>
      <c r="EB59" s="52" t="s">
        <v>331</v>
      </c>
      <c r="EC59" s="51">
        <v>0</v>
      </c>
      <c r="ED59" s="52"/>
      <c r="EE59" s="52"/>
      <c r="EF59" s="52" t="s">
        <v>298</v>
      </c>
      <c r="EG59" s="98" t="s">
        <v>298</v>
      </c>
      <c r="EH59" s="97">
        <f t="shared" si="5"/>
        <v>1</v>
      </c>
      <c r="EI59" s="52" t="s">
        <v>331</v>
      </c>
      <c r="EJ59" s="51">
        <v>0</v>
      </c>
      <c r="EK59" s="52"/>
      <c r="EL59" s="52"/>
      <c r="EM59" s="52" t="s">
        <v>332</v>
      </c>
      <c r="EN59" s="52"/>
      <c r="EO59" s="52" t="s">
        <v>299</v>
      </c>
      <c r="EP59" s="51">
        <v>1</v>
      </c>
      <c r="EQ59" s="52" t="s">
        <v>333</v>
      </c>
      <c r="ER59" s="52" t="s">
        <v>294</v>
      </c>
      <c r="ES59" s="52" t="s">
        <v>331</v>
      </c>
      <c r="ET59" s="51">
        <v>0</v>
      </c>
      <c r="EU59" s="52"/>
      <c r="EV59" s="52"/>
      <c r="EW59" s="52" t="s">
        <v>305</v>
      </c>
      <c r="EX59" s="98" t="s">
        <v>305</v>
      </c>
      <c r="EY59" s="97">
        <f t="shared" si="6"/>
        <v>1</v>
      </c>
      <c r="EZ59" s="51">
        <v>0</v>
      </c>
      <c r="FA59" s="52"/>
      <c r="FB59" s="52"/>
      <c r="FC59" s="52" t="s">
        <v>334</v>
      </c>
      <c r="FD59" s="51">
        <v>0</v>
      </c>
      <c r="FE59" s="52"/>
      <c r="FF59" s="52" t="s">
        <v>299</v>
      </c>
      <c r="FG59" s="51">
        <v>0</v>
      </c>
      <c r="FH59" s="52"/>
      <c r="FI59" s="52"/>
      <c r="FJ59" s="52"/>
      <c r="FK59" s="52"/>
      <c r="FL59" s="52"/>
      <c r="FM59" s="52"/>
      <c r="FN59" s="52"/>
      <c r="FO59" s="52"/>
      <c r="FP59" s="51">
        <v>0</v>
      </c>
      <c r="FQ59" s="52"/>
      <c r="FR59" s="52"/>
      <c r="FS59" s="52"/>
      <c r="FT59" s="48"/>
      <c r="FU59" s="52" t="s">
        <v>335</v>
      </c>
      <c r="FV59" s="52" t="s">
        <v>336</v>
      </c>
      <c r="FW59" s="52"/>
      <c r="FX59" s="51">
        <v>-1</v>
      </c>
      <c r="FY59" s="51">
        <v>-1</v>
      </c>
      <c r="FZ59" s="51">
        <v>-1</v>
      </c>
      <c r="GA59" s="51">
        <v>-1</v>
      </c>
      <c r="GB59" s="51">
        <v>-1</v>
      </c>
      <c r="GC59" s="51">
        <v>-1</v>
      </c>
      <c r="GD59" s="51">
        <v>-1</v>
      </c>
      <c r="GE59" s="51">
        <v>-1</v>
      </c>
      <c r="GF59" s="51">
        <v>-1</v>
      </c>
      <c r="GG59" s="51">
        <v>-1</v>
      </c>
      <c r="GH59" s="51">
        <v>-1</v>
      </c>
      <c r="GI59" s="51">
        <v>-1</v>
      </c>
      <c r="GJ59" s="51">
        <v>-1</v>
      </c>
      <c r="GK59" s="51">
        <v>-1</v>
      </c>
      <c r="GL59" s="51">
        <v>-1</v>
      </c>
      <c r="GM59" s="51">
        <v>-15</v>
      </c>
      <c r="GN59" s="53"/>
      <c r="GO59" s="53"/>
      <c r="GP59" s="52" t="s">
        <v>319</v>
      </c>
      <c r="GQ59" s="52" t="s">
        <v>320</v>
      </c>
      <c r="GR59" s="52" t="s">
        <v>277</v>
      </c>
      <c r="GS59" s="51">
        <v>15</v>
      </c>
      <c r="GT59" s="51">
        <v>15</v>
      </c>
      <c r="GU59" s="51">
        <v>47</v>
      </c>
      <c r="GV59" s="51">
        <v>25</v>
      </c>
      <c r="GW59" s="54"/>
    </row>
    <row r="60" spans="1:205" s="49" customFormat="1" x14ac:dyDescent="0.25">
      <c r="A60" s="51">
        <v>135</v>
      </c>
      <c r="B60" s="52" t="s">
        <v>321</v>
      </c>
      <c r="C60" s="52">
        <v>22</v>
      </c>
      <c r="D60" s="52" t="s">
        <v>279</v>
      </c>
      <c r="E60" s="52" t="s">
        <v>377</v>
      </c>
      <c r="F60" s="52" t="s">
        <v>281</v>
      </c>
      <c r="G60" s="52" t="s">
        <v>282</v>
      </c>
      <c r="H60" s="52" t="s">
        <v>282</v>
      </c>
      <c r="I60" s="52" t="s">
        <v>282</v>
      </c>
      <c r="J60" s="52" t="s">
        <v>282</v>
      </c>
      <c r="K60" s="52" t="s">
        <v>281</v>
      </c>
      <c r="L60" s="52" t="s">
        <v>282</v>
      </c>
      <c r="M60" s="52" t="s">
        <v>281</v>
      </c>
      <c r="N60" s="52" t="s">
        <v>282</v>
      </c>
      <c r="O60" s="51">
        <v>0</v>
      </c>
      <c r="P60" s="52"/>
      <c r="Q60" s="52"/>
      <c r="R60" s="52" t="s">
        <v>283</v>
      </c>
      <c r="S60" s="52" t="s">
        <v>378</v>
      </c>
      <c r="T60" s="52"/>
      <c r="U60" s="52"/>
      <c r="V60" s="52"/>
      <c r="W60" s="52"/>
      <c r="X60" s="52" t="s">
        <v>346</v>
      </c>
      <c r="Y60" s="51">
        <v>1</v>
      </c>
      <c r="Z60" s="52" t="s">
        <v>379</v>
      </c>
      <c r="AA60" s="52"/>
      <c r="AB60" s="52" t="s">
        <v>303</v>
      </c>
      <c r="AC60" s="52" t="s">
        <v>331</v>
      </c>
      <c r="AD60" s="51">
        <v>0</v>
      </c>
      <c r="AE60" s="52"/>
      <c r="AF60" s="52"/>
      <c r="AG60" s="52" t="s">
        <v>305</v>
      </c>
      <c r="AH60" s="98" t="s">
        <v>288</v>
      </c>
      <c r="AI60" s="97" t="str">
        <f t="shared" si="0"/>
        <v/>
      </c>
      <c r="AJ60" s="52" t="s">
        <v>297</v>
      </c>
      <c r="AK60" s="51">
        <v>1</v>
      </c>
      <c r="AL60" s="52" t="s">
        <v>380</v>
      </c>
      <c r="AM60" s="52"/>
      <c r="AN60" s="51">
        <v>0</v>
      </c>
      <c r="AO60" s="52"/>
      <c r="AP60" s="52"/>
      <c r="AQ60" s="52" t="s">
        <v>299</v>
      </c>
      <c r="AR60" s="51">
        <v>0</v>
      </c>
      <c r="AS60" s="52"/>
      <c r="AT60" s="52"/>
      <c r="AU60" s="52" t="s">
        <v>301</v>
      </c>
      <c r="AV60" s="52" t="s">
        <v>287</v>
      </c>
      <c r="AW60" s="51">
        <v>1</v>
      </c>
      <c r="AX60" s="52"/>
      <c r="AY60" s="52" t="s">
        <v>381</v>
      </c>
      <c r="AZ60" s="52" t="s">
        <v>288</v>
      </c>
      <c r="BA60" s="98"/>
      <c r="BB60" s="97" t="str">
        <f t="shared" si="1"/>
        <v/>
      </c>
      <c r="BC60" s="52" t="s">
        <v>339</v>
      </c>
      <c r="BD60" s="51">
        <v>0</v>
      </c>
      <c r="BE60" s="52"/>
      <c r="BF60" s="52"/>
      <c r="BG60" s="51">
        <v>1</v>
      </c>
      <c r="BH60" s="52" t="s">
        <v>382</v>
      </c>
      <c r="BI60" s="52" t="s">
        <v>328</v>
      </c>
      <c r="BJ60" s="52" t="s">
        <v>301</v>
      </c>
      <c r="BK60" s="52" t="s">
        <v>297</v>
      </c>
      <c r="BL60" s="51">
        <v>1</v>
      </c>
      <c r="BM60" s="52" t="s">
        <v>339</v>
      </c>
      <c r="BN60" s="52"/>
      <c r="BO60" s="52" t="s">
        <v>324</v>
      </c>
      <c r="BP60" s="52" t="s">
        <v>297</v>
      </c>
      <c r="BQ60" s="51">
        <v>0</v>
      </c>
      <c r="BR60" s="52"/>
      <c r="BS60" s="52"/>
      <c r="BT60" s="51">
        <v>0</v>
      </c>
      <c r="BU60" s="52"/>
      <c r="BV60" s="52" t="s">
        <v>296</v>
      </c>
      <c r="BW60" s="51">
        <v>0</v>
      </c>
      <c r="BX60" s="52"/>
      <c r="BY60" s="52" t="s">
        <v>303</v>
      </c>
      <c r="BZ60" s="52" t="s">
        <v>297</v>
      </c>
      <c r="CA60" s="51">
        <v>0</v>
      </c>
      <c r="CB60" s="52"/>
      <c r="CC60" s="52"/>
      <c r="CD60" s="52" t="s">
        <v>305</v>
      </c>
      <c r="CE60" s="97"/>
      <c r="CF60" s="97" t="str">
        <f t="shared" si="2"/>
        <v/>
      </c>
      <c r="CG60" s="52" t="s">
        <v>297</v>
      </c>
      <c r="CH60" s="51">
        <v>0</v>
      </c>
      <c r="CI60" s="52"/>
      <c r="CJ60" s="52"/>
      <c r="CK60" s="51">
        <v>0</v>
      </c>
      <c r="CL60" s="52"/>
      <c r="CM60" s="52" t="s">
        <v>328</v>
      </c>
      <c r="CN60" s="51">
        <v>0</v>
      </c>
      <c r="CO60" s="52"/>
      <c r="CP60" s="52"/>
      <c r="CQ60" s="52" t="s">
        <v>303</v>
      </c>
      <c r="CR60" s="52" t="s">
        <v>297</v>
      </c>
      <c r="CS60" s="51">
        <v>0</v>
      </c>
      <c r="CT60" s="52"/>
      <c r="CU60" s="52"/>
      <c r="CV60" s="52" t="s">
        <v>298</v>
      </c>
      <c r="CW60" s="98"/>
      <c r="CX60" s="97" t="str">
        <f t="shared" si="3"/>
        <v/>
      </c>
      <c r="CY60" s="52" t="s">
        <v>297</v>
      </c>
      <c r="CZ60" s="51">
        <v>0</v>
      </c>
      <c r="DA60" s="52"/>
      <c r="DB60" s="52"/>
      <c r="DC60" s="51">
        <v>0</v>
      </c>
      <c r="DD60" s="52"/>
      <c r="DE60" s="52" t="s">
        <v>328</v>
      </c>
      <c r="DF60" s="51">
        <v>0</v>
      </c>
      <c r="DG60" s="52"/>
      <c r="DH60" s="52"/>
      <c r="DI60" s="52" t="s">
        <v>286</v>
      </c>
      <c r="DJ60" s="52" t="s">
        <v>297</v>
      </c>
      <c r="DK60" s="51">
        <v>0</v>
      </c>
      <c r="DL60" s="52"/>
      <c r="DM60" s="52"/>
      <c r="DN60" s="52" t="s">
        <v>324</v>
      </c>
      <c r="DO60" s="98"/>
      <c r="DP60" s="97" t="str">
        <f t="shared" si="4"/>
        <v/>
      </c>
      <c r="DQ60" s="52" t="s">
        <v>297</v>
      </c>
      <c r="DR60" s="51">
        <v>0</v>
      </c>
      <c r="DS60" s="52"/>
      <c r="DT60" s="52"/>
      <c r="DU60" s="51">
        <v>0</v>
      </c>
      <c r="DV60" s="52"/>
      <c r="DW60" s="52" t="s">
        <v>296</v>
      </c>
      <c r="DX60" s="51">
        <v>0</v>
      </c>
      <c r="DY60" s="52"/>
      <c r="DZ60" s="52"/>
      <c r="EA60" s="52" t="s">
        <v>303</v>
      </c>
      <c r="EB60" s="52" t="s">
        <v>331</v>
      </c>
      <c r="EC60" s="51">
        <v>0</v>
      </c>
      <c r="ED60" s="52"/>
      <c r="EE60" s="52"/>
      <c r="EF60" s="52" t="s">
        <v>305</v>
      </c>
      <c r="EG60" s="98"/>
      <c r="EH60" s="97" t="str">
        <f t="shared" si="5"/>
        <v/>
      </c>
      <c r="EI60" s="52" t="s">
        <v>297</v>
      </c>
      <c r="EJ60" s="51">
        <v>0</v>
      </c>
      <c r="EK60" s="52"/>
      <c r="EL60" s="52"/>
      <c r="EM60" s="52"/>
      <c r="EN60" s="52" t="s">
        <v>380</v>
      </c>
      <c r="EO60" s="52" t="s">
        <v>292</v>
      </c>
      <c r="EP60" s="51">
        <v>1</v>
      </c>
      <c r="EQ60" s="52" t="s">
        <v>333</v>
      </c>
      <c r="ER60" s="52" t="s">
        <v>301</v>
      </c>
      <c r="ES60" s="52" t="s">
        <v>331</v>
      </c>
      <c r="ET60" s="51">
        <v>0</v>
      </c>
      <c r="EU60" s="52"/>
      <c r="EV60" s="52"/>
      <c r="EW60" s="52" t="s">
        <v>288</v>
      </c>
      <c r="EX60" s="98" t="s">
        <v>288</v>
      </c>
      <c r="EY60" s="97">
        <f t="shared" si="6"/>
        <v>1</v>
      </c>
      <c r="EZ60" s="51">
        <v>0</v>
      </c>
      <c r="FA60" s="52"/>
      <c r="FB60" s="52"/>
      <c r="FC60" s="52"/>
      <c r="FD60" s="51">
        <v>0</v>
      </c>
      <c r="FE60" s="52"/>
      <c r="FF60" s="52" t="s">
        <v>328</v>
      </c>
      <c r="FG60" s="51">
        <v>4</v>
      </c>
      <c r="FH60" s="52" t="s">
        <v>383</v>
      </c>
      <c r="FI60" s="52" t="s">
        <v>341</v>
      </c>
      <c r="FJ60" s="52" t="s">
        <v>384</v>
      </c>
      <c r="FK60" s="52" t="s">
        <v>385</v>
      </c>
      <c r="FL60" s="52"/>
      <c r="FM60" s="52"/>
      <c r="FN60" s="52"/>
      <c r="FO60" s="52"/>
      <c r="FP60" s="51">
        <v>0</v>
      </c>
      <c r="FQ60" s="52"/>
      <c r="FR60" s="52"/>
      <c r="FS60" s="52"/>
      <c r="FT60" s="48"/>
      <c r="FU60" s="52" t="s">
        <v>351</v>
      </c>
      <c r="FV60" s="52"/>
      <c r="FW60" s="52"/>
      <c r="FX60" s="51">
        <v>-1</v>
      </c>
      <c r="FY60" s="51">
        <v>-1</v>
      </c>
      <c r="FZ60" s="51">
        <v>-1</v>
      </c>
      <c r="GA60" s="51">
        <v>-1</v>
      </c>
      <c r="GB60" s="51">
        <v>-1</v>
      </c>
      <c r="GC60" s="51">
        <v>-1</v>
      </c>
      <c r="GD60" s="51">
        <v>-1</v>
      </c>
      <c r="GE60" s="51">
        <v>-1</v>
      </c>
      <c r="GF60" s="51">
        <v>-1</v>
      </c>
      <c r="GG60" s="51">
        <v>-1</v>
      </c>
      <c r="GH60" s="51">
        <v>-1</v>
      </c>
      <c r="GI60" s="51">
        <v>-1</v>
      </c>
      <c r="GJ60" s="51">
        <v>-1</v>
      </c>
      <c r="GK60" s="51">
        <v>-1</v>
      </c>
      <c r="GL60" s="51">
        <v>-1</v>
      </c>
      <c r="GM60" s="51">
        <v>-15</v>
      </c>
      <c r="GN60" s="53"/>
      <c r="GO60" s="53"/>
      <c r="GP60" s="52" t="s">
        <v>319</v>
      </c>
      <c r="GQ60" s="52" t="s">
        <v>320</v>
      </c>
      <c r="GR60" s="52" t="s">
        <v>277</v>
      </c>
      <c r="GS60" s="51">
        <v>15</v>
      </c>
      <c r="GT60" s="51">
        <v>15</v>
      </c>
      <c r="GU60" s="51">
        <v>41</v>
      </c>
      <c r="GV60" s="51">
        <v>15</v>
      </c>
      <c r="GW60" s="54"/>
    </row>
    <row r="61" spans="1:205" s="40" customFormat="1" x14ac:dyDescent="0.25">
      <c r="A61" s="1">
        <v>160</v>
      </c>
      <c r="B61" s="18" t="s">
        <v>321</v>
      </c>
      <c r="C61" s="18">
        <v>22</v>
      </c>
      <c r="D61" s="2" t="s">
        <v>353</v>
      </c>
      <c r="E61" s="2" t="s">
        <v>422</v>
      </c>
      <c r="F61" s="2" t="s">
        <v>281</v>
      </c>
      <c r="G61" s="2" t="s">
        <v>282</v>
      </c>
      <c r="H61" s="2" t="s">
        <v>282</v>
      </c>
      <c r="I61" s="2" t="s">
        <v>282</v>
      </c>
      <c r="J61" s="2" t="s">
        <v>282</v>
      </c>
      <c r="K61" s="2" t="s">
        <v>281</v>
      </c>
      <c r="L61" s="2" t="s">
        <v>282</v>
      </c>
      <c r="M61" s="2" t="s">
        <v>282</v>
      </c>
      <c r="N61" s="2" t="s">
        <v>282</v>
      </c>
      <c r="O61" s="1">
        <v>0</v>
      </c>
      <c r="P61" s="2"/>
      <c r="Q61" s="2"/>
      <c r="R61" s="2" t="s">
        <v>283</v>
      </c>
      <c r="S61" s="2" t="s">
        <v>449</v>
      </c>
      <c r="T61" s="2"/>
      <c r="U61" s="2"/>
      <c r="V61" s="2"/>
      <c r="W61" s="2"/>
      <c r="X61" s="2" t="s">
        <v>346</v>
      </c>
      <c r="Y61" s="1">
        <v>0</v>
      </c>
      <c r="Z61" s="2"/>
      <c r="AA61" s="2"/>
      <c r="AB61" s="2" t="s">
        <v>303</v>
      </c>
      <c r="AC61" s="2" t="s">
        <v>302</v>
      </c>
      <c r="AD61" s="1">
        <v>0</v>
      </c>
      <c r="AE61" s="2"/>
      <c r="AF61" s="2"/>
      <c r="AG61" s="2" t="s">
        <v>288</v>
      </c>
      <c r="AH61" s="98" t="s">
        <v>298</v>
      </c>
      <c r="AI61" s="97" t="str">
        <f t="shared" si="0"/>
        <v/>
      </c>
      <c r="AJ61" s="2" t="s">
        <v>331</v>
      </c>
      <c r="AK61" s="1">
        <v>0</v>
      </c>
      <c r="AL61" s="2"/>
      <c r="AM61" s="2"/>
      <c r="AN61" s="1">
        <v>1</v>
      </c>
      <c r="AO61" s="2" t="s">
        <v>450</v>
      </c>
      <c r="AP61" s="2"/>
      <c r="AQ61" s="2" t="s">
        <v>292</v>
      </c>
      <c r="AR61" s="1">
        <v>0</v>
      </c>
      <c r="AS61" s="2"/>
      <c r="AT61" s="2"/>
      <c r="AU61" s="2" t="s">
        <v>294</v>
      </c>
      <c r="AV61" s="2" t="s">
        <v>287</v>
      </c>
      <c r="AW61" s="1">
        <v>1</v>
      </c>
      <c r="AX61" s="2"/>
      <c r="AY61" s="2" t="s">
        <v>451</v>
      </c>
      <c r="AZ61" s="2" t="s">
        <v>288</v>
      </c>
      <c r="BA61" s="98"/>
      <c r="BB61" s="97" t="str">
        <f t="shared" si="1"/>
        <v/>
      </c>
      <c r="BC61" s="2" t="s">
        <v>287</v>
      </c>
      <c r="BD61" s="1">
        <v>0</v>
      </c>
      <c r="BE61" s="2"/>
      <c r="BF61" s="2"/>
      <c r="BG61" s="1">
        <v>1</v>
      </c>
      <c r="BH61" s="2" t="s">
        <v>452</v>
      </c>
      <c r="BI61" s="2" t="s">
        <v>296</v>
      </c>
      <c r="BJ61" s="2" t="s">
        <v>294</v>
      </c>
      <c r="BK61" s="2" t="s">
        <v>297</v>
      </c>
      <c r="BL61" s="1">
        <v>0</v>
      </c>
      <c r="BM61" s="2"/>
      <c r="BN61" s="2"/>
      <c r="BO61" s="2" t="s">
        <v>324</v>
      </c>
      <c r="BP61" s="2" t="s">
        <v>297</v>
      </c>
      <c r="BQ61" s="1">
        <v>0</v>
      </c>
      <c r="BR61" s="2"/>
      <c r="BS61" s="2"/>
      <c r="BT61" s="1">
        <v>0</v>
      </c>
      <c r="BU61" s="2"/>
      <c r="BV61" s="2" t="s">
        <v>296</v>
      </c>
      <c r="BW61" s="1"/>
      <c r="BX61" s="2"/>
      <c r="BY61" s="2"/>
      <c r="BZ61" s="2"/>
      <c r="CA61" s="1"/>
      <c r="CB61" s="2"/>
      <c r="CC61" s="2"/>
      <c r="CD61" s="2"/>
      <c r="CE61" s="97"/>
      <c r="CF61" s="97"/>
      <c r="CG61" s="2"/>
      <c r="CH61" s="1"/>
      <c r="CI61" s="2"/>
      <c r="CJ61" s="2"/>
      <c r="CK61" s="1"/>
      <c r="CL61" s="2"/>
      <c r="CM61" s="2"/>
      <c r="CN61" s="1"/>
      <c r="CO61" s="2"/>
      <c r="CP61" s="2"/>
      <c r="CQ61" s="2"/>
      <c r="CR61" s="2"/>
      <c r="CS61" s="1"/>
      <c r="CT61" s="2"/>
      <c r="CU61" s="2"/>
      <c r="CV61" s="2"/>
      <c r="CW61" s="98"/>
      <c r="CX61" s="97"/>
      <c r="CY61" s="2"/>
      <c r="CZ61" s="1"/>
      <c r="DA61" s="2"/>
      <c r="DB61" s="2"/>
      <c r="DC61" s="1"/>
      <c r="DD61" s="2"/>
      <c r="DE61" s="2"/>
      <c r="DF61" s="1"/>
      <c r="DG61" s="2"/>
      <c r="DH61" s="2"/>
      <c r="DI61" s="2"/>
      <c r="DJ61" s="2"/>
      <c r="DK61" s="1"/>
      <c r="DL61" s="2"/>
      <c r="DM61" s="2"/>
      <c r="DN61" s="2"/>
      <c r="DO61" s="98"/>
      <c r="DP61" s="97"/>
      <c r="DQ61" s="2"/>
      <c r="DR61" s="1"/>
      <c r="DS61" s="2"/>
      <c r="DT61" s="2"/>
      <c r="DU61" s="1"/>
      <c r="DV61" s="2"/>
      <c r="DW61" s="2"/>
      <c r="DX61" s="1"/>
      <c r="DY61" s="2"/>
      <c r="DZ61" s="2"/>
      <c r="EA61" s="2"/>
      <c r="EB61" s="2"/>
      <c r="EC61" s="1"/>
      <c r="ED61" s="2"/>
      <c r="EE61" s="2"/>
      <c r="EF61" s="2"/>
      <c r="EG61" s="98"/>
      <c r="EH61" s="97"/>
      <c r="EI61" s="2"/>
      <c r="EJ61" s="1"/>
      <c r="EK61" s="2"/>
      <c r="EL61" s="2"/>
      <c r="EM61" s="2"/>
      <c r="EN61" s="2"/>
      <c r="EO61" s="2"/>
      <c r="EP61" s="1"/>
      <c r="EQ61" s="2"/>
      <c r="ER61" s="2"/>
      <c r="ES61" s="2"/>
      <c r="ET61" s="1"/>
      <c r="EU61" s="2"/>
      <c r="EV61" s="2"/>
      <c r="EW61" s="2"/>
      <c r="EX61" s="98"/>
      <c r="EY61" s="97"/>
      <c r="EZ61" s="1"/>
      <c r="FA61" s="2"/>
      <c r="FB61" s="2"/>
      <c r="FC61" s="2"/>
      <c r="FD61" s="1"/>
      <c r="FE61" s="2"/>
      <c r="FF61" s="2"/>
      <c r="FG61" s="1"/>
      <c r="FH61" s="2"/>
      <c r="FI61" s="2"/>
      <c r="FJ61" s="2"/>
      <c r="FK61" s="2"/>
      <c r="FL61" s="2"/>
      <c r="FM61" s="2"/>
      <c r="FN61" s="2"/>
      <c r="FO61" s="2"/>
      <c r="FP61" s="1"/>
      <c r="FQ61" s="2"/>
      <c r="FR61" s="2"/>
      <c r="FS61" s="2"/>
      <c r="FT61"/>
      <c r="FU61" s="2"/>
      <c r="FV61" s="2"/>
      <c r="FW61" s="2"/>
      <c r="FX61" s="1">
        <v>-1</v>
      </c>
      <c r="FY61" s="1">
        <v>-1</v>
      </c>
      <c r="FZ61" s="1">
        <v>-1</v>
      </c>
      <c r="GA61" s="1">
        <v>-1</v>
      </c>
      <c r="GB61" s="1">
        <v>-1</v>
      </c>
      <c r="GC61" s="1">
        <v>-1</v>
      </c>
      <c r="GD61" s="1">
        <v>-1</v>
      </c>
      <c r="GE61" s="1">
        <v>-1</v>
      </c>
      <c r="GF61" s="1">
        <v>-1</v>
      </c>
      <c r="GG61" s="1"/>
      <c r="GH61" s="1"/>
      <c r="GI61" s="1"/>
      <c r="GJ61" s="1"/>
      <c r="GK61" s="1"/>
      <c r="GL61" s="1"/>
      <c r="GM61" s="1">
        <v>-9</v>
      </c>
      <c r="GN61" s="3"/>
      <c r="GO61" s="3"/>
      <c r="GP61" s="2"/>
      <c r="GQ61" s="2" t="s">
        <v>277</v>
      </c>
      <c r="GR61" s="2" t="s">
        <v>277</v>
      </c>
      <c r="GS61" s="1">
        <v>9</v>
      </c>
      <c r="GT61" s="1">
        <v>9</v>
      </c>
      <c r="GU61" s="1">
        <v>31</v>
      </c>
      <c r="GV61" s="1">
        <v>10</v>
      </c>
      <c r="GW61" s="4"/>
    </row>
    <row r="62" spans="1:205" s="17" customFormat="1" ht="13.8" thickBot="1" x14ac:dyDescent="0.3">
      <c r="A62" s="68">
        <v>162</v>
      </c>
      <c r="B62" s="69" t="s">
        <v>321</v>
      </c>
      <c r="C62" s="69">
        <v>22</v>
      </c>
      <c r="D62" s="69" t="s">
        <v>353</v>
      </c>
      <c r="E62" s="69" t="s">
        <v>422</v>
      </c>
      <c r="F62" s="69" t="s">
        <v>281</v>
      </c>
      <c r="G62" s="69" t="s">
        <v>282</v>
      </c>
      <c r="H62" s="69" t="s">
        <v>282</v>
      </c>
      <c r="I62" s="69" t="s">
        <v>282</v>
      </c>
      <c r="J62" s="69" t="s">
        <v>282</v>
      </c>
      <c r="K62" s="69" t="s">
        <v>281</v>
      </c>
      <c r="L62" s="69" t="s">
        <v>282</v>
      </c>
      <c r="M62" s="69" t="s">
        <v>282</v>
      </c>
      <c r="N62" s="69" t="s">
        <v>282</v>
      </c>
      <c r="O62" s="68">
        <v>0</v>
      </c>
      <c r="P62" s="69"/>
      <c r="Q62" s="69"/>
      <c r="R62" s="69" t="s">
        <v>283</v>
      </c>
      <c r="S62" s="69" t="s">
        <v>378</v>
      </c>
      <c r="T62" s="69"/>
      <c r="U62" s="69"/>
      <c r="V62" s="69"/>
      <c r="W62" s="69"/>
      <c r="X62" s="69" t="s">
        <v>346</v>
      </c>
      <c r="Y62" s="68">
        <v>2</v>
      </c>
      <c r="Z62" s="69" t="s">
        <v>453</v>
      </c>
      <c r="AA62" s="69" t="s">
        <v>365</v>
      </c>
      <c r="AB62" s="69" t="s">
        <v>303</v>
      </c>
      <c r="AC62" s="69" t="s">
        <v>302</v>
      </c>
      <c r="AD62" s="68">
        <v>0</v>
      </c>
      <c r="AE62" s="69"/>
      <c r="AF62" s="69"/>
      <c r="AG62" s="69" t="s">
        <v>288</v>
      </c>
      <c r="AH62" s="98" t="s">
        <v>298</v>
      </c>
      <c r="AI62" s="97" t="str">
        <f t="shared" si="0"/>
        <v/>
      </c>
      <c r="AJ62" s="69" t="s">
        <v>331</v>
      </c>
      <c r="AK62" s="68">
        <v>0</v>
      </c>
      <c r="AL62" s="69"/>
      <c r="AM62" s="69"/>
      <c r="AN62" s="68">
        <v>1</v>
      </c>
      <c r="AO62" s="69" t="s">
        <v>454</v>
      </c>
      <c r="AP62" s="69"/>
      <c r="AQ62" s="69" t="s">
        <v>299</v>
      </c>
      <c r="AR62" s="68">
        <v>1</v>
      </c>
      <c r="AS62" s="69" t="s">
        <v>455</v>
      </c>
      <c r="AT62" s="69"/>
      <c r="AU62" s="69" t="s">
        <v>294</v>
      </c>
      <c r="AV62" s="69" t="s">
        <v>287</v>
      </c>
      <c r="AW62" s="68">
        <v>1</v>
      </c>
      <c r="AX62" s="69"/>
      <c r="AY62" s="69" t="s">
        <v>297</v>
      </c>
      <c r="AZ62" s="69" t="s">
        <v>288</v>
      </c>
      <c r="BA62" s="99" t="s">
        <v>840</v>
      </c>
      <c r="BB62" s="97">
        <v>1</v>
      </c>
      <c r="BC62" s="69" t="s">
        <v>287</v>
      </c>
      <c r="BD62" s="68">
        <v>0</v>
      </c>
      <c r="BE62" s="69"/>
      <c r="BF62" s="69"/>
      <c r="BG62" s="68">
        <v>1</v>
      </c>
      <c r="BH62" s="69" t="s">
        <v>456</v>
      </c>
      <c r="BI62" s="69" t="s">
        <v>299</v>
      </c>
      <c r="BJ62" s="69" t="s">
        <v>294</v>
      </c>
      <c r="BK62" s="69" t="s">
        <v>297</v>
      </c>
      <c r="BL62" s="68">
        <v>0</v>
      </c>
      <c r="BM62" s="69"/>
      <c r="BN62" s="69"/>
      <c r="BO62" s="69" t="s">
        <v>324</v>
      </c>
      <c r="BP62" s="69" t="s">
        <v>297</v>
      </c>
      <c r="BQ62" s="68">
        <v>0</v>
      </c>
      <c r="BR62" s="69"/>
      <c r="BS62" s="69"/>
      <c r="BT62" s="68">
        <v>1</v>
      </c>
      <c r="BU62" s="69" t="s">
        <v>457</v>
      </c>
      <c r="BV62" s="69" t="s">
        <v>299</v>
      </c>
      <c r="BW62" s="68">
        <v>0</v>
      </c>
      <c r="BX62" s="69"/>
      <c r="BY62" s="69"/>
      <c r="BZ62" s="69"/>
      <c r="CA62" s="68">
        <v>0</v>
      </c>
      <c r="CB62" s="69"/>
      <c r="CC62" s="69"/>
      <c r="CD62" s="69"/>
      <c r="CE62" s="97"/>
      <c r="CF62" s="97"/>
      <c r="CG62" s="69"/>
      <c r="CH62" s="68">
        <v>0</v>
      </c>
      <c r="CI62" s="69"/>
      <c r="CJ62" s="69"/>
      <c r="CK62" s="68">
        <v>0</v>
      </c>
      <c r="CL62" s="69"/>
      <c r="CM62" s="69"/>
      <c r="CN62" s="68">
        <v>1</v>
      </c>
      <c r="CO62" s="69" t="s">
        <v>359</v>
      </c>
      <c r="CP62" s="69"/>
      <c r="CQ62" s="69" t="s">
        <v>303</v>
      </c>
      <c r="CR62" s="69" t="s">
        <v>297</v>
      </c>
      <c r="CS62" s="68">
        <v>0</v>
      </c>
      <c r="CT62" s="69"/>
      <c r="CU62" s="69"/>
      <c r="CV62" s="69" t="s">
        <v>305</v>
      </c>
      <c r="CW62" s="98" t="s">
        <v>305</v>
      </c>
      <c r="CX62" s="97">
        <f t="shared" si="3"/>
        <v>1</v>
      </c>
      <c r="CY62" s="69" t="s">
        <v>297</v>
      </c>
      <c r="CZ62" s="68">
        <v>0</v>
      </c>
      <c r="DA62" s="69"/>
      <c r="DB62" s="69"/>
      <c r="DC62" s="68">
        <v>0</v>
      </c>
      <c r="DD62" s="69"/>
      <c r="DE62" s="69" t="s">
        <v>299</v>
      </c>
      <c r="DF62" s="68">
        <v>1</v>
      </c>
      <c r="DG62" s="69" t="s">
        <v>383</v>
      </c>
      <c r="DH62" s="69"/>
      <c r="DI62" s="69" t="s">
        <v>303</v>
      </c>
      <c r="DJ62" s="69" t="s">
        <v>297</v>
      </c>
      <c r="DK62" s="68">
        <v>0</v>
      </c>
      <c r="DL62" s="69"/>
      <c r="DM62" s="69"/>
      <c r="DN62" s="69" t="s">
        <v>324</v>
      </c>
      <c r="DO62" s="98" t="s">
        <v>324</v>
      </c>
      <c r="DP62" s="97">
        <f t="shared" si="4"/>
        <v>1</v>
      </c>
      <c r="DQ62" s="69" t="s">
        <v>297</v>
      </c>
      <c r="DR62" s="68">
        <v>0</v>
      </c>
      <c r="DS62" s="69"/>
      <c r="DT62" s="69"/>
      <c r="DU62" s="68">
        <v>1</v>
      </c>
      <c r="DV62" s="69" t="s">
        <v>457</v>
      </c>
      <c r="DW62" s="69" t="s">
        <v>328</v>
      </c>
      <c r="DX62" s="68">
        <v>1</v>
      </c>
      <c r="DY62" s="69" t="s">
        <v>458</v>
      </c>
      <c r="DZ62" s="69"/>
      <c r="EA62" s="69" t="s">
        <v>303</v>
      </c>
      <c r="EB62" s="69" t="s">
        <v>331</v>
      </c>
      <c r="EC62" s="68">
        <v>0</v>
      </c>
      <c r="ED62" s="69"/>
      <c r="EE62" s="69"/>
      <c r="EF62" s="69" t="s">
        <v>305</v>
      </c>
      <c r="EG62" s="98" t="s">
        <v>305</v>
      </c>
      <c r="EH62" s="97">
        <f t="shared" si="5"/>
        <v>1</v>
      </c>
      <c r="EI62" s="69" t="s">
        <v>331</v>
      </c>
      <c r="EJ62" s="68">
        <v>0</v>
      </c>
      <c r="EK62" s="69"/>
      <c r="EL62" s="69"/>
      <c r="EM62" s="69"/>
      <c r="EN62" s="69" t="s">
        <v>761</v>
      </c>
      <c r="EO62" s="69" t="s">
        <v>328</v>
      </c>
      <c r="EP62" s="68">
        <v>1</v>
      </c>
      <c r="EQ62" s="69" t="s">
        <v>459</v>
      </c>
      <c r="ER62" s="69" t="s">
        <v>303</v>
      </c>
      <c r="ES62" s="69" t="s">
        <v>331</v>
      </c>
      <c r="ET62" s="68">
        <v>0</v>
      </c>
      <c r="EU62" s="69"/>
      <c r="EV62" s="69"/>
      <c r="EW62" s="69" t="s">
        <v>288</v>
      </c>
      <c r="EX62" s="98" t="s">
        <v>288</v>
      </c>
      <c r="EY62" s="97">
        <f t="shared" si="6"/>
        <v>1</v>
      </c>
      <c r="EZ62" s="68">
        <v>0</v>
      </c>
      <c r="FA62" s="69"/>
      <c r="FB62" s="69"/>
      <c r="FC62" s="69" t="s">
        <v>460</v>
      </c>
      <c r="FD62" s="68">
        <v>0</v>
      </c>
      <c r="FE62" s="69"/>
      <c r="FF62" s="69" t="s">
        <v>328</v>
      </c>
      <c r="FG62" s="68">
        <v>0</v>
      </c>
      <c r="FH62" s="69"/>
      <c r="FI62" s="69"/>
      <c r="FJ62" s="69"/>
      <c r="FK62" s="69"/>
      <c r="FL62" s="69"/>
      <c r="FM62" s="69"/>
      <c r="FN62" s="69"/>
      <c r="FO62" s="69"/>
      <c r="FP62" s="68">
        <v>0</v>
      </c>
      <c r="FQ62" s="69"/>
      <c r="FR62" s="69"/>
      <c r="FS62" s="69"/>
      <c r="FT62" s="70"/>
      <c r="FU62" s="69" t="s">
        <v>335</v>
      </c>
      <c r="FV62" s="69" t="s">
        <v>461</v>
      </c>
      <c r="FW62" s="69"/>
      <c r="FX62" s="68">
        <v>-1</v>
      </c>
      <c r="FY62" s="68">
        <v>-1</v>
      </c>
      <c r="FZ62" s="68">
        <v>-1</v>
      </c>
      <c r="GA62" s="68">
        <v>-1</v>
      </c>
      <c r="GB62" s="68">
        <v>-1</v>
      </c>
      <c r="GC62" s="68">
        <v>-1</v>
      </c>
      <c r="GD62" s="68">
        <v>-1</v>
      </c>
      <c r="GE62" s="68">
        <v>-1</v>
      </c>
      <c r="GF62" s="68">
        <v>-1</v>
      </c>
      <c r="GG62" s="68">
        <v>-1</v>
      </c>
      <c r="GH62" s="68">
        <v>-1</v>
      </c>
      <c r="GI62" s="68">
        <v>-1</v>
      </c>
      <c r="GJ62" s="68">
        <v>-1</v>
      </c>
      <c r="GK62" s="68">
        <v>-1</v>
      </c>
      <c r="GL62" s="68">
        <v>-1</v>
      </c>
      <c r="GM62" s="68">
        <v>-15</v>
      </c>
      <c r="GN62" s="71"/>
      <c r="GO62" s="71"/>
      <c r="GP62" s="69" t="s">
        <v>319</v>
      </c>
      <c r="GQ62" s="69" t="s">
        <v>320</v>
      </c>
      <c r="GR62" s="69" t="s">
        <v>277</v>
      </c>
      <c r="GS62" s="68">
        <v>15</v>
      </c>
      <c r="GT62" s="68">
        <v>15</v>
      </c>
      <c r="GU62" s="68">
        <v>38</v>
      </c>
      <c r="GV62" s="68">
        <v>16</v>
      </c>
      <c r="GW62" s="72"/>
    </row>
    <row r="63" spans="1:205" x14ac:dyDescent="0.25">
      <c r="A63" s="1">
        <v>187</v>
      </c>
      <c r="B63" s="18" t="s">
        <v>421</v>
      </c>
      <c r="C63" s="18">
        <v>39.5</v>
      </c>
      <c r="D63" s="2" t="s">
        <v>353</v>
      </c>
      <c r="E63" s="2" t="s">
        <v>377</v>
      </c>
      <c r="F63" s="2" t="s">
        <v>281</v>
      </c>
      <c r="G63" s="2" t="s">
        <v>282</v>
      </c>
      <c r="H63" s="2" t="s">
        <v>281</v>
      </c>
      <c r="I63" s="2" t="s">
        <v>282</v>
      </c>
      <c r="J63" s="2" t="s">
        <v>282</v>
      </c>
      <c r="K63" s="2" t="s">
        <v>281</v>
      </c>
      <c r="L63" s="2" t="s">
        <v>282</v>
      </c>
      <c r="M63" s="2" t="s">
        <v>282</v>
      </c>
      <c r="N63" s="2" t="s">
        <v>282</v>
      </c>
      <c r="O63" s="1">
        <v>0</v>
      </c>
      <c r="P63" s="2"/>
      <c r="Q63" s="2"/>
      <c r="R63" s="2" t="s">
        <v>283</v>
      </c>
      <c r="S63" s="2" t="s">
        <v>284</v>
      </c>
      <c r="T63" s="2"/>
      <c r="U63" s="2"/>
      <c r="V63" s="2" t="s">
        <v>377</v>
      </c>
      <c r="W63" s="2"/>
      <c r="X63" s="2" t="s">
        <v>346</v>
      </c>
      <c r="Y63" s="1"/>
      <c r="Z63" s="2"/>
      <c r="AA63" s="2"/>
      <c r="AB63" s="2"/>
      <c r="AC63" s="2"/>
      <c r="AD63" s="1"/>
      <c r="AE63" s="2"/>
      <c r="AF63" s="2"/>
      <c r="AG63" s="2"/>
      <c r="AH63" s="98"/>
      <c r="AJ63" s="2"/>
      <c r="AK63" s="1"/>
      <c r="AL63" s="2"/>
      <c r="AM63" s="2"/>
      <c r="AN63" s="1"/>
      <c r="AO63" s="2"/>
      <c r="AP63" s="2"/>
      <c r="AQ63" s="2"/>
      <c r="AR63" s="1"/>
      <c r="AS63" s="2"/>
      <c r="AT63" s="2"/>
      <c r="AU63" s="2"/>
      <c r="AV63" s="2"/>
      <c r="AW63" s="1"/>
      <c r="AX63" s="2"/>
      <c r="AY63" s="2"/>
      <c r="AZ63" s="2"/>
      <c r="BA63" s="98"/>
      <c r="BC63" s="2"/>
      <c r="BD63" s="1"/>
      <c r="BE63" s="2"/>
      <c r="BF63" s="2"/>
      <c r="BG63" s="1"/>
      <c r="BH63" s="2"/>
      <c r="BI63" s="2"/>
      <c r="BJ63" s="2"/>
      <c r="BK63" s="2"/>
      <c r="BL63" s="1"/>
      <c r="BM63" s="2"/>
      <c r="BN63" s="2"/>
      <c r="BO63" s="2"/>
      <c r="BP63" s="2"/>
      <c r="BQ63" s="1"/>
      <c r="BR63" s="2"/>
      <c r="BS63" s="2"/>
      <c r="BT63" s="1"/>
      <c r="BU63" s="2"/>
      <c r="BV63" s="2"/>
      <c r="BW63" s="1"/>
      <c r="BX63" s="2"/>
      <c r="BY63" s="2"/>
      <c r="BZ63" s="2"/>
      <c r="CA63" s="1"/>
      <c r="CB63" s="2"/>
      <c r="CC63" s="2"/>
      <c r="CD63" s="2"/>
      <c r="CE63" s="97"/>
      <c r="CG63" s="2"/>
      <c r="CH63" s="1"/>
      <c r="CI63" s="2"/>
      <c r="CJ63" s="2"/>
      <c r="CK63" s="1"/>
      <c r="CL63" s="2"/>
      <c r="CM63" s="2"/>
      <c r="CN63" s="1"/>
      <c r="CO63" s="2"/>
      <c r="CP63" s="2"/>
      <c r="CQ63" s="2"/>
      <c r="CR63" s="2"/>
      <c r="CS63" s="1"/>
      <c r="CT63" s="2"/>
      <c r="CU63" s="2"/>
      <c r="CV63" s="2"/>
      <c r="CW63" s="98"/>
      <c r="CY63" s="2"/>
      <c r="CZ63" s="1"/>
      <c r="DA63" s="2"/>
      <c r="DB63" s="2"/>
      <c r="DC63" s="1"/>
      <c r="DD63" s="2"/>
      <c r="DE63" s="2"/>
      <c r="DF63" s="1"/>
      <c r="DG63" s="2"/>
      <c r="DH63" s="2"/>
      <c r="DI63" s="2"/>
      <c r="DJ63" s="2"/>
      <c r="DK63" s="1"/>
      <c r="DL63" s="2"/>
      <c r="DM63" s="2"/>
      <c r="DN63" s="2"/>
      <c r="DO63" s="98"/>
      <c r="DQ63" s="2"/>
      <c r="DR63" s="1"/>
      <c r="DS63" s="2"/>
      <c r="DT63" s="2"/>
      <c r="DU63" s="1"/>
      <c r="DV63" s="2"/>
      <c r="DW63" s="2"/>
      <c r="DX63" s="1"/>
      <c r="DY63" s="2"/>
      <c r="DZ63" s="2"/>
      <c r="EA63" s="2"/>
      <c r="EB63" s="2"/>
      <c r="EC63" s="1"/>
      <c r="ED63" s="2"/>
      <c r="EE63" s="2"/>
      <c r="EF63" s="2"/>
      <c r="EG63" s="98"/>
      <c r="EI63" s="2"/>
      <c r="EJ63" s="1"/>
      <c r="EK63" s="2"/>
      <c r="EL63" s="2"/>
      <c r="EM63" s="2"/>
      <c r="EN63" s="2"/>
      <c r="EO63" s="2"/>
      <c r="EP63" s="1"/>
      <c r="EQ63" s="2"/>
      <c r="ER63" s="2"/>
      <c r="ES63" s="2"/>
      <c r="ET63" s="1"/>
      <c r="EU63" s="2"/>
      <c r="EV63" s="2"/>
      <c r="EW63" s="2"/>
      <c r="EX63" s="98"/>
      <c r="EZ63" s="1"/>
      <c r="FA63" s="2"/>
      <c r="FB63" s="2"/>
      <c r="FC63" s="2"/>
      <c r="FD63" s="1"/>
      <c r="FE63" s="2"/>
      <c r="FF63" s="2"/>
      <c r="FG63" s="1"/>
      <c r="FH63" s="2"/>
      <c r="FI63" s="2"/>
      <c r="FJ63" s="2"/>
      <c r="FK63" s="2"/>
      <c r="FL63" s="2"/>
      <c r="FM63" s="2"/>
      <c r="FN63" s="2"/>
      <c r="FO63" s="2"/>
      <c r="FP63" s="1"/>
      <c r="FQ63" s="2"/>
      <c r="FR63" s="2"/>
      <c r="FS63" s="2"/>
      <c r="FU63" s="2"/>
      <c r="FV63" s="2"/>
      <c r="FW63" s="2"/>
      <c r="FX63" s="1">
        <v>-1</v>
      </c>
      <c r="FY63" s="1">
        <v>-1</v>
      </c>
      <c r="FZ63" s="1">
        <v>-1</v>
      </c>
      <c r="GA63" s="1">
        <v>-1</v>
      </c>
      <c r="GB63" s="1">
        <v>-1</v>
      </c>
      <c r="GC63" s="1"/>
      <c r="GD63" s="1"/>
      <c r="GE63" s="1"/>
      <c r="GF63" s="1"/>
      <c r="GG63" s="1"/>
      <c r="GH63" s="1"/>
      <c r="GI63" s="1"/>
      <c r="GJ63" s="1"/>
      <c r="GK63" s="1"/>
      <c r="GL63" s="1"/>
      <c r="GM63" s="1">
        <v>-5</v>
      </c>
      <c r="GN63" s="3"/>
      <c r="GO63" s="3"/>
      <c r="GP63" s="2"/>
      <c r="GQ63" s="2" t="s">
        <v>277</v>
      </c>
      <c r="GR63" s="2" t="s">
        <v>277</v>
      </c>
      <c r="GS63" s="1">
        <v>5</v>
      </c>
      <c r="GT63" s="1">
        <v>5</v>
      </c>
      <c r="GU63" s="1">
        <v>14</v>
      </c>
      <c r="GV63" s="1">
        <v>1</v>
      </c>
      <c r="GW63" s="4"/>
    </row>
    <row r="64" spans="1:205" s="50" customFormat="1" x14ac:dyDescent="0.25">
      <c r="A64" s="1">
        <v>188</v>
      </c>
      <c r="B64" s="18" t="s">
        <v>421</v>
      </c>
      <c r="C64" s="18">
        <v>39.5</v>
      </c>
      <c r="D64" s="2" t="s">
        <v>353</v>
      </c>
      <c r="E64" s="2" t="s">
        <v>377</v>
      </c>
      <c r="F64" s="2" t="s">
        <v>281</v>
      </c>
      <c r="G64" s="2" t="s">
        <v>282</v>
      </c>
      <c r="H64" s="2" t="s">
        <v>281</v>
      </c>
      <c r="I64" s="2" t="s">
        <v>282</v>
      </c>
      <c r="J64" s="2" t="s">
        <v>282</v>
      </c>
      <c r="K64" s="2" t="s">
        <v>281</v>
      </c>
      <c r="L64" s="2" t="s">
        <v>282</v>
      </c>
      <c r="M64" s="2" t="s">
        <v>282</v>
      </c>
      <c r="N64" s="2" t="s">
        <v>282</v>
      </c>
      <c r="O64" s="1">
        <v>0</v>
      </c>
      <c r="P64" s="2"/>
      <c r="Q64" s="2"/>
      <c r="R64" s="2" t="s">
        <v>283</v>
      </c>
      <c r="S64" s="2" t="s">
        <v>284</v>
      </c>
      <c r="T64" s="2"/>
      <c r="U64" s="2"/>
      <c r="V64" s="2"/>
      <c r="W64" s="2"/>
      <c r="X64" s="2" t="s">
        <v>346</v>
      </c>
      <c r="Y64" s="1">
        <v>1</v>
      </c>
      <c r="Z64" s="2" t="s">
        <v>507</v>
      </c>
      <c r="AA64" s="2"/>
      <c r="AB64" s="2" t="s">
        <v>301</v>
      </c>
      <c r="AC64" s="2" t="s">
        <v>331</v>
      </c>
      <c r="AD64" s="1">
        <v>0</v>
      </c>
      <c r="AE64" s="2"/>
      <c r="AF64" s="2"/>
      <c r="AG64" s="2" t="s">
        <v>305</v>
      </c>
      <c r="AH64" s="98" t="s">
        <v>305</v>
      </c>
      <c r="AI64" s="97">
        <f t="shared" si="0"/>
        <v>1</v>
      </c>
      <c r="AJ64" s="2" t="s">
        <v>331</v>
      </c>
      <c r="AK64" s="1">
        <v>0</v>
      </c>
      <c r="AL64" s="2"/>
      <c r="AM64" s="2"/>
      <c r="AN64" s="1">
        <v>1</v>
      </c>
      <c r="AO64" s="2" t="s">
        <v>508</v>
      </c>
      <c r="AP64" s="2"/>
      <c r="AQ64" s="2" t="s">
        <v>299</v>
      </c>
      <c r="AR64" s="1">
        <v>1</v>
      </c>
      <c r="AS64" s="2" t="s">
        <v>293</v>
      </c>
      <c r="AT64" s="2"/>
      <c r="AU64" s="2" t="s">
        <v>301</v>
      </c>
      <c r="AV64" s="2" t="s">
        <v>287</v>
      </c>
      <c r="AW64" s="1">
        <v>0</v>
      </c>
      <c r="AX64" s="2"/>
      <c r="AY64" s="2"/>
      <c r="AZ64" s="2" t="s">
        <v>324</v>
      </c>
      <c r="BA64" s="98" t="s">
        <v>840</v>
      </c>
      <c r="BB64" s="97">
        <v>1</v>
      </c>
      <c r="BC64" s="2" t="s">
        <v>500</v>
      </c>
      <c r="BD64" s="1">
        <v>0</v>
      </c>
      <c r="BE64" s="2"/>
      <c r="BF64" s="2"/>
      <c r="BG64" s="1">
        <v>1</v>
      </c>
      <c r="BH64" s="2" t="s">
        <v>509</v>
      </c>
      <c r="BI64" s="2" t="s">
        <v>299</v>
      </c>
      <c r="BJ64" s="2" t="s">
        <v>310</v>
      </c>
      <c r="BK64" s="2" t="s">
        <v>297</v>
      </c>
      <c r="BL64" s="1">
        <v>0</v>
      </c>
      <c r="BM64" s="2"/>
      <c r="BN64" s="2"/>
      <c r="BO64" s="2" t="s">
        <v>324</v>
      </c>
      <c r="BP64" s="2" t="s">
        <v>500</v>
      </c>
      <c r="BQ64" s="1">
        <v>0</v>
      </c>
      <c r="BR64" s="2"/>
      <c r="BS64" s="2"/>
      <c r="BT64" s="1">
        <v>1</v>
      </c>
      <c r="BU64" s="2" t="s">
        <v>510</v>
      </c>
      <c r="BV64" s="2" t="s">
        <v>299</v>
      </c>
      <c r="BW64" s="1">
        <v>1</v>
      </c>
      <c r="BX64" s="2" t="s">
        <v>511</v>
      </c>
      <c r="BY64" s="2" t="s">
        <v>310</v>
      </c>
      <c r="BZ64" s="2" t="s">
        <v>297</v>
      </c>
      <c r="CA64" s="1">
        <v>0</v>
      </c>
      <c r="CB64" s="2"/>
      <c r="CC64" s="2"/>
      <c r="CD64" s="2" t="s">
        <v>324</v>
      </c>
      <c r="CE64" s="97"/>
      <c r="CF64" s="97" t="str">
        <f t="shared" si="2"/>
        <v/>
      </c>
      <c r="CG64" s="2" t="s">
        <v>500</v>
      </c>
      <c r="CH64" s="1">
        <v>0</v>
      </c>
      <c r="CI64" s="2"/>
      <c r="CJ64" s="2"/>
      <c r="CK64" s="1">
        <v>0</v>
      </c>
      <c r="CL64" s="2"/>
      <c r="CM64" s="2" t="s">
        <v>299</v>
      </c>
      <c r="CN64" s="1">
        <v>1</v>
      </c>
      <c r="CO64" s="2" t="s">
        <v>359</v>
      </c>
      <c r="CP64" s="2"/>
      <c r="CQ64" s="2" t="s">
        <v>301</v>
      </c>
      <c r="CR64" s="2" t="s">
        <v>297</v>
      </c>
      <c r="CS64" s="1">
        <v>0</v>
      </c>
      <c r="CT64" s="2"/>
      <c r="CU64" s="2"/>
      <c r="CV64" s="2" t="s">
        <v>305</v>
      </c>
      <c r="CW64" s="98" t="s">
        <v>305</v>
      </c>
      <c r="CX64" s="97">
        <f t="shared" si="3"/>
        <v>1</v>
      </c>
      <c r="CY64" s="2" t="s">
        <v>500</v>
      </c>
      <c r="CZ64" s="1">
        <v>0</v>
      </c>
      <c r="DA64" s="2"/>
      <c r="DB64" s="2"/>
      <c r="DC64" s="1">
        <v>0</v>
      </c>
      <c r="DD64" s="2"/>
      <c r="DE64" s="2" t="s">
        <v>299</v>
      </c>
      <c r="DF64" s="1">
        <v>0</v>
      </c>
      <c r="DG64" s="2"/>
      <c r="DH64" s="2"/>
      <c r="DI64" s="2" t="s">
        <v>301</v>
      </c>
      <c r="DJ64" s="2" t="s">
        <v>297</v>
      </c>
      <c r="DK64" s="1">
        <v>0</v>
      </c>
      <c r="DL64" s="2"/>
      <c r="DM64" s="2"/>
      <c r="DN64" s="2" t="s">
        <v>288</v>
      </c>
      <c r="DO64" s="98"/>
      <c r="DP64" s="97" t="str">
        <f t="shared" si="4"/>
        <v/>
      </c>
      <c r="DQ64" s="2" t="s">
        <v>500</v>
      </c>
      <c r="DR64" s="1">
        <v>0</v>
      </c>
      <c r="DS64" s="2"/>
      <c r="DT64" s="2"/>
      <c r="DU64" s="1">
        <v>0</v>
      </c>
      <c r="DV64" s="2"/>
      <c r="DW64" s="2" t="s">
        <v>299</v>
      </c>
      <c r="DX64" s="1">
        <v>1</v>
      </c>
      <c r="DY64" s="2" t="s">
        <v>512</v>
      </c>
      <c r="DZ64" s="2"/>
      <c r="EA64" s="2" t="s">
        <v>303</v>
      </c>
      <c r="EB64" s="2" t="s">
        <v>331</v>
      </c>
      <c r="EC64" s="1">
        <v>0</v>
      </c>
      <c r="ED64" s="2"/>
      <c r="EE64" s="2"/>
      <c r="EF64" s="2" t="s">
        <v>298</v>
      </c>
      <c r="EG64" s="98" t="s">
        <v>298</v>
      </c>
      <c r="EH64" s="97">
        <f t="shared" si="5"/>
        <v>1</v>
      </c>
      <c r="EI64" s="2" t="s">
        <v>331</v>
      </c>
      <c r="EJ64" s="1">
        <v>0</v>
      </c>
      <c r="EK64" s="2"/>
      <c r="EL64" s="2"/>
      <c r="EM64" s="2" t="s">
        <v>412</v>
      </c>
      <c r="EN64" s="2"/>
      <c r="EO64" s="2" t="s">
        <v>299</v>
      </c>
      <c r="EP64" s="1">
        <v>1</v>
      </c>
      <c r="EQ64" s="2" t="s">
        <v>513</v>
      </c>
      <c r="ER64" s="2" t="s">
        <v>294</v>
      </c>
      <c r="ES64" s="2" t="s">
        <v>331</v>
      </c>
      <c r="ET64" s="1">
        <v>0</v>
      </c>
      <c r="EU64" s="2"/>
      <c r="EV64" s="2"/>
      <c r="EW64" s="2" t="s">
        <v>305</v>
      </c>
      <c r="EX64" s="98" t="s">
        <v>305</v>
      </c>
      <c r="EY64" s="97">
        <f t="shared" si="6"/>
        <v>1</v>
      </c>
      <c r="EZ64" s="1">
        <v>0</v>
      </c>
      <c r="FA64" s="2"/>
      <c r="FB64" s="2"/>
      <c r="FC64" s="2" t="s">
        <v>412</v>
      </c>
      <c r="FD64" s="1">
        <v>1</v>
      </c>
      <c r="FE64" s="2" t="s">
        <v>508</v>
      </c>
      <c r="FF64" s="2" t="s">
        <v>299</v>
      </c>
      <c r="FG64" s="1">
        <v>0</v>
      </c>
      <c r="FH64" s="2"/>
      <c r="FI64" s="2"/>
      <c r="FJ64" s="2"/>
      <c r="FK64" s="2"/>
      <c r="FL64" s="2" t="s">
        <v>397</v>
      </c>
      <c r="FM64" s="2" t="s">
        <v>514</v>
      </c>
      <c r="FN64" s="2" t="s">
        <v>515</v>
      </c>
      <c r="FO64" s="2" t="s">
        <v>516</v>
      </c>
      <c r="FP64" s="1">
        <v>2</v>
      </c>
      <c r="FQ64" s="2" t="s">
        <v>517</v>
      </c>
      <c r="FR64" s="2" t="s">
        <v>518</v>
      </c>
      <c r="FS64" s="2"/>
      <c r="FT64"/>
      <c r="FU64" s="2" t="s">
        <v>351</v>
      </c>
      <c r="FV64" s="2" t="s">
        <v>519</v>
      </c>
      <c r="FW64" s="2"/>
      <c r="FX64" s="1">
        <v>-1</v>
      </c>
      <c r="FY64" s="1">
        <v>-1</v>
      </c>
      <c r="FZ64" s="1">
        <v>-1</v>
      </c>
      <c r="GA64" s="1">
        <v>-1</v>
      </c>
      <c r="GB64" s="1">
        <v>-1</v>
      </c>
      <c r="GC64" s="1">
        <v>-1</v>
      </c>
      <c r="GD64" s="1">
        <v>-1</v>
      </c>
      <c r="GE64" s="1">
        <v>-1</v>
      </c>
      <c r="GF64" s="1">
        <v>-1</v>
      </c>
      <c r="GG64" s="1">
        <v>-1</v>
      </c>
      <c r="GH64" s="1">
        <v>-1</v>
      </c>
      <c r="GI64" s="1">
        <v>-1</v>
      </c>
      <c r="GJ64" s="1">
        <v>-1</v>
      </c>
      <c r="GK64" s="1">
        <v>-1</v>
      </c>
      <c r="GL64" s="1">
        <v>-1</v>
      </c>
      <c r="GM64" s="1">
        <v>-15</v>
      </c>
      <c r="GN64" s="3"/>
      <c r="GO64" s="3"/>
      <c r="GP64" s="2" t="s">
        <v>319</v>
      </c>
      <c r="GQ64" s="2" t="s">
        <v>320</v>
      </c>
      <c r="GR64" s="2" t="s">
        <v>277</v>
      </c>
      <c r="GS64" s="1">
        <v>15</v>
      </c>
      <c r="GT64" s="1">
        <v>15</v>
      </c>
      <c r="GU64" s="1">
        <v>29</v>
      </c>
      <c r="GV64" s="1">
        <v>7</v>
      </c>
      <c r="GW64" s="4"/>
    </row>
    <row r="65" spans="1:205" s="35" customFormat="1" ht="13.8" thickBot="1" x14ac:dyDescent="0.3">
      <c r="A65" s="68">
        <v>196</v>
      </c>
      <c r="B65" s="69" t="s">
        <v>421</v>
      </c>
      <c r="C65" s="69">
        <v>39.5</v>
      </c>
      <c r="D65" s="69" t="s">
        <v>353</v>
      </c>
      <c r="E65" s="69" t="s">
        <v>280</v>
      </c>
      <c r="F65" s="69" t="s">
        <v>281</v>
      </c>
      <c r="G65" s="69" t="s">
        <v>281</v>
      </c>
      <c r="H65" s="69" t="s">
        <v>281</v>
      </c>
      <c r="I65" s="69" t="s">
        <v>282</v>
      </c>
      <c r="J65" s="69" t="s">
        <v>282</v>
      </c>
      <c r="K65" s="69" t="s">
        <v>281</v>
      </c>
      <c r="L65" s="69" t="s">
        <v>282</v>
      </c>
      <c r="M65" s="69" t="s">
        <v>282</v>
      </c>
      <c r="N65" s="69" t="s">
        <v>282</v>
      </c>
      <c r="O65" s="68">
        <v>0</v>
      </c>
      <c r="P65" s="69"/>
      <c r="Q65" s="69"/>
      <c r="R65" s="69" t="s">
        <v>283</v>
      </c>
      <c r="S65" s="69" t="s">
        <v>322</v>
      </c>
      <c r="T65" s="69"/>
      <c r="U65" s="69"/>
      <c r="V65" s="69"/>
      <c r="W65" s="69"/>
      <c r="X65" s="69" t="s">
        <v>346</v>
      </c>
      <c r="Y65" s="68">
        <v>1</v>
      </c>
      <c r="Z65" s="69" t="s">
        <v>565</v>
      </c>
      <c r="AA65" s="69"/>
      <c r="AB65" s="69" t="s">
        <v>294</v>
      </c>
      <c r="AC65" s="69" t="s">
        <v>500</v>
      </c>
      <c r="AD65" s="68">
        <v>0</v>
      </c>
      <c r="AE65" s="69"/>
      <c r="AF65" s="69"/>
      <c r="AG65" s="69" t="s">
        <v>305</v>
      </c>
      <c r="AH65" s="98" t="s">
        <v>298</v>
      </c>
      <c r="AI65" s="97" t="str">
        <f t="shared" si="0"/>
        <v/>
      </c>
      <c r="AJ65" s="69" t="s">
        <v>331</v>
      </c>
      <c r="AK65" s="68">
        <v>0</v>
      </c>
      <c r="AL65" s="69"/>
      <c r="AM65" s="69"/>
      <c r="AN65" s="68">
        <v>1</v>
      </c>
      <c r="AO65" s="69" t="s">
        <v>566</v>
      </c>
      <c r="AP65" s="69"/>
      <c r="AQ65" s="69" t="s">
        <v>299</v>
      </c>
      <c r="AR65" s="68">
        <v>1</v>
      </c>
      <c r="AS65" s="69" t="s">
        <v>567</v>
      </c>
      <c r="AT65" s="69"/>
      <c r="AU65" s="69" t="s">
        <v>301</v>
      </c>
      <c r="AV65" s="69" t="s">
        <v>287</v>
      </c>
      <c r="AW65" s="68">
        <v>0</v>
      </c>
      <c r="AX65" s="69"/>
      <c r="AY65" s="69"/>
      <c r="AZ65" s="69" t="s">
        <v>324</v>
      </c>
      <c r="BA65" s="98" t="s">
        <v>324</v>
      </c>
      <c r="BB65" s="97">
        <f t="shared" si="1"/>
        <v>1</v>
      </c>
      <c r="BC65" s="69" t="s">
        <v>339</v>
      </c>
      <c r="BD65" s="68">
        <v>0</v>
      </c>
      <c r="BE65" s="69"/>
      <c r="BF65" s="69"/>
      <c r="BG65" s="68">
        <v>1</v>
      </c>
      <c r="BH65" s="69" t="s">
        <v>568</v>
      </c>
      <c r="BI65" s="69" t="s">
        <v>296</v>
      </c>
      <c r="BJ65" s="69" t="s">
        <v>303</v>
      </c>
      <c r="BK65" s="69" t="s">
        <v>297</v>
      </c>
      <c r="BL65" s="68">
        <v>0</v>
      </c>
      <c r="BM65" s="69"/>
      <c r="BN65" s="69"/>
      <c r="BO65" s="69" t="s">
        <v>324</v>
      </c>
      <c r="BP65" s="69" t="s">
        <v>500</v>
      </c>
      <c r="BQ65" s="68">
        <v>0</v>
      </c>
      <c r="BR65" s="69"/>
      <c r="BS65" s="69"/>
      <c r="BT65" s="68">
        <v>1</v>
      </c>
      <c r="BU65" s="69" t="s">
        <v>569</v>
      </c>
      <c r="BV65" s="69" t="s">
        <v>296</v>
      </c>
      <c r="BW65" s="68">
        <v>1</v>
      </c>
      <c r="BX65" s="69" t="s">
        <v>570</v>
      </c>
      <c r="BY65" s="69" t="s">
        <v>294</v>
      </c>
      <c r="BZ65" s="69" t="s">
        <v>297</v>
      </c>
      <c r="CA65" s="68">
        <v>0</v>
      </c>
      <c r="CB65" s="69"/>
      <c r="CC65" s="69"/>
      <c r="CD65" s="69" t="s">
        <v>288</v>
      </c>
      <c r="CE65" s="97" t="s">
        <v>288</v>
      </c>
      <c r="CF65" s="97">
        <f t="shared" si="2"/>
        <v>1</v>
      </c>
      <c r="CG65" s="69" t="s">
        <v>339</v>
      </c>
      <c r="CH65" s="68">
        <v>0</v>
      </c>
      <c r="CI65" s="69"/>
      <c r="CJ65" s="69"/>
      <c r="CK65" s="68">
        <v>1</v>
      </c>
      <c r="CL65" s="69" t="s">
        <v>406</v>
      </c>
      <c r="CM65" s="69" t="s">
        <v>296</v>
      </c>
      <c r="CN65" s="68">
        <v>1</v>
      </c>
      <c r="CO65" s="69" t="s">
        <v>571</v>
      </c>
      <c r="CP65" s="69"/>
      <c r="CQ65" s="69" t="s">
        <v>294</v>
      </c>
      <c r="CR65" s="69" t="s">
        <v>297</v>
      </c>
      <c r="CS65" s="68">
        <v>0</v>
      </c>
      <c r="CT65" s="69"/>
      <c r="CU65" s="69"/>
      <c r="CV65" s="69" t="s">
        <v>288</v>
      </c>
      <c r="CW65" s="98" t="s">
        <v>837</v>
      </c>
      <c r="CX65" s="97">
        <f t="shared" si="3"/>
        <v>1</v>
      </c>
      <c r="CY65" s="69" t="s">
        <v>339</v>
      </c>
      <c r="CZ65" s="68">
        <v>0</v>
      </c>
      <c r="DA65" s="69"/>
      <c r="DB65" s="69"/>
      <c r="DC65" s="68">
        <v>0</v>
      </c>
      <c r="DD65" s="69"/>
      <c r="DE65" s="69"/>
      <c r="DF65" s="68">
        <v>1</v>
      </c>
      <c r="DG65" s="69" t="s">
        <v>572</v>
      </c>
      <c r="DH65" s="69"/>
      <c r="DI65" s="69" t="s">
        <v>294</v>
      </c>
      <c r="DJ65" s="69" t="s">
        <v>297</v>
      </c>
      <c r="DK65" s="68">
        <v>0</v>
      </c>
      <c r="DL65" s="69"/>
      <c r="DM65" s="69"/>
      <c r="DN65" s="69" t="s">
        <v>288</v>
      </c>
      <c r="DO65" s="98" t="s">
        <v>288</v>
      </c>
      <c r="DP65" s="97">
        <f t="shared" si="4"/>
        <v>1</v>
      </c>
      <c r="DQ65" s="69" t="s">
        <v>339</v>
      </c>
      <c r="DR65" s="68">
        <v>0</v>
      </c>
      <c r="DS65" s="69"/>
      <c r="DT65" s="69"/>
      <c r="DU65" s="68">
        <v>0</v>
      </c>
      <c r="DV65" s="69"/>
      <c r="DW65" s="69" t="s">
        <v>296</v>
      </c>
      <c r="DX65" s="68">
        <v>1</v>
      </c>
      <c r="DY65" s="69" t="s">
        <v>573</v>
      </c>
      <c r="DZ65" s="69"/>
      <c r="EA65" s="69" t="s">
        <v>294</v>
      </c>
      <c r="EB65" s="69" t="s">
        <v>331</v>
      </c>
      <c r="EC65" s="68">
        <v>0</v>
      </c>
      <c r="ED65" s="69"/>
      <c r="EE65" s="69"/>
      <c r="EF65" s="69" t="s">
        <v>298</v>
      </c>
      <c r="EG65" s="98" t="s">
        <v>298</v>
      </c>
      <c r="EH65" s="97">
        <f t="shared" si="5"/>
        <v>1</v>
      </c>
      <c r="EI65" s="69" t="s">
        <v>331</v>
      </c>
      <c r="EJ65" s="68">
        <v>0</v>
      </c>
      <c r="EK65" s="69"/>
      <c r="EL65" s="69"/>
      <c r="EM65" s="69"/>
      <c r="EN65" s="69"/>
      <c r="EO65" s="69" t="s">
        <v>328</v>
      </c>
      <c r="EP65" s="68">
        <v>1</v>
      </c>
      <c r="EQ65" s="69" t="s">
        <v>374</v>
      </c>
      <c r="ER65" s="69" t="s">
        <v>294</v>
      </c>
      <c r="ES65" s="69" t="s">
        <v>331</v>
      </c>
      <c r="ET65" s="68">
        <v>0</v>
      </c>
      <c r="EU65" s="69"/>
      <c r="EV65" s="69"/>
      <c r="EW65" s="69" t="s">
        <v>305</v>
      </c>
      <c r="EX65" s="98" t="s">
        <v>305</v>
      </c>
      <c r="EY65" s="97">
        <f t="shared" si="6"/>
        <v>1</v>
      </c>
      <c r="EZ65" s="68">
        <v>0</v>
      </c>
      <c r="FA65" s="69"/>
      <c r="FB65" s="69"/>
      <c r="FC65" s="69"/>
      <c r="FD65" s="68">
        <v>0</v>
      </c>
      <c r="FE65" s="69"/>
      <c r="FF65" s="69" t="s">
        <v>299</v>
      </c>
      <c r="FG65" s="68">
        <v>1</v>
      </c>
      <c r="FH65" s="69"/>
      <c r="FI65" s="69" t="s">
        <v>404</v>
      </c>
      <c r="FJ65" s="69"/>
      <c r="FK65" s="69"/>
      <c r="FL65" s="69"/>
      <c r="FM65" s="69" t="s">
        <v>574</v>
      </c>
      <c r="FN65" s="69"/>
      <c r="FO65" s="69"/>
      <c r="FP65" s="68">
        <v>1</v>
      </c>
      <c r="FQ65" s="69"/>
      <c r="FR65" s="69" t="s">
        <v>575</v>
      </c>
      <c r="FS65" s="69"/>
      <c r="FT65" s="70"/>
      <c r="FU65" s="69" t="s">
        <v>351</v>
      </c>
      <c r="FV65" s="69" t="s">
        <v>576</v>
      </c>
      <c r="FW65" s="69"/>
      <c r="FX65" s="68">
        <v>-1</v>
      </c>
      <c r="FY65" s="68">
        <v>-1</v>
      </c>
      <c r="FZ65" s="68">
        <v>-1</v>
      </c>
      <c r="GA65" s="68">
        <v>-1</v>
      </c>
      <c r="GB65" s="68">
        <v>-1</v>
      </c>
      <c r="GC65" s="68">
        <v>-1</v>
      </c>
      <c r="GD65" s="68">
        <v>-1</v>
      </c>
      <c r="GE65" s="68">
        <v>-1</v>
      </c>
      <c r="GF65" s="68">
        <v>-1</v>
      </c>
      <c r="GG65" s="68">
        <v>-1</v>
      </c>
      <c r="GH65" s="68">
        <v>-1</v>
      </c>
      <c r="GI65" s="68">
        <v>-1</v>
      </c>
      <c r="GJ65" s="68">
        <v>-1</v>
      </c>
      <c r="GK65" s="68">
        <v>-1</v>
      </c>
      <c r="GL65" s="68">
        <v>-1</v>
      </c>
      <c r="GM65" s="68">
        <v>-15</v>
      </c>
      <c r="GN65" s="71"/>
      <c r="GO65" s="71"/>
      <c r="GP65" s="69" t="s">
        <v>319</v>
      </c>
      <c r="GQ65" s="69" t="s">
        <v>320</v>
      </c>
      <c r="GR65" s="69" t="s">
        <v>277</v>
      </c>
      <c r="GS65" s="68">
        <v>15</v>
      </c>
      <c r="GT65" s="68">
        <v>15</v>
      </c>
      <c r="GU65" s="68">
        <v>31</v>
      </c>
      <c r="GV65" s="68">
        <v>8</v>
      </c>
      <c r="GW65" s="72"/>
    </row>
    <row r="66" spans="1:205" s="10" customFormat="1" x14ac:dyDescent="0.25">
      <c r="A66" s="51">
        <v>128</v>
      </c>
      <c r="B66" s="52" t="s">
        <v>347</v>
      </c>
      <c r="C66" s="52">
        <v>57.5</v>
      </c>
      <c r="D66" s="52" t="s">
        <v>279</v>
      </c>
      <c r="E66" s="52" t="s">
        <v>348</v>
      </c>
      <c r="F66" s="52" t="s">
        <v>281</v>
      </c>
      <c r="G66" s="52" t="s">
        <v>281</v>
      </c>
      <c r="H66" s="52" t="s">
        <v>281</v>
      </c>
      <c r="I66" s="52" t="s">
        <v>282</v>
      </c>
      <c r="J66" s="52" t="s">
        <v>282</v>
      </c>
      <c r="K66" s="52" t="s">
        <v>281</v>
      </c>
      <c r="L66" s="52" t="s">
        <v>282</v>
      </c>
      <c r="M66" s="52" t="s">
        <v>282</v>
      </c>
      <c r="N66" s="52" t="s">
        <v>281</v>
      </c>
      <c r="O66" s="51">
        <v>0</v>
      </c>
      <c r="P66" s="52"/>
      <c r="Q66" s="52"/>
      <c r="R66" s="52" t="s">
        <v>283</v>
      </c>
      <c r="S66" s="52" t="s">
        <v>322</v>
      </c>
      <c r="T66" s="52"/>
      <c r="U66" s="52"/>
      <c r="V66" s="52" t="s">
        <v>280</v>
      </c>
      <c r="W66" s="52"/>
      <c r="X66" s="52" t="s">
        <v>350</v>
      </c>
      <c r="Y66" s="51">
        <v>0</v>
      </c>
      <c r="Z66" s="52"/>
      <c r="AA66" s="52"/>
      <c r="AB66" s="52" t="s">
        <v>303</v>
      </c>
      <c r="AC66" s="52" t="s">
        <v>302</v>
      </c>
      <c r="AD66" s="51">
        <v>0</v>
      </c>
      <c r="AE66" s="52"/>
      <c r="AF66" s="52"/>
      <c r="AG66" s="52" t="s">
        <v>298</v>
      </c>
      <c r="AH66" s="98" t="s">
        <v>298</v>
      </c>
      <c r="AI66" s="97">
        <f t="shared" si="0"/>
        <v>1</v>
      </c>
      <c r="AJ66" s="52" t="s">
        <v>302</v>
      </c>
      <c r="AK66" s="51">
        <v>0</v>
      </c>
      <c r="AL66" s="52"/>
      <c r="AM66" s="52"/>
      <c r="AN66" s="51">
        <v>0</v>
      </c>
      <c r="AO66" s="52"/>
      <c r="AP66" s="52"/>
      <c r="AQ66" s="52" t="s">
        <v>296</v>
      </c>
      <c r="AR66" s="51">
        <v>0</v>
      </c>
      <c r="AS66" s="52"/>
      <c r="AT66" s="52"/>
      <c r="AU66" s="52" t="s">
        <v>301</v>
      </c>
      <c r="AV66" s="52" t="s">
        <v>287</v>
      </c>
      <c r="AW66" s="51">
        <v>0</v>
      </c>
      <c r="AX66" s="52"/>
      <c r="AY66" s="52"/>
      <c r="AZ66" s="52" t="s">
        <v>324</v>
      </c>
      <c r="BA66" s="98"/>
      <c r="BB66" s="97" t="str">
        <f t="shared" si="1"/>
        <v/>
      </c>
      <c r="BC66" s="52" t="s">
        <v>287</v>
      </c>
      <c r="BD66" s="51">
        <v>0</v>
      </c>
      <c r="BE66" s="52"/>
      <c r="BF66" s="52"/>
      <c r="BG66" s="51">
        <v>0</v>
      </c>
      <c r="BH66" s="52"/>
      <c r="BI66" s="52" t="s">
        <v>292</v>
      </c>
      <c r="BJ66" s="52" t="s">
        <v>294</v>
      </c>
      <c r="BK66" s="52" t="s">
        <v>297</v>
      </c>
      <c r="BL66" s="51">
        <v>0</v>
      </c>
      <c r="BM66" s="52"/>
      <c r="BN66" s="52"/>
      <c r="BO66" s="52" t="s">
        <v>324</v>
      </c>
      <c r="BP66" s="52" t="s">
        <v>297</v>
      </c>
      <c r="BQ66" s="51">
        <v>0</v>
      </c>
      <c r="BR66" s="52"/>
      <c r="BS66" s="52"/>
      <c r="BT66" s="51">
        <v>0</v>
      </c>
      <c r="BU66" s="52"/>
      <c r="BV66" s="52" t="s">
        <v>296</v>
      </c>
      <c r="BW66" s="51">
        <v>0</v>
      </c>
      <c r="BX66" s="52"/>
      <c r="BY66" s="52" t="s">
        <v>301</v>
      </c>
      <c r="BZ66" s="52" t="s">
        <v>297</v>
      </c>
      <c r="CA66" s="51">
        <v>0</v>
      </c>
      <c r="CB66" s="52"/>
      <c r="CC66" s="52"/>
      <c r="CD66" s="52" t="s">
        <v>288</v>
      </c>
      <c r="CE66" s="97"/>
      <c r="CF66" s="97" t="str">
        <f t="shared" si="2"/>
        <v/>
      </c>
      <c r="CG66" s="52" t="s">
        <v>297</v>
      </c>
      <c r="CH66" s="51">
        <v>0</v>
      </c>
      <c r="CI66" s="52"/>
      <c r="CJ66" s="52"/>
      <c r="CK66" s="51">
        <v>0</v>
      </c>
      <c r="CL66" s="52"/>
      <c r="CM66" s="52" t="s">
        <v>296</v>
      </c>
      <c r="CN66" s="51">
        <v>0</v>
      </c>
      <c r="CO66" s="52"/>
      <c r="CP66" s="52"/>
      <c r="CQ66" s="52" t="s">
        <v>294</v>
      </c>
      <c r="CR66" s="52" t="s">
        <v>302</v>
      </c>
      <c r="CS66" s="51">
        <v>0</v>
      </c>
      <c r="CT66" s="52"/>
      <c r="CU66" s="52"/>
      <c r="CV66" s="52" t="s">
        <v>305</v>
      </c>
      <c r="CW66" s="98"/>
      <c r="CX66" s="97" t="str">
        <f t="shared" si="3"/>
        <v/>
      </c>
      <c r="CY66" s="52" t="s">
        <v>302</v>
      </c>
      <c r="CZ66" s="51">
        <v>0</v>
      </c>
      <c r="DA66" s="52"/>
      <c r="DB66" s="52"/>
      <c r="DC66" s="51">
        <v>0</v>
      </c>
      <c r="DD66" s="52"/>
      <c r="DE66" s="52" t="s">
        <v>296</v>
      </c>
      <c r="DF66" s="51">
        <v>0</v>
      </c>
      <c r="DG66" s="52"/>
      <c r="DH66" s="52"/>
      <c r="DI66" s="52" t="s">
        <v>294</v>
      </c>
      <c r="DJ66" s="52" t="s">
        <v>302</v>
      </c>
      <c r="DK66" s="51">
        <v>0</v>
      </c>
      <c r="DL66" s="52"/>
      <c r="DM66" s="52"/>
      <c r="DN66" s="52" t="s">
        <v>298</v>
      </c>
      <c r="DO66" s="98"/>
      <c r="DP66" s="97" t="str">
        <f t="shared" si="4"/>
        <v/>
      </c>
      <c r="DQ66" s="52" t="s">
        <v>302</v>
      </c>
      <c r="DR66" s="51">
        <v>0</v>
      </c>
      <c r="DS66" s="52"/>
      <c r="DT66" s="52"/>
      <c r="DU66" s="51">
        <v>0</v>
      </c>
      <c r="DV66" s="52"/>
      <c r="DW66" s="52" t="s">
        <v>296</v>
      </c>
      <c r="DX66" s="51">
        <v>1</v>
      </c>
      <c r="DY66" s="52" t="s">
        <v>349</v>
      </c>
      <c r="DZ66" s="52"/>
      <c r="EA66" s="52" t="s">
        <v>303</v>
      </c>
      <c r="EB66" s="52" t="s">
        <v>331</v>
      </c>
      <c r="EC66" s="51">
        <v>0</v>
      </c>
      <c r="ED66" s="52"/>
      <c r="EE66" s="52"/>
      <c r="EF66" s="52"/>
      <c r="EG66" s="98" t="s">
        <v>298</v>
      </c>
      <c r="EH66" s="97" t="str">
        <f t="shared" si="5"/>
        <v/>
      </c>
      <c r="EI66" s="52" t="s">
        <v>331</v>
      </c>
      <c r="EJ66" s="51">
        <v>0</v>
      </c>
      <c r="EK66" s="52"/>
      <c r="EL66" s="52"/>
      <c r="EM66" s="52"/>
      <c r="EN66" s="52"/>
      <c r="EO66" s="52" t="s">
        <v>296</v>
      </c>
      <c r="EP66" s="51">
        <v>0</v>
      </c>
      <c r="EQ66" s="52"/>
      <c r="ER66" s="52" t="s">
        <v>303</v>
      </c>
      <c r="ES66" s="52" t="s">
        <v>331</v>
      </c>
      <c r="ET66" s="51">
        <v>0</v>
      </c>
      <c r="EU66" s="52"/>
      <c r="EV66" s="52"/>
      <c r="EW66" s="52" t="s">
        <v>324</v>
      </c>
      <c r="EX66" s="98" t="s">
        <v>305</v>
      </c>
      <c r="EY66" s="97" t="str">
        <f t="shared" si="6"/>
        <v/>
      </c>
      <c r="EZ66" s="51">
        <v>0</v>
      </c>
      <c r="FA66" s="52"/>
      <c r="FB66" s="52"/>
      <c r="FC66" s="52"/>
      <c r="FD66" s="51">
        <v>0</v>
      </c>
      <c r="FE66" s="52"/>
      <c r="FF66" s="52"/>
      <c r="FG66" s="51">
        <v>0</v>
      </c>
      <c r="FH66" s="52"/>
      <c r="FI66" s="52"/>
      <c r="FJ66" s="52"/>
      <c r="FK66" s="52"/>
      <c r="FL66" s="52"/>
      <c r="FM66" s="52"/>
      <c r="FN66" s="52"/>
      <c r="FO66" s="52"/>
      <c r="FP66" s="51">
        <v>0</v>
      </c>
      <c r="FQ66" s="52"/>
      <c r="FR66" s="52"/>
      <c r="FS66" s="52"/>
      <c r="FT66" s="48"/>
      <c r="FU66" s="52" t="s">
        <v>351</v>
      </c>
      <c r="FV66" s="52" t="s">
        <v>352</v>
      </c>
      <c r="FW66" s="52"/>
      <c r="FX66" s="51">
        <v>-1</v>
      </c>
      <c r="FY66" s="51">
        <v>-1</v>
      </c>
      <c r="FZ66" s="51">
        <v>-1</v>
      </c>
      <c r="GA66" s="51">
        <v>-1</v>
      </c>
      <c r="GB66" s="51">
        <v>-1</v>
      </c>
      <c r="GC66" s="51">
        <v>-1</v>
      </c>
      <c r="GD66" s="51">
        <v>-1</v>
      </c>
      <c r="GE66" s="51">
        <v>-1</v>
      </c>
      <c r="GF66" s="51">
        <v>-1</v>
      </c>
      <c r="GG66" s="51">
        <v>-1</v>
      </c>
      <c r="GH66" s="51">
        <v>-1</v>
      </c>
      <c r="GI66" s="51">
        <v>-1</v>
      </c>
      <c r="GJ66" s="51">
        <v>-1</v>
      </c>
      <c r="GK66" s="51">
        <v>-1</v>
      </c>
      <c r="GL66" s="51">
        <v>-1</v>
      </c>
      <c r="GM66" s="51">
        <v>-15</v>
      </c>
      <c r="GN66" s="53"/>
      <c r="GO66" s="53"/>
      <c r="GP66" s="52"/>
      <c r="GQ66" s="52" t="s">
        <v>320</v>
      </c>
      <c r="GR66" s="52" t="s">
        <v>277</v>
      </c>
      <c r="GS66" s="51">
        <v>15</v>
      </c>
      <c r="GT66" s="51">
        <v>15</v>
      </c>
      <c r="GU66" s="51">
        <v>51</v>
      </c>
      <c r="GV66" s="51">
        <v>22</v>
      </c>
      <c r="GW66" s="54"/>
    </row>
    <row r="67" spans="1:205" s="10" customFormat="1" x14ac:dyDescent="0.25">
      <c r="A67" s="51">
        <v>152</v>
      </c>
      <c r="B67" s="52" t="s">
        <v>347</v>
      </c>
      <c r="C67" s="52">
        <v>57.5</v>
      </c>
      <c r="D67" s="52" t="s">
        <v>353</v>
      </c>
      <c r="E67" s="52" t="s">
        <v>377</v>
      </c>
      <c r="F67" s="52" t="s">
        <v>281</v>
      </c>
      <c r="G67" s="52" t="s">
        <v>281</v>
      </c>
      <c r="H67" s="52" t="s">
        <v>282</v>
      </c>
      <c r="I67" s="52" t="s">
        <v>282</v>
      </c>
      <c r="J67" s="52" t="s">
        <v>282</v>
      </c>
      <c r="K67" s="52" t="s">
        <v>281</v>
      </c>
      <c r="L67" s="52" t="s">
        <v>282</v>
      </c>
      <c r="M67" s="52" t="s">
        <v>282</v>
      </c>
      <c r="N67" s="52" t="s">
        <v>282</v>
      </c>
      <c r="O67" s="51">
        <v>0</v>
      </c>
      <c r="P67" s="52"/>
      <c r="Q67" s="52"/>
      <c r="R67" s="52" t="s">
        <v>283</v>
      </c>
      <c r="S67" s="52" t="s">
        <v>322</v>
      </c>
      <c r="T67" s="52"/>
      <c r="U67" s="52"/>
      <c r="V67" s="52"/>
      <c r="W67" s="52"/>
      <c r="X67" s="52" t="s">
        <v>437</v>
      </c>
      <c r="Y67" s="51">
        <v>0</v>
      </c>
      <c r="Z67" s="52"/>
      <c r="AA67" s="52"/>
      <c r="AB67" s="52" t="s">
        <v>303</v>
      </c>
      <c r="AC67" s="52" t="s">
        <v>302</v>
      </c>
      <c r="AD67" s="51">
        <v>0</v>
      </c>
      <c r="AE67" s="52"/>
      <c r="AF67" s="52"/>
      <c r="AG67" s="52" t="s">
        <v>305</v>
      </c>
      <c r="AH67" s="98" t="s">
        <v>298</v>
      </c>
      <c r="AI67" s="97" t="str">
        <f t="shared" si="0"/>
        <v/>
      </c>
      <c r="AJ67" s="52" t="s">
        <v>302</v>
      </c>
      <c r="AK67" s="51">
        <v>0</v>
      </c>
      <c r="AL67" s="52"/>
      <c r="AM67" s="52"/>
      <c r="AN67" s="51">
        <v>0</v>
      </c>
      <c r="AO67" s="52"/>
      <c r="AP67" s="52"/>
      <c r="AQ67" s="52" t="s">
        <v>299</v>
      </c>
      <c r="AR67" s="51">
        <v>0</v>
      </c>
      <c r="AS67" s="52"/>
      <c r="AT67" s="52"/>
      <c r="AU67" s="52" t="s">
        <v>310</v>
      </c>
      <c r="AV67" s="52" t="s">
        <v>287</v>
      </c>
      <c r="AW67" s="51">
        <v>0</v>
      </c>
      <c r="AX67" s="52"/>
      <c r="AY67" s="52"/>
      <c r="AZ67" s="52" t="s">
        <v>324</v>
      </c>
      <c r="BA67" s="98"/>
      <c r="BB67" s="97" t="str">
        <f t="shared" si="1"/>
        <v/>
      </c>
      <c r="BC67" s="52" t="s">
        <v>339</v>
      </c>
      <c r="BD67" s="51">
        <v>1</v>
      </c>
      <c r="BE67" s="52" t="s">
        <v>434</v>
      </c>
      <c r="BF67" s="52"/>
      <c r="BG67" s="51">
        <v>1</v>
      </c>
      <c r="BH67" s="52" t="s">
        <v>435</v>
      </c>
      <c r="BI67" s="52" t="s">
        <v>296</v>
      </c>
      <c r="BJ67" s="52" t="s">
        <v>294</v>
      </c>
      <c r="BK67" s="52" t="s">
        <v>297</v>
      </c>
      <c r="BL67" s="51">
        <v>1</v>
      </c>
      <c r="BM67" s="52" t="s">
        <v>302</v>
      </c>
      <c r="BN67" s="52"/>
      <c r="BO67" s="52" t="s">
        <v>288</v>
      </c>
      <c r="BP67" s="52" t="s">
        <v>302</v>
      </c>
      <c r="BQ67" s="51">
        <v>0</v>
      </c>
      <c r="BR67" s="52"/>
      <c r="BS67" s="52"/>
      <c r="BT67" s="51">
        <v>0</v>
      </c>
      <c r="BU67" s="52"/>
      <c r="BV67" s="52" t="s">
        <v>296</v>
      </c>
      <c r="BW67" s="51">
        <v>0</v>
      </c>
      <c r="BX67" s="52"/>
      <c r="BY67" s="52" t="s">
        <v>303</v>
      </c>
      <c r="BZ67" s="52" t="s">
        <v>331</v>
      </c>
      <c r="CA67" s="51">
        <v>0</v>
      </c>
      <c r="CB67" s="52"/>
      <c r="CC67" s="52"/>
      <c r="CD67" s="52" t="s">
        <v>298</v>
      </c>
      <c r="CE67" s="97"/>
      <c r="CF67" s="97" t="str">
        <f t="shared" si="2"/>
        <v/>
      </c>
      <c r="CG67" s="52" t="s">
        <v>331</v>
      </c>
      <c r="CH67" s="51">
        <v>0</v>
      </c>
      <c r="CI67" s="52"/>
      <c r="CJ67" s="52"/>
      <c r="CK67" s="51">
        <v>0</v>
      </c>
      <c r="CL67" s="52"/>
      <c r="CM67" s="52" t="s">
        <v>296</v>
      </c>
      <c r="CN67" s="51">
        <v>0</v>
      </c>
      <c r="CO67" s="52"/>
      <c r="CP67" s="52"/>
      <c r="CQ67" s="52" t="s">
        <v>294</v>
      </c>
      <c r="CR67" s="52" t="s">
        <v>297</v>
      </c>
      <c r="CS67" s="51">
        <v>0</v>
      </c>
      <c r="CT67" s="52"/>
      <c r="CU67" s="52"/>
      <c r="CV67" s="52" t="s">
        <v>288</v>
      </c>
      <c r="CW67" s="98"/>
      <c r="CX67" s="97" t="str">
        <f t="shared" si="3"/>
        <v/>
      </c>
      <c r="CY67" s="52" t="s">
        <v>302</v>
      </c>
      <c r="CZ67" s="51">
        <v>0</v>
      </c>
      <c r="DA67" s="52"/>
      <c r="DB67" s="52"/>
      <c r="DC67" s="51">
        <v>0</v>
      </c>
      <c r="DD67" s="52"/>
      <c r="DE67" s="52" t="s">
        <v>299</v>
      </c>
      <c r="DF67" s="51">
        <v>0</v>
      </c>
      <c r="DG67" s="52"/>
      <c r="DH67" s="52"/>
      <c r="DI67" s="52" t="s">
        <v>303</v>
      </c>
      <c r="DJ67" s="52" t="s">
        <v>302</v>
      </c>
      <c r="DK67" s="51">
        <v>0</v>
      </c>
      <c r="DL67" s="52"/>
      <c r="DM67" s="52"/>
      <c r="DN67" s="52" t="s">
        <v>305</v>
      </c>
      <c r="DO67" s="98"/>
      <c r="DP67" s="97" t="str">
        <f t="shared" si="4"/>
        <v/>
      </c>
      <c r="DQ67" s="52" t="s">
        <v>302</v>
      </c>
      <c r="DR67" s="51">
        <v>0</v>
      </c>
      <c r="DS67" s="52"/>
      <c r="DT67" s="52"/>
      <c r="DU67" s="51">
        <v>0</v>
      </c>
      <c r="DV67" s="52"/>
      <c r="DW67" s="52" t="s">
        <v>299</v>
      </c>
      <c r="DX67" s="51">
        <v>0</v>
      </c>
      <c r="DY67" s="52"/>
      <c r="DZ67" s="52"/>
      <c r="EA67" s="52" t="s">
        <v>303</v>
      </c>
      <c r="EB67" s="52" t="s">
        <v>331</v>
      </c>
      <c r="EC67" s="51">
        <v>0</v>
      </c>
      <c r="ED67" s="52"/>
      <c r="EE67" s="52"/>
      <c r="EF67" s="52" t="s">
        <v>298</v>
      </c>
      <c r="EG67" s="98"/>
      <c r="EH67" s="97" t="str">
        <f t="shared" si="5"/>
        <v/>
      </c>
      <c r="EI67" s="52" t="s">
        <v>331</v>
      </c>
      <c r="EJ67" s="51">
        <v>0</v>
      </c>
      <c r="EK67" s="52"/>
      <c r="EL67" s="52"/>
      <c r="EM67" s="52"/>
      <c r="EN67" s="52"/>
      <c r="EO67" s="52" t="s">
        <v>296</v>
      </c>
      <c r="EP67" s="51">
        <v>0</v>
      </c>
      <c r="EQ67" s="52"/>
      <c r="ER67" s="52" t="s">
        <v>294</v>
      </c>
      <c r="ES67" s="52" t="s">
        <v>331</v>
      </c>
      <c r="ET67" s="51">
        <v>0</v>
      </c>
      <c r="EU67" s="52"/>
      <c r="EV67" s="52"/>
      <c r="EW67" s="52" t="s">
        <v>305</v>
      </c>
      <c r="EX67" s="98" t="s">
        <v>305</v>
      </c>
      <c r="EY67" s="97">
        <f t="shared" si="6"/>
        <v>1</v>
      </c>
      <c r="EZ67" s="51">
        <v>0</v>
      </c>
      <c r="FA67" s="52"/>
      <c r="FB67" s="52"/>
      <c r="FC67" s="52"/>
      <c r="FD67" s="51">
        <v>0</v>
      </c>
      <c r="FE67" s="52"/>
      <c r="FF67" s="52" t="s">
        <v>296</v>
      </c>
      <c r="FG67" s="51">
        <v>1</v>
      </c>
      <c r="FH67" s="52" t="s">
        <v>404</v>
      </c>
      <c r="FI67" s="52"/>
      <c r="FJ67" s="52"/>
      <c r="FK67" s="52"/>
      <c r="FL67" s="52"/>
      <c r="FM67" s="52"/>
      <c r="FN67" s="52"/>
      <c r="FO67" s="52"/>
      <c r="FP67" s="51">
        <v>1</v>
      </c>
      <c r="FQ67" s="52" t="s">
        <v>436</v>
      </c>
      <c r="FR67" s="52"/>
      <c r="FS67" s="52"/>
      <c r="FT67" s="48"/>
      <c r="FU67" s="52" t="s">
        <v>351</v>
      </c>
      <c r="FV67" s="52" t="s">
        <v>438</v>
      </c>
      <c r="FW67" s="52"/>
      <c r="FX67" s="51">
        <v>-1</v>
      </c>
      <c r="FY67" s="51">
        <v>-1</v>
      </c>
      <c r="FZ67" s="51">
        <v>-1</v>
      </c>
      <c r="GA67" s="51">
        <v>-1</v>
      </c>
      <c r="GB67" s="51">
        <v>-1</v>
      </c>
      <c r="GC67" s="51">
        <v>-1</v>
      </c>
      <c r="GD67" s="51">
        <v>-1</v>
      </c>
      <c r="GE67" s="51">
        <v>-1</v>
      </c>
      <c r="GF67" s="51">
        <v>-1</v>
      </c>
      <c r="GG67" s="51">
        <v>-1</v>
      </c>
      <c r="GH67" s="51">
        <v>-1</v>
      </c>
      <c r="GI67" s="51">
        <v>-1</v>
      </c>
      <c r="GJ67" s="51">
        <v>-1</v>
      </c>
      <c r="GK67" s="51">
        <v>-1</v>
      </c>
      <c r="GL67" s="51">
        <v>-1</v>
      </c>
      <c r="GM67" s="51">
        <v>-15</v>
      </c>
      <c r="GN67" s="53"/>
      <c r="GO67" s="53"/>
      <c r="GP67" s="52" t="s">
        <v>319</v>
      </c>
      <c r="GQ67" s="52" t="s">
        <v>320</v>
      </c>
      <c r="GR67" s="52" t="s">
        <v>277</v>
      </c>
      <c r="GS67" s="51">
        <v>15</v>
      </c>
      <c r="GT67" s="51">
        <v>15</v>
      </c>
      <c r="GU67" s="51">
        <v>45</v>
      </c>
      <c r="GV67" s="51">
        <v>17</v>
      </c>
      <c r="GW67" s="54"/>
    </row>
    <row r="68" spans="1:205" s="40" customFormat="1" x14ac:dyDescent="0.25">
      <c r="A68" s="51">
        <v>157</v>
      </c>
      <c r="B68" s="52" t="s">
        <v>347</v>
      </c>
      <c r="C68" s="52">
        <v>57.5</v>
      </c>
      <c r="D68" s="52" t="s">
        <v>353</v>
      </c>
      <c r="E68" s="52" t="s">
        <v>280</v>
      </c>
      <c r="F68" s="52" t="s">
        <v>281</v>
      </c>
      <c r="G68" s="52" t="s">
        <v>282</v>
      </c>
      <c r="H68" s="52" t="s">
        <v>281</v>
      </c>
      <c r="I68" s="52" t="s">
        <v>282</v>
      </c>
      <c r="J68" s="52" t="s">
        <v>282</v>
      </c>
      <c r="K68" s="52" t="s">
        <v>281</v>
      </c>
      <c r="L68" s="52" t="s">
        <v>282</v>
      </c>
      <c r="M68" s="52" t="s">
        <v>281</v>
      </c>
      <c r="N68" s="52" t="s">
        <v>282</v>
      </c>
      <c r="O68" s="51">
        <v>0</v>
      </c>
      <c r="P68" s="52"/>
      <c r="Q68" s="52"/>
      <c r="R68" s="52" t="s">
        <v>283</v>
      </c>
      <c r="S68" s="52" t="s">
        <v>322</v>
      </c>
      <c r="T68" s="52"/>
      <c r="U68" s="52"/>
      <c r="V68" s="52"/>
      <c r="W68" s="52"/>
      <c r="X68" s="52" t="s">
        <v>437</v>
      </c>
      <c r="Y68" s="51">
        <v>0</v>
      </c>
      <c r="Z68" s="52"/>
      <c r="AA68" s="52"/>
      <c r="AB68" s="52"/>
      <c r="AC68" s="52"/>
      <c r="AD68" s="51">
        <v>0</v>
      </c>
      <c r="AE68" s="52"/>
      <c r="AF68" s="52"/>
      <c r="AG68" s="52"/>
      <c r="AH68" s="98"/>
      <c r="AI68" s="97"/>
      <c r="AJ68" s="52"/>
      <c r="AK68" s="51">
        <v>0</v>
      </c>
      <c r="AL68" s="52"/>
      <c r="AM68" s="52"/>
      <c r="AN68" s="51">
        <v>0</v>
      </c>
      <c r="AO68" s="52"/>
      <c r="AP68" s="52"/>
      <c r="AQ68" s="52"/>
      <c r="AR68" s="51"/>
      <c r="AS68" s="52"/>
      <c r="AT68" s="52"/>
      <c r="AU68" s="52"/>
      <c r="AV68" s="52"/>
      <c r="AW68" s="51"/>
      <c r="AX68" s="52"/>
      <c r="AY68" s="52"/>
      <c r="AZ68" s="52"/>
      <c r="BA68" s="98"/>
      <c r="BB68" s="97"/>
      <c r="BC68" s="52"/>
      <c r="BD68" s="51"/>
      <c r="BE68" s="52"/>
      <c r="BF68" s="52"/>
      <c r="BG68" s="51"/>
      <c r="BH68" s="52"/>
      <c r="BI68" s="52"/>
      <c r="BJ68" s="52"/>
      <c r="BK68" s="52"/>
      <c r="BL68" s="51"/>
      <c r="BM68" s="52"/>
      <c r="BN68" s="52"/>
      <c r="BO68" s="52"/>
      <c r="BP68" s="52"/>
      <c r="BQ68" s="51"/>
      <c r="BR68" s="52"/>
      <c r="BS68" s="52"/>
      <c r="BT68" s="51"/>
      <c r="BU68" s="52"/>
      <c r="BV68" s="52"/>
      <c r="BW68" s="51"/>
      <c r="BX68" s="52"/>
      <c r="BY68" s="52"/>
      <c r="BZ68" s="52"/>
      <c r="CA68" s="51"/>
      <c r="CB68" s="52"/>
      <c r="CC68" s="52"/>
      <c r="CD68" s="52"/>
      <c r="CE68" s="97"/>
      <c r="CF68" s="97"/>
      <c r="CG68" s="52"/>
      <c r="CH68" s="51"/>
      <c r="CI68" s="52"/>
      <c r="CJ68" s="52"/>
      <c r="CK68" s="51"/>
      <c r="CL68" s="52"/>
      <c r="CM68" s="52"/>
      <c r="CN68" s="51"/>
      <c r="CO68" s="52"/>
      <c r="CP68" s="52"/>
      <c r="CQ68" s="52"/>
      <c r="CR68" s="52"/>
      <c r="CS68" s="51"/>
      <c r="CT68" s="52"/>
      <c r="CU68" s="52"/>
      <c r="CV68" s="52"/>
      <c r="CW68" s="98"/>
      <c r="CX68" s="97"/>
      <c r="CY68" s="52"/>
      <c r="CZ68" s="51"/>
      <c r="DA68" s="52"/>
      <c r="DB68" s="52"/>
      <c r="DC68" s="51"/>
      <c r="DD68" s="52"/>
      <c r="DE68" s="52"/>
      <c r="DF68" s="51"/>
      <c r="DG68" s="52"/>
      <c r="DH68" s="52"/>
      <c r="DI68" s="52"/>
      <c r="DJ68" s="52"/>
      <c r="DK68" s="51"/>
      <c r="DL68" s="52"/>
      <c r="DM68" s="52"/>
      <c r="DN68" s="52"/>
      <c r="DO68" s="98"/>
      <c r="DP68" s="97"/>
      <c r="DQ68" s="52"/>
      <c r="DR68" s="51"/>
      <c r="DS68" s="52"/>
      <c r="DT68" s="52"/>
      <c r="DU68" s="51"/>
      <c r="DV68" s="52"/>
      <c r="DW68" s="52"/>
      <c r="DX68" s="51"/>
      <c r="DY68" s="52"/>
      <c r="DZ68" s="52"/>
      <c r="EA68" s="52"/>
      <c r="EB68" s="52"/>
      <c r="EC68" s="51"/>
      <c r="ED68" s="52"/>
      <c r="EE68" s="52"/>
      <c r="EF68" s="52"/>
      <c r="EG68" s="98"/>
      <c r="EH68" s="97"/>
      <c r="EI68" s="52"/>
      <c r="EJ68" s="51"/>
      <c r="EK68" s="52"/>
      <c r="EL68" s="52"/>
      <c r="EM68" s="52"/>
      <c r="EN68" s="52"/>
      <c r="EO68" s="52"/>
      <c r="EP68" s="51"/>
      <c r="EQ68" s="52"/>
      <c r="ER68" s="52"/>
      <c r="ES68" s="52"/>
      <c r="ET68" s="51"/>
      <c r="EU68" s="52"/>
      <c r="EV68" s="52"/>
      <c r="EW68" s="52"/>
      <c r="EX68" s="98"/>
      <c r="EY68" s="97"/>
      <c r="EZ68" s="51"/>
      <c r="FA68" s="52"/>
      <c r="FB68" s="52"/>
      <c r="FC68" s="52"/>
      <c r="FD68" s="51"/>
      <c r="FE68" s="52"/>
      <c r="FF68" s="52"/>
      <c r="FG68" s="51"/>
      <c r="FH68" s="52"/>
      <c r="FI68" s="52"/>
      <c r="FJ68" s="52"/>
      <c r="FK68" s="52"/>
      <c r="FL68" s="52"/>
      <c r="FM68" s="52"/>
      <c r="FN68" s="52"/>
      <c r="FO68" s="52"/>
      <c r="FP68" s="51"/>
      <c r="FQ68" s="52"/>
      <c r="FR68" s="52"/>
      <c r="FS68" s="52"/>
      <c r="FT68" s="48"/>
      <c r="FU68" s="52"/>
      <c r="FV68" s="52"/>
      <c r="FW68" s="52"/>
      <c r="FX68" s="51">
        <v>-1</v>
      </c>
      <c r="FY68" s="51">
        <v>-1</v>
      </c>
      <c r="FZ68" s="51">
        <v>-1</v>
      </c>
      <c r="GA68" s="51">
        <v>-1</v>
      </c>
      <c r="GB68" s="51">
        <v>-1</v>
      </c>
      <c r="GC68" s="51">
        <v>-1</v>
      </c>
      <c r="GD68" s="51"/>
      <c r="GE68" s="51"/>
      <c r="GF68" s="51"/>
      <c r="GG68" s="51"/>
      <c r="GH68" s="51"/>
      <c r="GI68" s="51"/>
      <c r="GJ68" s="51"/>
      <c r="GK68" s="51"/>
      <c r="GL68" s="51"/>
      <c r="GM68" s="51">
        <v>-6</v>
      </c>
      <c r="GN68" s="53"/>
      <c r="GO68" s="53"/>
      <c r="GP68" s="52"/>
      <c r="GQ68" s="52" t="s">
        <v>277</v>
      </c>
      <c r="GR68" s="52" t="s">
        <v>277</v>
      </c>
      <c r="GS68" s="51">
        <v>5</v>
      </c>
      <c r="GT68" s="51">
        <v>6</v>
      </c>
      <c r="GU68" s="51">
        <v>65</v>
      </c>
      <c r="GV68" s="51">
        <v>50</v>
      </c>
      <c r="GW68" s="54"/>
    </row>
    <row r="69" spans="1:205" s="40" customFormat="1" x14ac:dyDescent="0.25">
      <c r="A69" s="51">
        <v>199</v>
      </c>
      <c r="B69" s="52" t="s">
        <v>347</v>
      </c>
      <c r="C69" s="52">
        <v>57.5</v>
      </c>
      <c r="D69" s="52" t="s">
        <v>353</v>
      </c>
      <c r="E69" s="52" t="s">
        <v>377</v>
      </c>
      <c r="F69" s="52" t="s">
        <v>281</v>
      </c>
      <c r="G69" s="52" t="s">
        <v>281</v>
      </c>
      <c r="H69" s="52" t="s">
        <v>282</v>
      </c>
      <c r="I69" s="52" t="s">
        <v>282</v>
      </c>
      <c r="J69" s="52" t="s">
        <v>282</v>
      </c>
      <c r="K69" s="52" t="s">
        <v>281</v>
      </c>
      <c r="L69" s="52" t="s">
        <v>282</v>
      </c>
      <c r="M69" s="52" t="s">
        <v>282</v>
      </c>
      <c r="N69" s="52" t="s">
        <v>282</v>
      </c>
      <c r="O69" s="51">
        <v>0</v>
      </c>
      <c r="P69" s="52"/>
      <c r="Q69" s="52"/>
      <c r="R69" s="52" t="s">
        <v>283</v>
      </c>
      <c r="S69" s="52" t="s">
        <v>322</v>
      </c>
      <c r="T69" s="52"/>
      <c r="U69" s="52"/>
      <c r="V69" s="52"/>
      <c r="W69" s="52"/>
      <c r="X69" s="52" t="s">
        <v>346</v>
      </c>
      <c r="Y69" s="51">
        <v>0</v>
      </c>
      <c r="Z69" s="52"/>
      <c r="AA69" s="52"/>
      <c r="AB69" s="52" t="s">
        <v>303</v>
      </c>
      <c r="AC69" s="52" t="s">
        <v>331</v>
      </c>
      <c r="AD69" s="51">
        <v>0</v>
      </c>
      <c r="AE69" s="52"/>
      <c r="AF69" s="52"/>
      <c r="AG69" s="52" t="s">
        <v>288</v>
      </c>
      <c r="AH69" s="98" t="s">
        <v>305</v>
      </c>
      <c r="AI69" s="97" t="str">
        <f t="shared" ref="AI69:AI74" si="13">IF(AH69=AG69,1,"")</f>
        <v/>
      </c>
      <c r="AJ69" s="52" t="s">
        <v>331</v>
      </c>
      <c r="AK69" s="51">
        <v>0</v>
      </c>
      <c r="AL69" s="52"/>
      <c r="AM69" s="52"/>
      <c r="AN69" s="51">
        <v>0</v>
      </c>
      <c r="AO69" s="52"/>
      <c r="AP69" s="52"/>
      <c r="AQ69" s="52" t="s">
        <v>366</v>
      </c>
      <c r="AR69" s="51">
        <v>0</v>
      </c>
      <c r="AS69" s="52"/>
      <c r="AT69" s="52"/>
      <c r="AU69" s="52" t="s">
        <v>294</v>
      </c>
      <c r="AV69" s="52" t="s">
        <v>287</v>
      </c>
      <c r="AW69" s="51">
        <v>0</v>
      </c>
      <c r="AX69" s="52"/>
      <c r="AY69" s="52"/>
      <c r="AZ69" s="52" t="s">
        <v>324</v>
      </c>
      <c r="BA69" s="98"/>
      <c r="BB69" s="97" t="str">
        <f t="shared" ref="BB69:BB74" si="14">IF(BA69=AZ69,1,"")</f>
        <v/>
      </c>
      <c r="BC69" s="52" t="s">
        <v>287</v>
      </c>
      <c r="BD69" s="51">
        <v>0</v>
      </c>
      <c r="BE69" s="52"/>
      <c r="BF69" s="52"/>
      <c r="BG69" s="51">
        <v>0</v>
      </c>
      <c r="BH69" s="52"/>
      <c r="BI69" s="52" t="s">
        <v>296</v>
      </c>
      <c r="BJ69" s="52" t="s">
        <v>303</v>
      </c>
      <c r="BK69" s="52" t="s">
        <v>297</v>
      </c>
      <c r="BL69" s="51">
        <v>0</v>
      </c>
      <c r="BM69" s="52"/>
      <c r="BN69" s="52"/>
      <c r="BO69" s="52" t="s">
        <v>324</v>
      </c>
      <c r="BP69" s="52" t="s">
        <v>287</v>
      </c>
      <c r="BQ69" s="51">
        <v>0</v>
      </c>
      <c r="BR69" s="52"/>
      <c r="BS69" s="52"/>
      <c r="BT69" s="51">
        <v>0</v>
      </c>
      <c r="BU69" s="52"/>
      <c r="BV69" s="52" t="s">
        <v>296</v>
      </c>
      <c r="BW69" s="51">
        <v>0</v>
      </c>
      <c r="BX69" s="52"/>
      <c r="BY69" s="52" t="s">
        <v>310</v>
      </c>
      <c r="BZ69" s="52" t="s">
        <v>297</v>
      </c>
      <c r="CA69" s="51">
        <v>0</v>
      </c>
      <c r="CB69" s="52"/>
      <c r="CC69" s="52"/>
      <c r="CD69" s="52" t="s">
        <v>324</v>
      </c>
      <c r="CE69" s="97"/>
      <c r="CF69" s="97" t="str">
        <f t="shared" si="2"/>
        <v/>
      </c>
      <c r="CG69" s="52" t="s">
        <v>297</v>
      </c>
      <c r="CH69" s="51">
        <v>0</v>
      </c>
      <c r="CI69" s="52"/>
      <c r="CJ69" s="52"/>
      <c r="CK69" s="51">
        <v>0</v>
      </c>
      <c r="CL69" s="52"/>
      <c r="CM69" s="52" t="s">
        <v>299</v>
      </c>
      <c r="CN69" s="51">
        <v>0</v>
      </c>
      <c r="CO69" s="52"/>
      <c r="CP69" s="52"/>
      <c r="CQ69" s="52" t="s">
        <v>303</v>
      </c>
      <c r="CR69" s="52" t="s">
        <v>302</v>
      </c>
      <c r="CS69" s="51">
        <v>1</v>
      </c>
      <c r="CT69" s="52"/>
      <c r="CU69" s="52" t="s">
        <v>297</v>
      </c>
      <c r="CV69" s="52" t="s">
        <v>305</v>
      </c>
      <c r="CW69" s="98"/>
      <c r="CX69" s="97" t="str">
        <f t="shared" si="3"/>
        <v/>
      </c>
      <c r="CY69" s="52" t="s">
        <v>302</v>
      </c>
      <c r="CZ69" s="51">
        <v>0</v>
      </c>
      <c r="DA69" s="52"/>
      <c r="DB69" s="52"/>
      <c r="DC69" s="51">
        <v>0</v>
      </c>
      <c r="DD69" s="52"/>
      <c r="DE69" s="52" t="s">
        <v>328</v>
      </c>
      <c r="DF69" s="51">
        <v>0</v>
      </c>
      <c r="DG69" s="52"/>
      <c r="DH69" s="52"/>
      <c r="DI69" s="52" t="s">
        <v>303</v>
      </c>
      <c r="DJ69" s="52" t="s">
        <v>331</v>
      </c>
      <c r="DK69" s="51">
        <v>0</v>
      </c>
      <c r="DL69" s="52"/>
      <c r="DM69" s="52"/>
      <c r="DN69" s="52" t="s">
        <v>298</v>
      </c>
      <c r="DO69" s="98"/>
      <c r="DP69" s="97" t="str">
        <f t="shared" si="4"/>
        <v/>
      </c>
      <c r="DQ69" s="52" t="s">
        <v>331</v>
      </c>
      <c r="DR69" s="51">
        <v>0</v>
      </c>
      <c r="DS69" s="52"/>
      <c r="DT69" s="52"/>
      <c r="DU69" s="51">
        <v>0</v>
      </c>
      <c r="DV69" s="52"/>
      <c r="DW69" s="52" t="s">
        <v>366</v>
      </c>
      <c r="DX69" s="51">
        <v>0</v>
      </c>
      <c r="DY69" s="52"/>
      <c r="DZ69" s="52"/>
      <c r="EA69" s="52" t="s">
        <v>286</v>
      </c>
      <c r="EB69" s="52" t="s">
        <v>331</v>
      </c>
      <c r="EC69" s="51">
        <v>0</v>
      </c>
      <c r="ED69" s="52"/>
      <c r="EE69" s="52"/>
      <c r="EF69" s="52" t="s">
        <v>298</v>
      </c>
      <c r="EG69" s="98"/>
      <c r="EH69" s="97" t="str">
        <f t="shared" si="5"/>
        <v/>
      </c>
      <c r="EI69" s="52" t="s">
        <v>331</v>
      </c>
      <c r="EJ69" s="51">
        <v>0</v>
      </c>
      <c r="EK69" s="52"/>
      <c r="EL69" s="52"/>
      <c r="EM69" s="52"/>
      <c r="EN69" s="52"/>
      <c r="EO69" s="52" t="s">
        <v>366</v>
      </c>
      <c r="EP69" s="51">
        <v>0</v>
      </c>
      <c r="EQ69" s="52"/>
      <c r="ER69" s="52" t="s">
        <v>303</v>
      </c>
      <c r="ES69" s="52" t="s">
        <v>331</v>
      </c>
      <c r="ET69" s="51">
        <v>0</v>
      </c>
      <c r="EU69" s="52"/>
      <c r="EV69" s="52"/>
      <c r="EW69" s="52" t="s">
        <v>288</v>
      </c>
      <c r="EX69" s="98" t="s">
        <v>305</v>
      </c>
      <c r="EY69" s="97" t="str">
        <f t="shared" si="6"/>
        <v/>
      </c>
      <c r="EZ69" s="51">
        <v>0</v>
      </c>
      <c r="FA69" s="52"/>
      <c r="FB69" s="52"/>
      <c r="FC69" s="52"/>
      <c r="FD69" s="51">
        <v>0</v>
      </c>
      <c r="FE69" s="52"/>
      <c r="FF69" s="52" t="s">
        <v>292</v>
      </c>
      <c r="FG69" s="51">
        <v>0</v>
      </c>
      <c r="FH69" s="52"/>
      <c r="FI69" s="52"/>
      <c r="FJ69" s="52"/>
      <c r="FK69" s="52"/>
      <c r="FL69" s="52"/>
      <c r="FM69" s="52"/>
      <c r="FN69" s="52"/>
      <c r="FO69" s="52"/>
      <c r="FP69" s="51">
        <v>0</v>
      </c>
      <c r="FQ69" s="52"/>
      <c r="FR69" s="52"/>
      <c r="FS69" s="52"/>
      <c r="FT69" s="48"/>
      <c r="FU69" s="52" t="s">
        <v>317</v>
      </c>
      <c r="FV69" s="52"/>
      <c r="FW69" s="52"/>
      <c r="FX69" s="51">
        <v>-1</v>
      </c>
      <c r="FY69" s="51">
        <v>-1</v>
      </c>
      <c r="FZ69" s="51">
        <v>-1</v>
      </c>
      <c r="GA69" s="51">
        <v>-1</v>
      </c>
      <c r="GB69" s="51">
        <v>-1</v>
      </c>
      <c r="GC69" s="51">
        <v>-1</v>
      </c>
      <c r="GD69" s="51">
        <v>-1</v>
      </c>
      <c r="GE69" s="51">
        <v>-1</v>
      </c>
      <c r="GF69" s="51">
        <v>-1</v>
      </c>
      <c r="GG69" s="51">
        <v>-1</v>
      </c>
      <c r="GH69" s="51">
        <v>-1</v>
      </c>
      <c r="GI69" s="51">
        <v>-1</v>
      </c>
      <c r="GJ69" s="51">
        <v>-1</v>
      </c>
      <c r="GK69" s="51">
        <v>-1</v>
      </c>
      <c r="GL69" s="51">
        <v>-1</v>
      </c>
      <c r="GM69" s="51">
        <v>-15</v>
      </c>
      <c r="GN69" s="53"/>
      <c r="GO69" s="53"/>
      <c r="GP69" s="52" t="s">
        <v>319</v>
      </c>
      <c r="GQ69" s="52" t="s">
        <v>320</v>
      </c>
      <c r="GR69" s="52" t="s">
        <v>277</v>
      </c>
      <c r="GS69" s="51">
        <v>15</v>
      </c>
      <c r="GT69" s="51">
        <v>15</v>
      </c>
      <c r="GU69" s="51">
        <v>50</v>
      </c>
      <c r="GV69" s="51">
        <v>20</v>
      </c>
      <c r="GW69" s="54"/>
    </row>
    <row r="70" spans="1:205" s="10" customFormat="1" x14ac:dyDescent="0.25">
      <c r="A70" s="1">
        <v>200</v>
      </c>
      <c r="B70" s="19" t="s">
        <v>347</v>
      </c>
      <c r="C70" s="19">
        <v>57.5</v>
      </c>
      <c r="D70" s="2" t="s">
        <v>353</v>
      </c>
      <c r="E70" s="2" t="s">
        <v>377</v>
      </c>
      <c r="F70" s="2" t="s">
        <v>281</v>
      </c>
      <c r="G70" s="2" t="s">
        <v>282</v>
      </c>
      <c r="H70" s="2" t="s">
        <v>281</v>
      </c>
      <c r="I70" s="2" t="s">
        <v>282</v>
      </c>
      <c r="J70" s="2" t="s">
        <v>282</v>
      </c>
      <c r="K70" s="2" t="s">
        <v>281</v>
      </c>
      <c r="L70" s="2" t="s">
        <v>282</v>
      </c>
      <c r="M70" s="2" t="s">
        <v>282</v>
      </c>
      <c r="N70" s="2" t="s">
        <v>282</v>
      </c>
      <c r="O70" s="1">
        <v>1</v>
      </c>
      <c r="P70" s="2"/>
      <c r="Q70" s="2" t="s">
        <v>339</v>
      </c>
      <c r="R70" s="2" t="s">
        <v>283</v>
      </c>
      <c r="S70" s="2" t="s">
        <v>449</v>
      </c>
      <c r="T70" s="2"/>
      <c r="U70" s="2"/>
      <c r="V70" s="2"/>
      <c r="W70" s="2"/>
      <c r="X70" s="2" t="s">
        <v>482</v>
      </c>
      <c r="Y70" s="1">
        <v>0</v>
      </c>
      <c r="Z70" s="2"/>
      <c r="AA70" s="2"/>
      <c r="AB70" s="2" t="s">
        <v>294</v>
      </c>
      <c r="AC70" s="2" t="s">
        <v>331</v>
      </c>
      <c r="AD70" s="1">
        <v>1</v>
      </c>
      <c r="AE70" s="2" t="s">
        <v>302</v>
      </c>
      <c r="AF70" s="2"/>
      <c r="AG70" s="2" t="s">
        <v>305</v>
      </c>
      <c r="AH70" s="98" t="s">
        <v>288</v>
      </c>
      <c r="AI70" s="97" t="str">
        <f t="shared" si="13"/>
        <v/>
      </c>
      <c r="AJ70" s="2" t="s">
        <v>331</v>
      </c>
      <c r="AK70" s="1">
        <v>0</v>
      </c>
      <c r="AL70" s="2"/>
      <c r="AM70" s="2"/>
      <c r="AN70" s="1">
        <v>0</v>
      </c>
      <c r="AO70" s="2"/>
      <c r="AP70" s="2"/>
      <c r="AQ70" s="2" t="s">
        <v>296</v>
      </c>
      <c r="AR70" s="1">
        <v>1</v>
      </c>
      <c r="AS70" s="2" t="s">
        <v>577</v>
      </c>
      <c r="AT70" s="2"/>
      <c r="AU70" s="2" t="s">
        <v>301</v>
      </c>
      <c r="AV70" s="2" t="s">
        <v>287</v>
      </c>
      <c r="AW70" s="1">
        <v>0</v>
      </c>
      <c r="AX70" s="2"/>
      <c r="AY70" s="2"/>
      <c r="AZ70" s="2" t="s">
        <v>324</v>
      </c>
      <c r="BA70" s="98" t="s">
        <v>324</v>
      </c>
      <c r="BB70" s="97">
        <f t="shared" si="14"/>
        <v>1</v>
      </c>
      <c r="BC70" s="2" t="s">
        <v>287</v>
      </c>
      <c r="BD70" s="1">
        <v>1</v>
      </c>
      <c r="BE70" s="2"/>
      <c r="BF70" s="2" t="s">
        <v>339</v>
      </c>
      <c r="BG70" s="1">
        <v>0</v>
      </c>
      <c r="BH70" s="2"/>
      <c r="BI70" s="2" t="s">
        <v>328</v>
      </c>
      <c r="BJ70" s="2" t="s">
        <v>294</v>
      </c>
      <c r="BK70" s="2" t="s">
        <v>297</v>
      </c>
      <c r="BL70" s="1">
        <v>0</v>
      </c>
      <c r="BM70" s="2"/>
      <c r="BN70" s="2"/>
      <c r="BO70" s="2" t="s">
        <v>324</v>
      </c>
      <c r="BP70" s="2" t="s">
        <v>297</v>
      </c>
      <c r="BQ70" s="1">
        <v>0</v>
      </c>
      <c r="BR70" s="2"/>
      <c r="BS70" s="2"/>
      <c r="BT70" s="1">
        <v>0</v>
      </c>
      <c r="BU70" s="2"/>
      <c r="BV70" s="2" t="s">
        <v>296</v>
      </c>
      <c r="BW70" s="1">
        <v>0</v>
      </c>
      <c r="BX70" s="2"/>
      <c r="BY70" s="2" t="s">
        <v>294</v>
      </c>
      <c r="BZ70" s="2" t="s">
        <v>297</v>
      </c>
      <c r="CA70" s="1">
        <v>0</v>
      </c>
      <c r="CB70" s="2"/>
      <c r="CC70" s="2"/>
      <c r="CD70" s="2" t="s">
        <v>288</v>
      </c>
      <c r="CE70" s="97"/>
      <c r="CF70" s="97" t="str">
        <f t="shared" si="2"/>
        <v/>
      </c>
      <c r="CG70" s="2" t="s">
        <v>331</v>
      </c>
      <c r="CH70" s="1">
        <v>0</v>
      </c>
      <c r="CI70" s="2"/>
      <c r="CJ70" s="2"/>
      <c r="CK70" s="1">
        <v>0</v>
      </c>
      <c r="CL70" s="2"/>
      <c r="CM70" s="2" t="s">
        <v>328</v>
      </c>
      <c r="CN70" s="1">
        <v>0</v>
      </c>
      <c r="CO70" s="2"/>
      <c r="CP70" s="2"/>
      <c r="CQ70" s="2" t="s">
        <v>294</v>
      </c>
      <c r="CR70" s="2" t="s">
        <v>297</v>
      </c>
      <c r="CS70" s="1">
        <v>1</v>
      </c>
      <c r="CT70" s="2" t="s">
        <v>302</v>
      </c>
      <c r="CU70" s="2"/>
      <c r="CV70" s="2" t="s">
        <v>288</v>
      </c>
      <c r="CW70" s="98"/>
      <c r="CX70" s="97" t="str">
        <f t="shared" si="3"/>
        <v/>
      </c>
      <c r="CY70" s="2" t="s">
        <v>331</v>
      </c>
      <c r="CZ70" s="1">
        <v>1</v>
      </c>
      <c r="DA70" s="2" t="s">
        <v>302</v>
      </c>
      <c r="DB70" s="2"/>
      <c r="DC70" s="1">
        <v>0</v>
      </c>
      <c r="DD70" s="2"/>
      <c r="DE70" s="2" t="s">
        <v>299</v>
      </c>
      <c r="DF70" s="1">
        <v>0</v>
      </c>
      <c r="DG70" s="2"/>
      <c r="DH70" s="2"/>
      <c r="DI70" s="2" t="s">
        <v>301</v>
      </c>
      <c r="DJ70" s="2" t="s">
        <v>297</v>
      </c>
      <c r="DK70" s="1">
        <v>0</v>
      </c>
      <c r="DL70" s="2"/>
      <c r="DM70" s="2"/>
      <c r="DN70" s="2" t="s">
        <v>288</v>
      </c>
      <c r="DO70" s="98"/>
      <c r="DP70" s="97" t="str">
        <f t="shared" si="4"/>
        <v/>
      </c>
      <c r="DQ70" s="2" t="s">
        <v>297</v>
      </c>
      <c r="DR70" s="1">
        <v>1</v>
      </c>
      <c r="DS70" s="2" t="s">
        <v>302</v>
      </c>
      <c r="DT70" s="2"/>
      <c r="DU70" s="1">
        <v>0</v>
      </c>
      <c r="DV70" s="2"/>
      <c r="DW70" s="2" t="s">
        <v>299</v>
      </c>
      <c r="DX70" s="1">
        <v>0</v>
      </c>
      <c r="DY70" s="2"/>
      <c r="DZ70" s="2"/>
      <c r="EA70" s="2" t="s">
        <v>301</v>
      </c>
      <c r="EB70" s="2" t="s">
        <v>331</v>
      </c>
      <c r="EC70" s="1">
        <v>0</v>
      </c>
      <c r="ED70" s="2"/>
      <c r="EE70" s="2"/>
      <c r="EF70" s="2" t="s">
        <v>288</v>
      </c>
      <c r="EG70" s="98"/>
      <c r="EH70" s="97" t="str">
        <f t="shared" si="5"/>
        <v/>
      </c>
      <c r="EI70" s="2" t="s">
        <v>331</v>
      </c>
      <c r="EJ70" s="1">
        <v>0</v>
      </c>
      <c r="EK70" s="2"/>
      <c r="EL70" s="2"/>
      <c r="EM70" s="2"/>
      <c r="EN70" s="2"/>
      <c r="EO70" s="2" t="s">
        <v>299</v>
      </c>
      <c r="EP70" s="1">
        <v>0</v>
      </c>
      <c r="EQ70" s="2"/>
      <c r="ER70" s="2" t="s">
        <v>301</v>
      </c>
      <c r="ES70" s="2" t="s">
        <v>331</v>
      </c>
      <c r="ET70" s="1">
        <v>0</v>
      </c>
      <c r="EU70" s="2"/>
      <c r="EV70" s="2"/>
      <c r="EW70" s="2" t="s">
        <v>288</v>
      </c>
      <c r="EX70" s="98" t="s">
        <v>288</v>
      </c>
      <c r="EY70" s="97">
        <f t="shared" si="6"/>
        <v>1</v>
      </c>
      <c r="EZ70" s="1">
        <v>0</v>
      </c>
      <c r="FA70" s="2"/>
      <c r="FB70" s="2"/>
      <c r="FC70" s="2"/>
      <c r="FD70" s="1">
        <v>0</v>
      </c>
      <c r="FE70" s="2"/>
      <c r="FF70" s="2" t="s">
        <v>299</v>
      </c>
      <c r="FG70" s="1">
        <v>0</v>
      </c>
      <c r="FH70" s="2"/>
      <c r="FI70" s="2"/>
      <c r="FJ70" s="2"/>
      <c r="FK70" s="2"/>
      <c r="FL70" s="2"/>
      <c r="FM70" s="2"/>
      <c r="FN70" s="2"/>
      <c r="FO70" s="2"/>
      <c r="FP70" s="1">
        <v>0</v>
      </c>
      <c r="FQ70" s="2"/>
      <c r="FR70" s="2"/>
      <c r="FS70" s="2"/>
      <c r="FT70"/>
      <c r="FU70" s="2" t="s">
        <v>317</v>
      </c>
      <c r="FV70" s="2"/>
      <c r="FW70" s="2"/>
      <c r="FX70" s="1">
        <v>-1</v>
      </c>
      <c r="FY70" s="1">
        <v>-1</v>
      </c>
      <c r="FZ70" s="1">
        <v>-1</v>
      </c>
      <c r="GA70" s="1">
        <v>-1</v>
      </c>
      <c r="GB70" s="1">
        <v>-1</v>
      </c>
      <c r="GC70" s="1">
        <v>-1</v>
      </c>
      <c r="GD70" s="1">
        <v>-1</v>
      </c>
      <c r="GE70" s="1">
        <v>-1</v>
      </c>
      <c r="GF70" s="1">
        <v>-1</v>
      </c>
      <c r="GG70" s="1">
        <v>-1</v>
      </c>
      <c r="GH70" s="1">
        <v>-1</v>
      </c>
      <c r="GI70" s="1">
        <v>-1</v>
      </c>
      <c r="GJ70" s="1">
        <v>-1</v>
      </c>
      <c r="GK70" s="1">
        <v>-1</v>
      </c>
      <c r="GL70" s="1">
        <v>-1</v>
      </c>
      <c r="GM70" s="1">
        <v>-15</v>
      </c>
      <c r="GN70" s="3"/>
      <c r="GO70" s="3"/>
      <c r="GP70" s="2" t="s">
        <v>319</v>
      </c>
      <c r="GQ70" s="2" t="s">
        <v>320</v>
      </c>
      <c r="GR70" s="2" t="s">
        <v>277</v>
      </c>
      <c r="GS70" s="1">
        <v>15</v>
      </c>
      <c r="GT70" s="1">
        <v>15</v>
      </c>
      <c r="GU70" s="1">
        <v>43</v>
      </c>
      <c r="GV70" s="1">
        <v>18</v>
      </c>
      <c r="GW70" s="4"/>
    </row>
    <row r="71" spans="1:205" s="45" customFormat="1" ht="13.8" thickBot="1" x14ac:dyDescent="0.3">
      <c r="A71" s="68">
        <v>202</v>
      </c>
      <c r="B71" s="69" t="s">
        <v>347</v>
      </c>
      <c r="C71" s="69">
        <v>57.5</v>
      </c>
      <c r="D71" s="69" t="s">
        <v>279</v>
      </c>
      <c r="E71" s="69" t="s">
        <v>280</v>
      </c>
      <c r="F71" s="69" t="s">
        <v>281</v>
      </c>
      <c r="G71" s="69" t="s">
        <v>281</v>
      </c>
      <c r="H71" s="69" t="s">
        <v>281</v>
      </c>
      <c r="I71" s="69" t="s">
        <v>282</v>
      </c>
      <c r="J71" s="69" t="s">
        <v>282</v>
      </c>
      <c r="K71" s="69" t="s">
        <v>281</v>
      </c>
      <c r="L71" s="69" t="s">
        <v>282</v>
      </c>
      <c r="M71" s="69" t="s">
        <v>282</v>
      </c>
      <c r="N71" s="69" t="s">
        <v>282</v>
      </c>
      <c r="O71" s="68">
        <v>1</v>
      </c>
      <c r="P71" s="69" t="s">
        <v>404</v>
      </c>
      <c r="Q71" s="69"/>
      <c r="R71" s="69" t="s">
        <v>283</v>
      </c>
      <c r="S71" s="69" t="s">
        <v>378</v>
      </c>
      <c r="T71" s="69"/>
      <c r="U71" s="69"/>
      <c r="V71" s="69"/>
      <c r="W71" s="69"/>
      <c r="X71" s="69" t="s">
        <v>437</v>
      </c>
      <c r="Y71" s="68">
        <v>0</v>
      </c>
      <c r="Z71" s="69"/>
      <c r="AA71" s="69"/>
      <c r="AB71" s="69" t="s">
        <v>301</v>
      </c>
      <c r="AC71" s="69" t="s">
        <v>297</v>
      </c>
      <c r="AD71" s="68">
        <v>1</v>
      </c>
      <c r="AE71" s="69" t="s">
        <v>302</v>
      </c>
      <c r="AF71" s="69"/>
      <c r="AG71" s="69" t="s">
        <v>305</v>
      </c>
      <c r="AH71" s="98" t="s">
        <v>298</v>
      </c>
      <c r="AI71" s="97" t="str">
        <f t="shared" si="13"/>
        <v/>
      </c>
      <c r="AJ71" s="69" t="s">
        <v>287</v>
      </c>
      <c r="AK71" s="68">
        <v>0</v>
      </c>
      <c r="AL71" s="69"/>
      <c r="AM71" s="69"/>
      <c r="AN71" s="68">
        <v>1</v>
      </c>
      <c r="AO71" s="69" t="s">
        <v>578</v>
      </c>
      <c r="AP71" s="69"/>
      <c r="AQ71" s="69" t="s">
        <v>328</v>
      </c>
      <c r="AR71" s="68">
        <v>0</v>
      </c>
      <c r="AS71" s="69"/>
      <c r="AT71" s="69"/>
      <c r="AU71" s="69" t="s">
        <v>301</v>
      </c>
      <c r="AV71" s="69" t="s">
        <v>297</v>
      </c>
      <c r="AW71" s="68">
        <v>1</v>
      </c>
      <c r="AX71" s="69"/>
      <c r="AY71" s="69" t="s">
        <v>406</v>
      </c>
      <c r="AZ71" s="69" t="s">
        <v>305</v>
      </c>
      <c r="BA71" s="99"/>
      <c r="BB71" s="97" t="str">
        <f t="shared" si="14"/>
        <v/>
      </c>
      <c r="BC71" s="69" t="s">
        <v>287</v>
      </c>
      <c r="BD71" s="68">
        <v>0</v>
      </c>
      <c r="BE71" s="69"/>
      <c r="BF71" s="69"/>
      <c r="BG71" s="68">
        <v>1</v>
      </c>
      <c r="BH71" s="69" t="s">
        <v>579</v>
      </c>
      <c r="BI71" s="69" t="s">
        <v>328</v>
      </c>
      <c r="BJ71" s="69" t="s">
        <v>310</v>
      </c>
      <c r="BK71" s="69" t="s">
        <v>297</v>
      </c>
      <c r="BL71" s="68">
        <v>1</v>
      </c>
      <c r="BM71" s="69" t="s">
        <v>531</v>
      </c>
      <c r="BN71" s="69"/>
      <c r="BO71" s="69" t="s">
        <v>324</v>
      </c>
      <c r="BP71" s="69" t="s">
        <v>287</v>
      </c>
      <c r="BQ71" s="68">
        <v>0</v>
      </c>
      <c r="BR71" s="69"/>
      <c r="BS71" s="69"/>
      <c r="BT71" s="68">
        <v>1</v>
      </c>
      <c r="BU71" s="69" t="s">
        <v>580</v>
      </c>
      <c r="BV71" s="69" t="s">
        <v>299</v>
      </c>
      <c r="BW71" s="68">
        <v>0</v>
      </c>
      <c r="BX71" s="69"/>
      <c r="BY71" s="69" t="s">
        <v>301</v>
      </c>
      <c r="BZ71" s="69" t="s">
        <v>297</v>
      </c>
      <c r="CA71" s="68">
        <v>0</v>
      </c>
      <c r="CB71" s="69"/>
      <c r="CC71" s="69"/>
      <c r="CD71" s="69" t="s">
        <v>324</v>
      </c>
      <c r="CE71" s="97"/>
      <c r="CF71" s="97" t="str">
        <f t="shared" ref="CF71:CF75" si="15">IF(CE71=CD71,1,"")</f>
        <v/>
      </c>
      <c r="CG71" s="69" t="s">
        <v>287</v>
      </c>
      <c r="CH71" s="68">
        <v>0</v>
      </c>
      <c r="CI71" s="69"/>
      <c r="CJ71" s="69"/>
      <c r="CK71" s="68">
        <v>1</v>
      </c>
      <c r="CL71" s="69" t="s">
        <v>581</v>
      </c>
      <c r="CM71" s="69" t="s">
        <v>328</v>
      </c>
      <c r="CN71" s="68">
        <v>0</v>
      </c>
      <c r="CO71" s="69"/>
      <c r="CP71" s="69"/>
      <c r="CQ71" s="69" t="s">
        <v>294</v>
      </c>
      <c r="CR71" s="69" t="s">
        <v>297</v>
      </c>
      <c r="CS71" s="68">
        <v>1</v>
      </c>
      <c r="CT71" s="69" t="s">
        <v>302</v>
      </c>
      <c r="CU71" s="69"/>
      <c r="CV71" s="69" t="s">
        <v>288</v>
      </c>
      <c r="CW71" s="99"/>
      <c r="CX71" s="97" t="str">
        <f t="shared" ref="CX71:CX75" si="16">IF(CW71=CV71,1,"")</f>
        <v/>
      </c>
      <c r="CY71" s="69" t="s">
        <v>339</v>
      </c>
      <c r="CZ71" s="68">
        <v>0</v>
      </c>
      <c r="DA71" s="69"/>
      <c r="DB71" s="69"/>
      <c r="DC71" s="68">
        <v>0</v>
      </c>
      <c r="DD71" s="69"/>
      <c r="DE71" s="69" t="s">
        <v>328</v>
      </c>
      <c r="DF71" s="68">
        <v>0</v>
      </c>
      <c r="DG71" s="69"/>
      <c r="DH71" s="69"/>
      <c r="DI71" s="69" t="s">
        <v>301</v>
      </c>
      <c r="DJ71" s="69" t="s">
        <v>287</v>
      </c>
      <c r="DK71" s="68">
        <v>0</v>
      </c>
      <c r="DL71" s="69"/>
      <c r="DM71" s="69"/>
      <c r="DN71" s="69" t="s">
        <v>324</v>
      </c>
      <c r="DO71" s="98"/>
      <c r="DP71" s="97" t="str">
        <f t="shared" ref="DP71:DP75" si="17">IF(DO71=DN71,1,"")</f>
        <v/>
      </c>
      <c r="DQ71" s="69" t="s">
        <v>339</v>
      </c>
      <c r="DR71" s="68">
        <v>0</v>
      </c>
      <c r="DS71" s="69"/>
      <c r="DT71" s="69"/>
      <c r="DU71" s="68">
        <v>1</v>
      </c>
      <c r="DV71" s="69" t="s">
        <v>582</v>
      </c>
      <c r="DW71" s="69" t="s">
        <v>299</v>
      </c>
      <c r="DX71" s="68">
        <v>0</v>
      </c>
      <c r="DY71" s="69"/>
      <c r="DZ71" s="69"/>
      <c r="EA71" s="69" t="s">
        <v>303</v>
      </c>
      <c r="EB71" s="69" t="s">
        <v>331</v>
      </c>
      <c r="EC71" s="68">
        <v>0</v>
      </c>
      <c r="ED71" s="69"/>
      <c r="EE71" s="69"/>
      <c r="EF71" s="69" t="s">
        <v>298</v>
      </c>
      <c r="EG71" s="98"/>
      <c r="EH71" s="97" t="str">
        <f t="shared" ref="EH71:EH75" si="18">IF(EG71=EF71,1,"")</f>
        <v/>
      </c>
      <c r="EI71" s="69"/>
      <c r="EJ71" s="68">
        <v>0</v>
      </c>
      <c r="EK71" s="69"/>
      <c r="EL71" s="69"/>
      <c r="EM71" s="69"/>
      <c r="EN71" s="69" t="s">
        <v>583</v>
      </c>
      <c r="EO71" s="69"/>
      <c r="EP71" s="68">
        <v>0</v>
      </c>
      <c r="EQ71" s="69"/>
      <c r="ER71" s="69" t="s">
        <v>301</v>
      </c>
      <c r="ES71" s="69" t="s">
        <v>331</v>
      </c>
      <c r="ET71" s="68">
        <v>0</v>
      </c>
      <c r="EU71" s="69"/>
      <c r="EV71" s="69"/>
      <c r="EW71" s="69" t="s">
        <v>305</v>
      </c>
      <c r="EX71" s="98" t="s">
        <v>288</v>
      </c>
      <c r="EY71" s="97" t="str">
        <f t="shared" ref="EY71:EY75" si="19">IF(EX71=EW71,1,"")</f>
        <v/>
      </c>
      <c r="EZ71" s="68">
        <v>0</v>
      </c>
      <c r="FA71" s="69"/>
      <c r="FB71" s="69"/>
      <c r="FC71" s="69"/>
      <c r="FD71" s="68">
        <v>0</v>
      </c>
      <c r="FE71" s="69"/>
      <c r="FF71" s="69" t="s">
        <v>328</v>
      </c>
      <c r="FG71" s="68">
        <v>0</v>
      </c>
      <c r="FH71" s="69"/>
      <c r="FI71" s="69"/>
      <c r="FJ71" s="69"/>
      <c r="FK71" s="69"/>
      <c r="FL71" s="69"/>
      <c r="FM71" s="69"/>
      <c r="FN71" s="69"/>
      <c r="FO71" s="69"/>
      <c r="FP71" s="68">
        <v>0</v>
      </c>
      <c r="FQ71" s="69"/>
      <c r="FR71" s="69"/>
      <c r="FS71" s="69"/>
      <c r="FT71" s="70"/>
      <c r="FU71" s="69" t="s">
        <v>335</v>
      </c>
      <c r="FV71" s="69" t="s">
        <v>584</v>
      </c>
      <c r="FW71" s="69"/>
      <c r="FX71" s="68">
        <v>-1</v>
      </c>
      <c r="FY71" s="68">
        <v>-1</v>
      </c>
      <c r="FZ71" s="68">
        <v>-1</v>
      </c>
      <c r="GA71" s="68">
        <v>-1</v>
      </c>
      <c r="GB71" s="68">
        <v>-1</v>
      </c>
      <c r="GC71" s="68">
        <v>-1</v>
      </c>
      <c r="GD71" s="68">
        <v>-1</v>
      </c>
      <c r="GE71" s="68">
        <v>-1</v>
      </c>
      <c r="GF71" s="68">
        <v>-1</v>
      </c>
      <c r="GG71" s="68">
        <v>-1</v>
      </c>
      <c r="GH71" s="68">
        <v>-1</v>
      </c>
      <c r="GI71" s="68">
        <v>-1</v>
      </c>
      <c r="GJ71" s="68">
        <v>-1</v>
      </c>
      <c r="GK71" s="68">
        <v>-1</v>
      </c>
      <c r="GL71" s="68">
        <v>-1</v>
      </c>
      <c r="GM71" s="68">
        <v>-15</v>
      </c>
      <c r="GN71" s="71"/>
      <c r="GO71" s="71"/>
      <c r="GP71" s="69" t="s">
        <v>319</v>
      </c>
      <c r="GQ71" s="69" t="s">
        <v>320</v>
      </c>
      <c r="GR71" s="69" t="s">
        <v>277</v>
      </c>
      <c r="GS71" s="68">
        <v>15</v>
      </c>
      <c r="GT71" s="68">
        <v>15</v>
      </c>
      <c r="GU71" s="68">
        <v>41</v>
      </c>
      <c r="GV71" s="68">
        <v>19</v>
      </c>
      <c r="GW71" s="72"/>
    </row>
    <row r="72" spans="1:205" s="48" customFormat="1" x14ac:dyDescent="0.25">
      <c r="A72" s="51">
        <v>229</v>
      </c>
      <c r="B72" s="52" t="s">
        <v>676</v>
      </c>
      <c r="C72" s="52">
        <v>85</v>
      </c>
      <c r="D72" s="52" t="s">
        <v>353</v>
      </c>
      <c r="E72" s="52" t="s">
        <v>280</v>
      </c>
      <c r="F72" s="52" t="s">
        <v>281</v>
      </c>
      <c r="G72" s="52" t="s">
        <v>281</v>
      </c>
      <c r="H72" s="52" t="s">
        <v>282</v>
      </c>
      <c r="I72" s="52" t="s">
        <v>282</v>
      </c>
      <c r="J72" s="52" t="s">
        <v>282</v>
      </c>
      <c r="K72" s="52" t="s">
        <v>282</v>
      </c>
      <c r="L72" s="52" t="s">
        <v>281</v>
      </c>
      <c r="M72" s="52" t="s">
        <v>281</v>
      </c>
      <c r="N72" s="52" t="s">
        <v>282</v>
      </c>
      <c r="O72" s="51">
        <v>0</v>
      </c>
      <c r="P72" s="52"/>
      <c r="Q72" s="52"/>
      <c r="R72" s="52" t="s">
        <v>283</v>
      </c>
      <c r="S72" s="52" t="s">
        <v>322</v>
      </c>
      <c r="T72" s="52"/>
      <c r="U72" s="52"/>
      <c r="V72" s="52" t="s">
        <v>354</v>
      </c>
      <c r="W72" s="52"/>
      <c r="X72" s="52" t="s">
        <v>350</v>
      </c>
      <c r="Y72" s="51">
        <v>1</v>
      </c>
      <c r="Z72" s="52" t="s">
        <v>677</v>
      </c>
      <c r="AA72" s="52"/>
      <c r="AB72" s="52" t="s">
        <v>303</v>
      </c>
      <c r="AC72" s="52" t="s">
        <v>331</v>
      </c>
      <c r="AD72" s="51">
        <v>0</v>
      </c>
      <c r="AE72" s="52"/>
      <c r="AF72" s="52"/>
      <c r="AG72" s="52" t="s">
        <v>305</v>
      </c>
      <c r="AH72" s="98" t="s">
        <v>305</v>
      </c>
      <c r="AI72" s="97">
        <f t="shared" si="13"/>
        <v>1</v>
      </c>
      <c r="AJ72" s="52" t="s">
        <v>331</v>
      </c>
      <c r="AK72" s="51">
        <v>0</v>
      </c>
      <c r="AL72" s="52"/>
      <c r="AM72" s="52"/>
      <c r="AN72" s="51">
        <v>0</v>
      </c>
      <c r="AO72" s="52"/>
      <c r="AP72" s="52"/>
      <c r="AQ72" s="52" t="s">
        <v>296</v>
      </c>
      <c r="AR72" s="51">
        <v>1</v>
      </c>
      <c r="AS72" s="52" t="s">
        <v>678</v>
      </c>
      <c r="AT72" s="52"/>
      <c r="AU72" s="52" t="s">
        <v>294</v>
      </c>
      <c r="AV72" s="52" t="s">
        <v>287</v>
      </c>
      <c r="AW72" s="51">
        <v>0</v>
      </c>
      <c r="AX72" s="52"/>
      <c r="AY72" s="52"/>
      <c r="AZ72" s="52" t="s">
        <v>288</v>
      </c>
      <c r="BA72" s="98" t="s">
        <v>840</v>
      </c>
      <c r="BB72" s="97">
        <v>1</v>
      </c>
      <c r="BC72" s="52" t="s">
        <v>287</v>
      </c>
      <c r="BD72" s="51">
        <v>0</v>
      </c>
      <c r="BE72" s="52"/>
      <c r="BF72" s="52"/>
      <c r="BG72" s="51">
        <v>0</v>
      </c>
      <c r="BH72" s="52"/>
      <c r="BI72" s="52" t="s">
        <v>296</v>
      </c>
      <c r="BJ72" s="52"/>
      <c r="BK72" s="52"/>
      <c r="BL72" s="51">
        <v>0</v>
      </c>
      <c r="BM72" s="52"/>
      <c r="BN72" s="52"/>
      <c r="BO72" s="52"/>
      <c r="BP72" s="52"/>
      <c r="BQ72" s="51">
        <v>0</v>
      </c>
      <c r="BR72" s="52"/>
      <c r="BS72" s="52"/>
      <c r="BT72" s="51">
        <v>0</v>
      </c>
      <c r="BU72" s="52"/>
      <c r="BV72" s="52"/>
      <c r="BW72" s="51">
        <v>0</v>
      </c>
      <c r="BX72" s="52"/>
      <c r="BY72" s="52"/>
      <c r="BZ72" s="52"/>
      <c r="CA72" s="51">
        <v>0</v>
      </c>
      <c r="CB72" s="52"/>
      <c r="CC72" s="52"/>
      <c r="CD72" s="52"/>
      <c r="CE72" s="97"/>
      <c r="CF72" s="97"/>
      <c r="CG72" s="52"/>
      <c r="CH72" s="51">
        <v>0</v>
      </c>
      <c r="CI72" s="52"/>
      <c r="CJ72" s="52"/>
      <c r="CK72" s="51">
        <v>0</v>
      </c>
      <c r="CL72" s="52"/>
      <c r="CM72" s="52"/>
      <c r="CN72" s="51">
        <v>1</v>
      </c>
      <c r="CO72" s="52" t="s">
        <v>679</v>
      </c>
      <c r="CP72" s="52"/>
      <c r="CQ72" s="52" t="s">
        <v>303</v>
      </c>
      <c r="CR72" s="52" t="s">
        <v>331</v>
      </c>
      <c r="CS72" s="51">
        <v>0</v>
      </c>
      <c r="CT72" s="52"/>
      <c r="CU72" s="52"/>
      <c r="CV72" s="52" t="s">
        <v>305</v>
      </c>
      <c r="CW72" s="98" t="s">
        <v>298</v>
      </c>
      <c r="CX72" s="97" t="str">
        <f t="shared" si="16"/>
        <v/>
      </c>
      <c r="CY72" s="52" t="s">
        <v>331</v>
      </c>
      <c r="CZ72" s="51">
        <v>0</v>
      </c>
      <c r="DA72" s="52"/>
      <c r="DB72" s="52"/>
      <c r="DC72" s="51">
        <v>1</v>
      </c>
      <c r="DD72" s="52" t="s">
        <v>680</v>
      </c>
      <c r="DE72" s="52" t="s">
        <v>296</v>
      </c>
      <c r="DF72" s="51">
        <v>1</v>
      </c>
      <c r="DG72" s="52" t="s">
        <v>681</v>
      </c>
      <c r="DH72" s="52"/>
      <c r="DI72" s="52" t="s">
        <v>303</v>
      </c>
      <c r="DJ72" s="52" t="s">
        <v>331</v>
      </c>
      <c r="DK72" s="51">
        <v>0</v>
      </c>
      <c r="DL72" s="52"/>
      <c r="DM72" s="52"/>
      <c r="DN72" s="52" t="s">
        <v>288</v>
      </c>
      <c r="DO72" s="98" t="s">
        <v>305</v>
      </c>
      <c r="DP72" s="97" t="str">
        <f t="shared" si="17"/>
        <v/>
      </c>
      <c r="DQ72" s="52" t="s">
        <v>331</v>
      </c>
      <c r="DR72" s="51">
        <v>0</v>
      </c>
      <c r="DS72" s="52"/>
      <c r="DT72" s="52"/>
      <c r="DU72" s="51">
        <v>0</v>
      </c>
      <c r="DV72" s="52"/>
      <c r="DW72" s="52" t="s">
        <v>299</v>
      </c>
      <c r="DX72" s="51">
        <v>1</v>
      </c>
      <c r="DY72" s="52" t="s">
        <v>362</v>
      </c>
      <c r="DZ72" s="52"/>
      <c r="EA72" s="52" t="s">
        <v>303</v>
      </c>
      <c r="EB72" s="52" t="s">
        <v>331</v>
      </c>
      <c r="EC72" s="51">
        <v>0</v>
      </c>
      <c r="ED72" s="52"/>
      <c r="EE72" s="52"/>
      <c r="EF72" s="52" t="s">
        <v>305</v>
      </c>
      <c r="EG72" s="98" t="s">
        <v>298</v>
      </c>
      <c r="EH72" s="97" t="str">
        <f t="shared" si="18"/>
        <v/>
      </c>
      <c r="EI72" s="52" t="s">
        <v>331</v>
      </c>
      <c r="EJ72" s="51">
        <v>0</v>
      </c>
      <c r="EK72" s="52"/>
      <c r="EL72" s="52"/>
      <c r="EM72" s="52"/>
      <c r="EN72" s="52"/>
      <c r="EO72" s="52" t="s">
        <v>296</v>
      </c>
      <c r="EP72" s="51">
        <v>1</v>
      </c>
      <c r="EQ72" s="52" t="s">
        <v>682</v>
      </c>
      <c r="ER72" s="52" t="s">
        <v>303</v>
      </c>
      <c r="ES72" s="52" t="s">
        <v>331</v>
      </c>
      <c r="ET72" s="51">
        <v>0</v>
      </c>
      <c r="EU72" s="52"/>
      <c r="EV72" s="52"/>
      <c r="EW72" s="52" t="s">
        <v>288</v>
      </c>
      <c r="EX72" s="98" t="s">
        <v>305</v>
      </c>
      <c r="EY72" s="97" t="str">
        <f t="shared" si="19"/>
        <v/>
      </c>
      <c r="EZ72" s="51">
        <v>0</v>
      </c>
      <c r="FA72" s="52"/>
      <c r="FB72" s="52"/>
      <c r="FC72" s="52"/>
      <c r="FD72" s="51">
        <v>0</v>
      </c>
      <c r="FE72" s="52"/>
      <c r="FF72" s="52" t="s">
        <v>296</v>
      </c>
      <c r="FG72" s="51">
        <v>0</v>
      </c>
      <c r="FH72" s="52"/>
      <c r="FI72" s="52"/>
      <c r="FJ72" s="52"/>
      <c r="FK72" s="52"/>
      <c r="FL72" s="52"/>
      <c r="FM72" s="52"/>
      <c r="FN72" s="52"/>
      <c r="FO72" s="52"/>
      <c r="FP72" s="51">
        <v>1</v>
      </c>
      <c r="FQ72" s="52" t="s">
        <v>683</v>
      </c>
      <c r="FR72" s="52"/>
      <c r="FS72" s="52"/>
      <c r="FU72" s="52" t="s">
        <v>317</v>
      </c>
      <c r="FV72" s="52" t="s">
        <v>684</v>
      </c>
      <c r="FW72" s="52"/>
      <c r="FX72" s="51">
        <v>-1</v>
      </c>
      <c r="FY72" s="51">
        <v>-1</v>
      </c>
      <c r="FZ72" s="51">
        <v>-1</v>
      </c>
      <c r="GA72" s="51">
        <v>-1</v>
      </c>
      <c r="GB72" s="51">
        <v>-1</v>
      </c>
      <c r="GC72" s="51">
        <v>-1</v>
      </c>
      <c r="GD72" s="51">
        <v>-1</v>
      </c>
      <c r="GE72" s="51">
        <v>-1</v>
      </c>
      <c r="GF72" s="51">
        <v>-1</v>
      </c>
      <c r="GG72" s="51">
        <v>-1</v>
      </c>
      <c r="GH72" s="51">
        <v>-1</v>
      </c>
      <c r="GI72" s="51">
        <v>-1</v>
      </c>
      <c r="GJ72" s="51">
        <v>-1</v>
      </c>
      <c r="GK72" s="51">
        <v>-1</v>
      </c>
      <c r="GL72" s="51">
        <v>-1</v>
      </c>
      <c r="GM72" s="51">
        <v>-15</v>
      </c>
      <c r="GN72" s="53"/>
      <c r="GO72" s="53"/>
      <c r="GP72" s="52" t="s">
        <v>319</v>
      </c>
      <c r="GQ72" s="52" t="s">
        <v>320</v>
      </c>
      <c r="GR72" s="52" t="s">
        <v>277</v>
      </c>
      <c r="GS72" s="51">
        <v>15</v>
      </c>
      <c r="GT72" s="51">
        <v>15</v>
      </c>
      <c r="GU72" s="51">
        <v>49</v>
      </c>
      <c r="GV72" s="51">
        <v>25</v>
      </c>
      <c r="GW72" s="54"/>
    </row>
    <row r="73" spans="1:205" s="40" customFormat="1" x14ac:dyDescent="0.25">
      <c r="A73" s="51">
        <v>247</v>
      </c>
      <c r="B73" s="52" t="s">
        <v>676</v>
      </c>
      <c r="C73" s="52">
        <v>85</v>
      </c>
      <c r="D73" s="52" t="s">
        <v>353</v>
      </c>
      <c r="E73" s="52" t="s">
        <v>377</v>
      </c>
      <c r="F73" s="52" t="s">
        <v>281</v>
      </c>
      <c r="G73" s="52" t="s">
        <v>281</v>
      </c>
      <c r="H73" s="52" t="s">
        <v>281</v>
      </c>
      <c r="I73" s="52" t="s">
        <v>282</v>
      </c>
      <c r="J73" s="52" t="s">
        <v>282</v>
      </c>
      <c r="K73" s="52" t="s">
        <v>282</v>
      </c>
      <c r="L73" s="52" t="s">
        <v>282</v>
      </c>
      <c r="M73" s="52" t="s">
        <v>282</v>
      </c>
      <c r="N73" s="52" t="s">
        <v>282</v>
      </c>
      <c r="O73" s="51">
        <v>0</v>
      </c>
      <c r="P73" s="52"/>
      <c r="Q73" s="52"/>
      <c r="R73" s="52" t="s">
        <v>283</v>
      </c>
      <c r="S73" s="52" t="s">
        <v>378</v>
      </c>
      <c r="T73" s="52"/>
      <c r="U73" s="52"/>
      <c r="V73" s="52"/>
      <c r="W73" s="52"/>
      <c r="X73" s="52" t="s">
        <v>437</v>
      </c>
      <c r="Y73" s="51">
        <v>1</v>
      </c>
      <c r="Z73" s="52" t="s">
        <v>365</v>
      </c>
      <c r="AA73" s="52"/>
      <c r="AB73" s="52" t="s">
        <v>301</v>
      </c>
      <c r="AC73" s="52" t="s">
        <v>331</v>
      </c>
      <c r="AD73" s="51">
        <v>0</v>
      </c>
      <c r="AE73" s="52"/>
      <c r="AF73" s="52"/>
      <c r="AG73" s="52" t="s">
        <v>288</v>
      </c>
      <c r="AH73" s="98" t="s">
        <v>288</v>
      </c>
      <c r="AI73" s="97">
        <f t="shared" si="13"/>
        <v>1</v>
      </c>
      <c r="AJ73" s="52" t="s">
        <v>331</v>
      </c>
      <c r="AK73" s="51">
        <v>0</v>
      </c>
      <c r="AL73" s="52"/>
      <c r="AM73" s="52"/>
      <c r="AN73" s="51">
        <v>1</v>
      </c>
      <c r="AO73" s="52" t="s">
        <v>738</v>
      </c>
      <c r="AP73" s="52"/>
      <c r="AQ73" s="52" t="s">
        <v>328</v>
      </c>
      <c r="AR73" s="51">
        <v>1</v>
      </c>
      <c r="AS73" s="52" t="s">
        <v>739</v>
      </c>
      <c r="AT73" s="52"/>
      <c r="AU73" s="52" t="s">
        <v>301</v>
      </c>
      <c r="AV73" s="52" t="s">
        <v>287</v>
      </c>
      <c r="AW73" s="51">
        <v>0</v>
      </c>
      <c r="AX73" s="52"/>
      <c r="AY73" s="52"/>
      <c r="AZ73" s="52" t="s">
        <v>324</v>
      </c>
      <c r="BA73" s="98" t="s">
        <v>324</v>
      </c>
      <c r="BB73" s="97">
        <f t="shared" si="14"/>
        <v>1</v>
      </c>
      <c r="BC73" s="52" t="s">
        <v>339</v>
      </c>
      <c r="BD73" s="51">
        <v>0</v>
      </c>
      <c r="BE73" s="52"/>
      <c r="BF73" s="52"/>
      <c r="BG73" s="51">
        <v>0</v>
      </c>
      <c r="BH73" s="52"/>
      <c r="BI73" s="52" t="s">
        <v>328</v>
      </c>
      <c r="BJ73" s="52" t="s">
        <v>303</v>
      </c>
      <c r="BK73" s="52" t="s">
        <v>331</v>
      </c>
      <c r="BL73" s="51">
        <v>0</v>
      </c>
      <c r="BM73" s="52"/>
      <c r="BN73" s="52"/>
      <c r="BO73" s="52" t="s">
        <v>298</v>
      </c>
      <c r="BP73" s="52" t="s">
        <v>331</v>
      </c>
      <c r="BQ73" s="51">
        <v>0</v>
      </c>
      <c r="BR73" s="52"/>
      <c r="BS73" s="52"/>
      <c r="BT73" s="51">
        <v>0</v>
      </c>
      <c r="BU73" s="52"/>
      <c r="BV73" s="52" t="s">
        <v>299</v>
      </c>
      <c r="BW73" s="51">
        <v>1</v>
      </c>
      <c r="BX73" s="52" t="s">
        <v>740</v>
      </c>
      <c r="BY73" s="52" t="s">
        <v>301</v>
      </c>
      <c r="BZ73" s="52" t="s">
        <v>297</v>
      </c>
      <c r="CA73" s="51">
        <v>0</v>
      </c>
      <c r="CB73" s="52"/>
      <c r="CC73" s="52"/>
      <c r="CD73" s="52" t="s">
        <v>324</v>
      </c>
      <c r="CE73" s="97" t="s">
        <v>288</v>
      </c>
      <c r="CF73" s="97" t="str">
        <f t="shared" si="15"/>
        <v/>
      </c>
      <c r="CG73" s="52" t="s">
        <v>331</v>
      </c>
      <c r="CH73" s="51">
        <v>0</v>
      </c>
      <c r="CI73" s="52"/>
      <c r="CJ73" s="52"/>
      <c r="CK73" s="51">
        <v>0</v>
      </c>
      <c r="CL73" s="52"/>
      <c r="CM73" s="52" t="s">
        <v>299</v>
      </c>
      <c r="CN73" s="51">
        <v>1</v>
      </c>
      <c r="CO73" s="52" t="s">
        <v>370</v>
      </c>
      <c r="CP73" s="52"/>
      <c r="CQ73" s="52" t="s">
        <v>294</v>
      </c>
      <c r="CR73" s="52" t="s">
        <v>302</v>
      </c>
      <c r="CS73" s="51">
        <v>0</v>
      </c>
      <c r="CT73" s="52"/>
      <c r="CU73" s="52"/>
      <c r="CV73" s="52" t="s">
        <v>288</v>
      </c>
      <c r="CW73" s="98" t="s">
        <v>305</v>
      </c>
      <c r="CX73" s="97" t="str">
        <f t="shared" si="16"/>
        <v/>
      </c>
      <c r="CY73" s="52" t="s">
        <v>331</v>
      </c>
      <c r="CZ73" s="51">
        <v>0</v>
      </c>
      <c r="DA73" s="52"/>
      <c r="DB73" s="52"/>
      <c r="DC73" s="51">
        <v>1</v>
      </c>
      <c r="DD73" s="52" t="s">
        <v>741</v>
      </c>
      <c r="DE73" s="52" t="s">
        <v>299</v>
      </c>
      <c r="DF73" s="51">
        <v>1</v>
      </c>
      <c r="DG73" s="52" t="s">
        <v>742</v>
      </c>
      <c r="DH73" s="52"/>
      <c r="DI73" s="52" t="s">
        <v>301</v>
      </c>
      <c r="DJ73" s="52" t="s">
        <v>297</v>
      </c>
      <c r="DK73" s="51">
        <v>0</v>
      </c>
      <c r="DL73" s="52"/>
      <c r="DM73" s="52"/>
      <c r="DN73" s="52" t="s">
        <v>288</v>
      </c>
      <c r="DO73" s="98" t="s">
        <v>324</v>
      </c>
      <c r="DP73" s="97" t="str">
        <f t="shared" si="17"/>
        <v/>
      </c>
      <c r="DQ73" s="52" t="s">
        <v>339</v>
      </c>
      <c r="DR73" s="51">
        <v>0</v>
      </c>
      <c r="DS73" s="52"/>
      <c r="DT73" s="52"/>
      <c r="DU73" s="51">
        <v>0</v>
      </c>
      <c r="DV73" s="52"/>
      <c r="DW73" s="52" t="s">
        <v>299</v>
      </c>
      <c r="DX73" s="51">
        <v>1</v>
      </c>
      <c r="DY73" s="52" t="s">
        <v>743</v>
      </c>
      <c r="DZ73" s="52"/>
      <c r="EA73" s="52" t="s">
        <v>294</v>
      </c>
      <c r="EB73" s="52" t="s">
        <v>331</v>
      </c>
      <c r="EC73" s="51">
        <v>0</v>
      </c>
      <c r="ED73" s="52"/>
      <c r="EE73" s="52"/>
      <c r="EF73" s="52" t="s">
        <v>298</v>
      </c>
      <c r="EG73" s="98" t="s">
        <v>298</v>
      </c>
      <c r="EH73" s="97">
        <f t="shared" si="18"/>
        <v>1</v>
      </c>
      <c r="EI73" s="52" t="s">
        <v>331</v>
      </c>
      <c r="EJ73" s="51">
        <v>0</v>
      </c>
      <c r="EK73" s="52"/>
      <c r="EL73" s="52"/>
      <c r="EM73" s="52" t="s">
        <v>744</v>
      </c>
      <c r="EN73" s="52"/>
      <c r="EO73" s="52" t="s">
        <v>299</v>
      </c>
      <c r="EP73" s="51">
        <v>1</v>
      </c>
      <c r="EQ73" s="52" t="s">
        <v>374</v>
      </c>
      <c r="ER73" s="52" t="s">
        <v>301</v>
      </c>
      <c r="ES73" s="52" t="s">
        <v>331</v>
      </c>
      <c r="ET73" s="51">
        <v>0</v>
      </c>
      <c r="EU73" s="52"/>
      <c r="EV73" s="52"/>
      <c r="EW73" s="52" t="s">
        <v>288</v>
      </c>
      <c r="EX73" s="98" t="s">
        <v>288</v>
      </c>
      <c r="EY73" s="97">
        <f t="shared" si="19"/>
        <v>1</v>
      </c>
      <c r="EZ73" s="51">
        <v>0</v>
      </c>
      <c r="FA73" s="52"/>
      <c r="FB73" s="52"/>
      <c r="FC73" s="52"/>
      <c r="FD73" s="51">
        <v>0</v>
      </c>
      <c r="FE73" s="52"/>
      <c r="FF73" s="52" t="s">
        <v>299</v>
      </c>
      <c r="FG73" s="51">
        <v>0</v>
      </c>
      <c r="FH73" s="52"/>
      <c r="FI73" s="52"/>
      <c r="FJ73" s="52"/>
      <c r="FK73" s="52"/>
      <c r="FL73" s="52"/>
      <c r="FM73" s="52"/>
      <c r="FN73" s="52"/>
      <c r="FO73" s="52"/>
      <c r="FP73" s="51">
        <v>1</v>
      </c>
      <c r="FQ73" s="52" t="s">
        <v>745</v>
      </c>
      <c r="FR73" s="52"/>
      <c r="FS73" s="52"/>
      <c r="FT73" s="48"/>
      <c r="FU73" s="52" t="s">
        <v>317</v>
      </c>
      <c r="FV73" s="52" t="s">
        <v>746</v>
      </c>
      <c r="FW73" s="52"/>
      <c r="FX73" s="51">
        <v>-1</v>
      </c>
      <c r="FY73" s="51">
        <v>-1</v>
      </c>
      <c r="FZ73" s="51">
        <v>-1</v>
      </c>
      <c r="GA73" s="51">
        <v>-1</v>
      </c>
      <c r="GB73" s="51">
        <v>-1</v>
      </c>
      <c r="GC73" s="51">
        <v>-1</v>
      </c>
      <c r="GD73" s="51">
        <v>-1</v>
      </c>
      <c r="GE73" s="51">
        <v>-1</v>
      </c>
      <c r="GF73" s="51">
        <v>-1</v>
      </c>
      <c r="GG73" s="51">
        <v>-1</v>
      </c>
      <c r="GH73" s="51">
        <v>-1</v>
      </c>
      <c r="GI73" s="51">
        <v>-1</v>
      </c>
      <c r="GJ73" s="51">
        <v>-1</v>
      </c>
      <c r="GK73" s="51">
        <v>-1</v>
      </c>
      <c r="GL73" s="51">
        <v>-1</v>
      </c>
      <c r="GM73" s="51">
        <v>-15</v>
      </c>
      <c r="GN73" s="53"/>
      <c r="GO73" s="53"/>
      <c r="GP73" s="52" t="s">
        <v>319</v>
      </c>
      <c r="GQ73" s="52" t="s">
        <v>320</v>
      </c>
      <c r="GR73" s="52" t="s">
        <v>277</v>
      </c>
      <c r="GS73" s="51">
        <v>15</v>
      </c>
      <c r="GT73" s="51">
        <v>15</v>
      </c>
      <c r="GU73" s="51">
        <v>34</v>
      </c>
      <c r="GV73" s="51">
        <v>8</v>
      </c>
      <c r="GW73" s="54"/>
    </row>
    <row r="74" spans="1:205" s="48" customFormat="1" x14ac:dyDescent="0.25">
      <c r="A74" s="51">
        <v>248</v>
      </c>
      <c r="B74" s="52" t="s">
        <v>676</v>
      </c>
      <c r="C74" s="52">
        <v>85</v>
      </c>
      <c r="D74" s="52" t="s">
        <v>279</v>
      </c>
      <c r="E74" s="52" t="s">
        <v>422</v>
      </c>
      <c r="F74" s="52" t="s">
        <v>282</v>
      </c>
      <c r="G74" s="52" t="s">
        <v>281</v>
      </c>
      <c r="H74" s="52" t="s">
        <v>282</v>
      </c>
      <c r="I74" s="52" t="s">
        <v>282</v>
      </c>
      <c r="J74" s="52" t="s">
        <v>282</v>
      </c>
      <c r="K74" s="52" t="s">
        <v>281</v>
      </c>
      <c r="L74" s="52" t="s">
        <v>282</v>
      </c>
      <c r="M74" s="52" t="s">
        <v>282</v>
      </c>
      <c r="N74" s="52" t="s">
        <v>282</v>
      </c>
      <c r="O74" s="51">
        <v>0</v>
      </c>
      <c r="P74" s="52"/>
      <c r="Q74" s="52"/>
      <c r="R74" s="52" t="s">
        <v>283</v>
      </c>
      <c r="S74" s="52" t="s">
        <v>378</v>
      </c>
      <c r="T74" s="52"/>
      <c r="U74" s="52"/>
      <c r="V74" s="52"/>
      <c r="X74" s="52" t="s">
        <v>350</v>
      </c>
      <c r="Y74" s="51">
        <v>1</v>
      </c>
      <c r="Z74" s="52" t="s">
        <v>374</v>
      </c>
      <c r="AA74" s="52"/>
      <c r="AB74" s="52" t="s">
        <v>301</v>
      </c>
      <c r="AC74" s="52" t="s">
        <v>331</v>
      </c>
      <c r="AD74" s="51">
        <v>0</v>
      </c>
      <c r="AE74" s="52"/>
      <c r="AF74" s="52"/>
      <c r="AG74" s="52" t="s">
        <v>288</v>
      </c>
      <c r="AH74" s="98" t="s">
        <v>288</v>
      </c>
      <c r="AI74" s="97">
        <f t="shared" si="13"/>
        <v>1</v>
      </c>
      <c r="AJ74" s="52" t="s">
        <v>500</v>
      </c>
      <c r="AK74" s="51">
        <v>0</v>
      </c>
      <c r="AL74" s="52"/>
      <c r="AM74" s="52"/>
      <c r="AN74" s="51">
        <v>0</v>
      </c>
      <c r="AO74" s="52"/>
      <c r="AP74" s="52"/>
      <c r="AQ74" s="52" t="s">
        <v>292</v>
      </c>
      <c r="AR74" s="51">
        <v>1</v>
      </c>
      <c r="AS74" s="52" t="s">
        <v>739</v>
      </c>
      <c r="AT74" s="52"/>
      <c r="AU74" s="52" t="s">
        <v>301</v>
      </c>
      <c r="AV74" s="52" t="s">
        <v>287</v>
      </c>
      <c r="AW74" s="51">
        <v>0</v>
      </c>
      <c r="AX74" s="52"/>
      <c r="AY74" s="52"/>
      <c r="AZ74" s="52" t="s">
        <v>288</v>
      </c>
      <c r="BA74" s="98" t="s">
        <v>324</v>
      </c>
      <c r="BB74" s="97" t="str">
        <f t="shared" si="14"/>
        <v/>
      </c>
      <c r="BC74" s="52" t="s">
        <v>302</v>
      </c>
      <c r="BD74" s="51">
        <v>0</v>
      </c>
      <c r="BE74" s="52"/>
      <c r="BF74" s="52"/>
      <c r="BG74" s="51">
        <v>0</v>
      </c>
      <c r="BH74" s="52"/>
      <c r="BI74" s="52" t="s">
        <v>328</v>
      </c>
      <c r="BJ74" s="52" t="s">
        <v>294</v>
      </c>
      <c r="BK74" s="52" t="s">
        <v>297</v>
      </c>
      <c r="BL74" s="51">
        <v>0</v>
      </c>
      <c r="BM74" s="52"/>
      <c r="BN74" s="52"/>
      <c r="BO74" s="52" t="s">
        <v>288</v>
      </c>
      <c r="BP74" s="52" t="s">
        <v>302</v>
      </c>
      <c r="BQ74" s="51">
        <v>0</v>
      </c>
      <c r="BR74" s="52"/>
      <c r="BS74" s="52"/>
      <c r="BT74" s="51">
        <v>0</v>
      </c>
      <c r="BU74" s="52"/>
      <c r="BV74" s="52" t="s">
        <v>299</v>
      </c>
      <c r="BW74" s="51">
        <v>1</v>
      </c>
      <c r="BX74" s="52" t="s">
        <v>747</v>
      </c>
      <c r="BY74" s="52" t="s">
        <v>301</v>
      </c>
      <c r="BZ74" s="52" t="s">
        <v>297</v>
      </c>
      <c r="CA74" s="51">
        <v>0</v>
      </c>
      <c r="CB74" s="52"/>
      <c r="CC74" s="52"/>
      <c r="CD74" s="52" t="s">
        <v>288</v>
      </c>
      <c r="CE74" s="97" t="s">
        <v>841</v>
      </c>
      <c r="CF74" s="97" t="str">
        <f t="shared" si="15"/>
        <v/>
      </c>
      <c r="CG74" s="52" t="s">
        <v>331</v>
      </c>
      <c r="CH74" s="51">
        <v>0</v>
      </c>
      <c r="CI74" s="52"/>
      <c r="CJ74" s="52"/>
      <c r="CK74" s="51">
        <v>0</v>
      </c>
      <c r="CL74" s="52"/>
      <c r="CM74" s="52" t="s">
        <v>299</v>
      </c>
      <c r="CN74" s="51">
        <v>1</v>
      </c>
      <c r="CO74" s="52" t="s">
        <v>370</v>
      </c>
      <c r="CP74" s="52"/>
      <c r="CQ74" s="52" t="s">
        <v>294</v>
      </c>
      <c r="CR74" s="52" t="s">
        <v>297</v>
      </c>
      <c r="CS74" s="51">
        <v>0</v>
      </c>
      <c r="CT74" s="52"/>
      <c r="CU74" s="52"/>
      <c r="CV74" s="52" t="s">
        <v>305</v>
      </c>
      <c r="CW74" s="98" t="s">
        <v>298</v>
      </c>
      <c r="CX74" s="97" t="str">
        <f t="shared" si="16"/>
        <v/>
      </c>
      <c r="CY74" s="52" t="s">
        <v>302</v>
      </c>
      <c r="CZ74" s="51">
        <v>0</v>
      </c>
      <c r="DA74" s="52"/>
      <c r="DB74" s="52"/>
      <c r="DC74" s="51">
        <v>0</v>
      </c>
      <c r="DD74" s="52"/>
      <c r="DE74" s="52" t="s">
        <v>299</v>
      </c>
      <c r="DF74" s="51">
        <v>0</v>
      </c>
      <c r="DG74" s="52"/>
      <c r="DH74" s="52"/>
      <c r="DI74" s="52" t="s">
        <v>301</v>
      </c>
      <c r="DJ74" s="52" t="s">
        <v>297</v>
      </c>
      <c r="DK74" s="51">
        <v>0</v>
      </c>
      <c r="DL74" s="52"/>
      <c r="DM74" s="52"/>
      <c r="DN74" s="52" t="s">
        <v>324</v>
      </c>
      <c r="DO74" s="98"/>
      <c r="DP74" s="97" t="str">
        <f t="shared" si="17"/>
        <v/>
      </c>
      <c r="DQ74" s="52" t="s">
        <v>302</v>
      </c>
      <c r="DR74" s="51">
        <v>0</v>
      </c>
      <c r="DS74" s="52"/>
      <c r="DT74" s="52"/>
      <c r="DU74" s="51">
        <v>0</v>
      </c>
      <c r="DV74" s="52"/>
      <c r="DW74" s="52" t="s">
        <v>328</v>
      </c>
      <c r="DX74" s="51">
        <v>1</v>
      </c>
      <c r="DY74" s="52" t="s">
        <v>748</v>
      </c>
      <c r="DZ74" s="52"/>
      <c r="EA74" s="52" t="s">
        <v>301</v>
      </c>
      <c r="EB74" s="52" t="s">
        <v>331</v>
      </c>
      <c r="EC74" s="51">
        <v>0</v>
      </c>
      <c r="ED74" s="52"/>
      <c r="EE74" s="52"/>
      <c r="EF74" s="52" t="s">
        <v>288</v>
      </c>
      <c r="EG74" s="98" t="s">
        <v>298</v>
      </c>
      <c r="EH74" s="97" t="str">
        <f t="shared" si="18"/>
        <v/>
      </c>
      <c r="EI74" s="52" t="s">
        <v>302</v>
      </c>
      <c r="EJ74" s="51">
        <v>0</v>
      </c>
      <c r="EK74" s="52"/>
      <c r="EL74" s="52"/>
      <c r="EM74" s="52"/>
      <c r="EN74" s="52"/>
      <c r="EO74" s="52" t="s">
        <v>328</v>
      </c>
      <c r="EP74" s="51">
        <v>1</v>
      </c>
      <c r="EQ74" s="52" t="s">
        <v>374</v>
      </c>
      <c r="ER74" s="52" t="s">
        <v>301</v>
      </c>
      <c r="ES74" s="52" t="s">
        <v>331</v>
      </c>
      <c r="ET74" s="51">
        <v>0</v>
      </c>
      <c r="EU74" s="52"/>
      <c r="EV74" s="52"/>
      <c r="EW74" s="52" t="s">
        <v>288</v>
      </c>
      <c r="EX74" s="98" t="s">
        <v>288</v>
      </c>
      <c r="EY74" s="97">
        <f t="shared" si="19"/>
        <v>1</v>
      </c>
      <c r="EZ74" s="51">
        <v>0</v>
      </c>
      <c r="FA74" s="52"/>
      <c r="FB74" s="52"/>
      <c r="FC74" s="52"/>
      <c r="FD74" s="51">
        <v>0</v>
      </c>
      <c r="FE74" s="52"/>
      <c r="FF74" s="52" t="s">
        <v>299</v>
      </c>
      <c r="FG74" s="51">
        <v>0</v>
      </c>
      <c r="FH74" s="52"/>
      <c r="FI74" s="52"/>
      <c r="FJ74" s="52"/>
      <c r="FK74" s="52"/>
      <c r="FL74" s="52"/>
      <c r="FM74" s="52"/>
      <c r="FN74" s="52"/>
      <c r="FO74" s="52"/>
      <c r="FP74" s="51">
        <v>0</v>
      </c>
      <c r="FQ74" s="52"/>
      <c r="FR74" s="52"/>
      <c r="FS74" s="52"/>
      <c r="FU74" s="52" t="s">
        <v>317</v>
      </c>
      <c r="FV74" s="52" t="s">
        <v>749</v>
      </c>
      <c r="FW74" s="52"/>
      <c r="FX74" s="51">
        <v>-1</v>
      </c>
      <c r="FY74" s="51">
        <v>-1</v>
      </c>
      <c r="FZ74" s="51">
        <v>-1</v>
      </c>
      <c r="GA74" s="51">
        <v>-1</v>
      </c>
      <c r="GB74" s="51">
        <v>-1</v>
      </c>
      <c r="GC74" s="51">
        <v>-1</v>
      </c>
      <c r="GD74" s="51">
        <v>-1</v>
      </c>
      <c r="GE74" s="51">
        <v>-1</v>
      </c>
      <c r="GF74" s="51">
        <v>-1</v>
      </c>
      <c r="GG74" s="51">
        <v>-1</v>
      </c>
      <c r="GH74" s="51">
        <v>-1</v>
      </c>
      <c r="GI74" s="51">
        <v>-1</v>
      </c>
      <c r="GJ74" s="51">
        <v>-1</v>
      </c>
      <c r="GK74" s="51">
        <v>-1</v>
      </c>
      <c r="GL74" s="51">
        <v>-1</v>
      </c>
      <c r="GM74" s="51">
        <v>-15</v>
      </c>
      <c r="GN74" s="53"/>
      <c r="GO74" s="53"/>
      <c r="GP74" s="52" t="s">
        <v>319</v>
      </c>
      <c r="GQ74" s="52" t="s">
        <v>320</v>
      </c>
      <c r="GR74" s="52" t="s">
        <v>277</v>
      </c>
      <c r="GS74" s="51">
        <v>15</v>
      </c>
      <c r="GT74" s="51">
        <v>15</v>
      </c>
      <c r="GU74" s="51">
        <v>40</v>
      </c>
      <c r="GV74" s="51">
        <v>12</v>
      </c>
      <c r="GW74" s="54"/>
    </row>
    <row r="75" spans="1:205" s="48" customFormat="1" x14ac:dyDescent="0.25">
      <c r="A75" s="1" t="s">
        <v>190</v>
      </c>
      <c r="B75" s="2" t="s">
        <v>191</v>
      </c>
      <c r="C75" s="2"/>
      <c r="D75" s="2" t="s">
        <v>192</v>
      </c>
      <c r="E75" s="2" t="s">
        <v>193</v>
      </c>
      <c r="F75" s="2" t="s">
        <v>194</v>
      </c>
      <c r="G75" s="2" t="s">
        <v>195</v>
      </c>
      <c r="H75" s="2" t="s">
        <v>196</v>
      </c>
      <c r="I75" s="2" t="s">
        <v>197</v>
      </c>
      <c r="J75" s="2" t="s">
        <v>198</v>
      </c>
      <c r="K75" s="2" t="s">
        <v>199</v>
      </c>
      <c r="L75" s="2" t="s">
        <v>200</v>
      </c>
      <c r="M75" s="2" t="s">
        <v>201</v>
      </c>
      <c r="N75" s="2" t="s">
        <v>202</v>
      </c>
      <c r="O75" s="1" t="s">
        <v>203</v>
      </c>
      <c r="P75" s="2" t="s">
        <v>204</v>
      </c>
      <c r="Q75" s="2" t="s">
        <v>205</v>
      </c>
      <c r="R75" s="2" t="s">
        <v>206</v>
      </c>
      <c r="S75" s="2" t="s">
        <v>207</v>
      </c>
      <c r="T75" s="2" t="s">
        <v>208</v>
      </c>
      <c r="U75" s="2" t="s">
        <v>209</v>
      </c>
      <c r="V75" s="2"/>
      <c r="W75" s="2" t="s">
        <v>210</v>
      </c>
      <c r="X75" s="2" t="s">
        <v>247</v>
      </c>
      <c r="Y75" s="1" t="s">
        <v>211</v>
      </c>
      <c r="Z75" s="2" t="s">
        <v>212</v>
      </c>
      <c r="AA75" s="2" t="s">
        <v>213</v>
      </c>
      <c r="AB75" s="2" t="s">
        <v>214</v>
      </c>
      <c r="AC75" s="2" t="s">
        <v>215</v>
      </c>
      <c r="AD75" s="1" t="s">
        <v>203</v>
      </c>
      <c r="AE75" s="2" t="s">
        <v>204</v>
      </c>
      <c r="AF75" s="2" t="s">
        <v>205</v>
      </c>
      <c r="AG75" s="2" t="s">
        <v>216</v>
      </c>
      <c r="AH75" s="98"/>
      <c r="AI75" s="98"/>
      <c r="AJ75" s="2" t="s">
        <v>217</v>
      </c>
      <c r="AK75" s="1" t="s">
        <v>203</v>
      </c>
      <c r="AL75" s="2" t="s">
        <v>204</v>
      </c>
      <c r="AM75" s="2" t="s">
        <v>205</v>
      </c>
      <c r="AN75" s="1" t="s">
        <v>218</v>
      </c>
      <c r="AO75" s="2" t="s">
        <v>219</v>
      </c>
      <c r="AP75" s="2" t="s">
        <v>220</v>
      </c>
      <c r="AQ75" s="2" t="s">
        <v>221</v>
      </c>
      <c r="AR75" s="1" t="s">
        <v>211</v>
      </c>
      <c r="AS75" s="2" t="s">
        <v>212</v>
      </c>
      <c r="AT75" s="2" t="s">
        <v>213</v>
      </c>
      <c r="AU75" s="2" t="s">
        <v>214</v>
      </c>
      <c r="AV75" s="2" t="s">
        <v>215</v>
      </c>
      <c r="AW75" s="1" t="s">
        <v>203</v>
      </c>
      <c r="AX75" s="2" t="s">
        <v>204</v>
      </c>
      <c r="AY75" s="2" t="s">
        <v>205</v>
      </c>
      <c r="AZ75" s="2" t="s">
        <v>216</v>
      </c>
      <c r="BA75" s="2"/>
      <c r="BB75" s="98"/>
      <c r="BC75" s="2" t="s">
        <v>217</v>
      </c>
      <c r="BD75" s="1" t="s">
        <v>203</v>
      </c>
      <c r="BE75" s="2" t="s">
        <v>204</v>
      </c>
      <c r="BF75" s="2" t="s">
        <v>205</v>
      </c>
      <c r="BG75" s="1" t="s">
        <v>218</v>
      </c>
      <c r="BH75" s="2" t="s">
        <v>219</v>
      </c>
      <c r="BI75" s="2" t="s">
        <v>221</v>
      </c>
      <c r="BJ75" s="2" t="s">
        <v>214</v>
      </c>
      <c r="BK75" s="2" t="s">
        <v>215</v>
      </c>
      <c r="BL75" s="1" t="s">
        <v>203</v>
      </c>
      <c r="BM75" s="2" t="s">
        <v>204</v>
      </c>
      <c r="BN75" s="2" t="s">
        <v>205</v>
      </c>
      <c r="BO75" s="2" t="s">
        <v>216</v>
      </c>
      <c r="BP75" s="2" t="s">
        <v>217</v>
      </c>
      <c r="BQ75" s="1" t="s">
        <v>203</v>
      </c>
      <c r="BR75" s="2" t="s">
        <v>204</v>
      </c>
      <c r="BS75" s="2" t="s">
        <v>205</v>
      </c>
      <c r="BT75" s="1" t="s">
        <v>218</v>
      </c>
      <c r="BU75" s="2" t="s">
        <v>219</v>
      </c>
      <c r="BV75" s="2" t="s">
        <v>221</v>
      </c>
      <c r="BW75" s="1" t="s">
        <v>222</v>
      </c>
      <c r="BX75" s="2" t="s">
        <v>223</v>
      </c>
      <c r="BY75" s="2" t="s">
        <v>214</v>
      </c>
      <c r="BZ75" s="2" t="s">
        <v>215</v>
      </c>
      <c r="CA75" s="1" t="s">
        <v>203</v>
      </c>
      <c r="CB75" s="2" t="s">
        <v>204</v>
      </c>
      <c r="CC75" s="2" t="s">
        <v>205</v>
      </c>
      <c r="CD75" s="2" t="s">
        <v>216</v>
      </c>
      <c r="CE75" s="97"/>
      <c r="CF75" s="97" t="str">
        <f t="shared" si="15"/>
        <v/>
      </c>
      <c r="CG75" s="2" t="s">
        <v>217</v>
      </c>
      <c r="CH75" s="1" t="s">
        <v>203</v>
      </c>
      <c r="CI75" s="2" t="s">
        <v>204</v>
      </c>
      <c r="CJ75" s="2" t="s">
        <v>205</v>
      </c>
      <c r="CK75" s="1" t="s">
        <v>218</v>
      </c>
      <c r="CL75" s="2" t="s">
        <v>219</v>
      </c>
      <c r="CM75" s="2" t="s">
        <v>221</v>
      </c>
      <c r="CN75" s="1" t="s">
        <v>224</v>
      </c>
      <c r="CO75" s="2" t="s">
        <v>225</v>
      </c>
      <c r="CP75" s="2" t="s">
        <v>226</v>
      </c>
      <c r="CQ75" s="2" t="s">
        <v>214</v>
      </c>
      <c r="CR75" s="2" t="s">
        <v>215</v>
      </c>
      <c r="CS75" s="1" t="s">
        <v>203</v>
      </c>
      <c r="CT75" s="2" t="s">
        <v>204</v>
      </c>
      <c r="CU75" s="2" t="s">
        <v>205</v>
      </c>
      <c r="CV75" s="2" t="s">
        <v>216</v>
      </c>
      <c r="CW75" s="2"/>
      <c r="CX75" s="97" t="str">
        <f t="shared" si="16"/>
        <v/>
      </c>
      <c r="CY75" s="2" t="s">
        <v>217</v>
      </c>
      <c r="CZ75" s="1" t="s">
        <v>203</v>
      </c>
      <c r="DA75" s="2" t="s">
        <v>204</v>
      </c>
      <c r="DB75" s="2" t="s">
        <v>205</v>
      </c>
      <c r="DC75" s="1" t="s">
        <v>218</v>
      </c>
      <c r="DD75" s="2" t="s">
        <v>219</v>
      </c>
      <c r="DE75" s="2" t="s">
        <v>221</v>
      </c>
      <c r="DF75" s="1" t="s">
        <v>227</v>
      </c>
      <c r="DG75" s="2" t="s">
        <v>228</v>
      </c>
      <c r="DH75" s="2" t="s">
        <v>229</v>
      </c>
      <c r="DI75" s="2" t="s">
        <v>214</v>
      </c>
      <c r="DJ75" s="2" t="s">
        <v>215</v>
      </c>
      <c r="DK75" s="1" t="s">
        <v>203</v>
      </c>
      <c r="DL75" s="2" t="s">
        <v>204</v>
      </c>
      <c r="DM75" s="2" t="s">
        <v>205</v>
      </c>
      <c r="DN75" s="2" t="s">
        <v>216</v>
      </c>
      <c r="DO75" s="2"/>
      <c r="DP75" s="97" t="str">
        <f t="shared" si="17"/>
        <v/>
      </c>
      <c r="DQ75" s="2" t="s">
        <v>217</v>
      </c>
      <c r="DR75" s="1" t="s">
        <v>203</v>
      </c>
      <c r="DS75" s="2" t="s">
        <v>204</v>
      </c>
      <c r="DT75" s="2" t="s">
        <v>205</v>
      </c>
      <c r="DU75" s="1" t="s">
        <v>218</v>
      </c>
      <c r="DV75" s="2" t="s">
        <v>219</v>
      </c>
      <c r="DW75" s="2" t="s">
        <v>221</v>
      </c>
      <c r="DX75" s="1" t="s">
        <v>230</v>
      </c>
      <c r="DY75" s="2" t="s">
        <v>231</v>
      </c>
      <c r="DZ75" s="2" t="s">
        <v>232</v>
      </c>
      <c r="EA75" s="2" t="s">
        <v>214</v>
      </c>
      <c r="EB75" s="2" t="s">
        <v>215</v>
      </c>
      <c r="EC75" s="1" t="s">
        <v>203</v>
      </c>
      <c r="ED75" s="2" t="s">
        <v>204</v>
      </c>
      <c r="EE75" s="2" t="s">
        <v>205</v>
      </c>
      <c r="EF75" s="2" t="s">
        <v>216</v>
      </c>
      <c r="EG75" s="2"/>
      <c r="EH75" s="97" t="str">
        <f t="shared" si="18"/>
        <v/>
      </c>
      <c r="EI75" s="2" t="s">
        <v>217</v>
      </c>
      <c r="EJ75" s="1" t="s">
        <v>203</v>
      </c>
      <c r="EK75" s="2" t="s">
        <v>204</v>
      </c>
      <c r="EL75" s="2" t="s">
        <v>205</v>
      </c>
      <c r="EM75" s="2" t="s">
        <v>233</v>
      </c>
      <c r="EN75" s="2" t="s">
        <v>219</v>
      </c>
      <c r="EO75" s="2" t="s">
        <v>221</v>
      </c>
      <c r="EP75" s="1" t="s">
        <v>234</v>
      </c>
      <c r="EQ75" s="2" t="s">
        <v>235</v>
      </c>
      <c r="ER75" s="2" t="s">
        <v>214</v>
      </c>
      <c r="ES75" s="2" t="s">
        <v>215</v>
      </c>
      <c r="ET75" s="1" t="s">
        <v>203</v>
      </c>
      <c r="EU75" s="2" t="s">
        <v>204</v>
      </c>
      <c r="EV75" s="2" t="s">
        <v>205</v>
      </c>
      <c r="EW75" s="2" t="s">
        <v>216</v>
      </c>
      <c r="EX75" s="2"/>
      <c r="EY75" s="97" t="str">
        <f t="shared" si="19"/>
        <v/>
      </c>
      <c r="EZ75" s="1" t="s">
        <v>203</v>
      </c>
      <c r="FA75" s="2" t="s">
        <v>204</v>
      </c>
      <c r="FB75" s="2" t="s">
        <v>205</v>
      </c>
      <c r="FC75" s="2" t="s">
        <v>233</v>
      </c>
      <c r="FD75" s="1" t="s">
        <v>218</v>
      </c>
      <c r="FE75" s="2" t="s">
        <v>219</v>
      </c>
      <c r="FF75" s="2" t="s">
        <v>221</v>
      </c>
      <c r="FG75" s="1" t="s">
        <v>236</v>
      </c>
      <c r="FH75" s="2" t="s">
        <v>237</v>
      </c>
      <c r="FI75" s="2" t="s">
        <v>238</v>
      </c>
      <c r="FJ75" s="2" t="s">
        <v>239</v>
      </c>
      <c r="FK75" s="2" t="s">
        <v>240</v>
      </c>
      <c r="FL75" s="2" t="s">
        <v>241</v>
      </c>
      <c r="FM75" s="2" t="s">
        <v>242</v>
      </c>
      <c r="FN75" s="2" t="s">
        <v>241</v>
      </c>
      <c r="FO75" s="2" t="s">
        <v>242</v>
      </c>
      <c r="FP75" s="1" t="s">
        <v>243</v>
      </c>
      <c r="FQ75" s="2" t="s">
        <v>244</v>
      </c>
      <c r="FR75" s="2" t="s">
        <v>245</v>
      </c>
      <c r="FS75" s="2" t="s">
        <v>246</v>
      </c>
      <c r="FT75"/>
      <c r="FU75" s="2" t="s">
        <v>248</v>
      </c>
      <c r="FV75" s="2" t="s">
        <v>249</v>
      </c>
      <c r="FW75" s="2" t="s">
        <v>250</v>
      </c>
      <c r="FX75" s="1" t="s">
        <v>251</v>
      </c>
      <c r="FY75" s="1" t="s">
        <v>252</v>
      </c>
      <c r="FZ75" s="1" t="s">
        <v>253</v>
      </c>
      <c r="GA75" s="1" t="s">
        <v>254</v>
      </c>
      <c r="GB75" s="1" t="s">
        <v>255</v>
      </c>
      <c r="GC75" s="1" t="s">
        <v>256</v>
      </c>
      <c r="GD75" s="1" t="s">
        <v>257</v>
      </c>
      <c r="GE75" s="1" t="s">
        <v>258</v>
      </c>
      <c r="GF75" s="1" t="s">
        <v>259</v>
      </c>
      <c r="GG75" s="1" t="s">
        <v>260</v>
      </c>
      <c r="GH75" s="1" t="s">
        <v>261</v>
      </c>
      <c r="GI75" s="1" t="s">
        <v>262</v>
      </c>
      <c r="GJ75" s="1" t="s">
        <v>263</v>
      </c>
      <c r="GK75" s="1" t="s">
        <v>264</v>
      </c>
      <c r="GL75" s="1" t="s">
        <v>265</v>
      </c>
      <c r="GM75" s="1" t="s">
        <v>266</v>
      </c>
      <c r="GN75" s="3" t="s">
        <v>267</v>
      </c>
      <c r="GO75" s="3" t="s">
        <v>268</v>
      </c>
      <c r="GP75" s="2" t="s">
        <v>269</v>
      </c>
      <c r="GQ75" s="2" t="s">
        <v>270</v>
      </c>
      <c r="GR75" s="2" t="s">
        <v>271</v>
      </c>
      <c r="GS75" s="1" t="s">
        <v>272</v>
      </c>
      <c r="GT75" s="1" t="s">
        <v>273</v>
      </c>
      <c r="GU75" s="1" t="s">
        <v>274</v>
      </c>
      <c r="GV75" s="1" t="s">
        <v>275</v>
      </c>
      <c r="GW75" s="4" t="s">
        <v>276</v>
      </c>
    </row>
    <row r="76" spans="1:205" x14ac:dyDescent="0.25">
      <c r="AH76"/>
      <c r="AI76" s="97">
        <f>COUNTIF(AI58:AI75,1)</f>
        <v>5</v>
      </c>
      <c r="BB76" s="97">
        <f>COUNTIF(BB58:BB75,1)</f>
        <v>8</v>
      </c>
      <c r="CF76" s="97">
        <f>COUNTIF(CF58:CF75,1)</f>
        <v>1</v>
      </c>
      <c r="CX76" s="97">
        <f>COUNTIF(CX58:CX75,1)</f>
        <v>4</v>
      </c>
      <c r="DH76" t="s">
        <v>848</v>
      </c>
      <c r="DP76" s="97">
        <f>COUNTIF(DP58:DP75,1)</f>
        <v>3</v>
      </c>
      <c r="EH76" s="97">
        <f>COUNTIF(EH58:EH75,1)</f>
        <v>5</v>
      </c>
      <c r="EY76" s="97">
        <f>COUNTIF(EY58:EY75,1)</f>
        <v>9</v>
      </c>
    </row>
    <row r="77" spans="1:205" x14ac:dyDescent="0.25">
      <c r="AH77" s="97" t="s">
        <v>845</v>
      </c>
      <c r="AI77" s="97">
        <f>AI31+AI76</f>
        <v>18</v>
      </c>
      <c r="BA77" s="97" t="s">
        <v>845</v>
      </c>
      <c r="BB77" s="97">
        <f>BB31+BB76</f>
        <v>22</v>
      </c>
      <c r="CE77" s="97" t="s">
        <v>845</v>
      </c>
      <c r="CF77" s="97">
        <f>CF31+CF76</f>
        <v>12</v>
      </c>
      <c r="CW77" s="97" t="s">
        <v>845</v>
      </c>
      <c r="CX77" s="97">
        <f>CX31+CX76</f>
        <v>16</v>
      </c>
      <c r="DF77" t="s">
        <v>374</v>
      </c>
      <c r="DG77">
        <f>COUNTA(DG2:DG30,DG58:DG74)</f>
        <v>23</v>
      </c>
      <c r="DH77">
        <v>12</v>
      </c>
      <c r="DO77" s="97" t="s">
        <v>845</v>
      </c>
      <c r="DP77" s="97">
        <f>DP31+DP76</f>
        <v>16</v>
      </c>
      <c r="EG77" s="97" t="s">
        <v>845</v>
      </c>
      <c r="EH77" s="97">
        <f>EH31+EH76</f>
        <v>14</v>
      </c>
      <c r="EX77" s="97" t="s">
        <v>845</v>
      </c>
      <c r="EY77" s="97">
        <f>EY31+EY76</f>
        <v>20</v>
      </c>
    </row>
    <row r="78" spans="1:205" x14ac:dyDescent="0.25">
      <c r="AH78" s="97" t="s">
        <v>914</v>
      </c>
      <c r="AI78" s="98">
        <f>COUNTIFS(AG2:AG30, "&lt;&gt;", AH2:AH30, "&lt;&gt;")+COUNTIFS(AG58:AG74, "&lt;&gt;", AH58:AH74, "&lt;&gt;")</f>
        <v>39</v>
      </c>
      <c r="AJ78" s="101">
        <f>AI77/AI78</f>
        <v>0.46153846153846156</v>
      </c>
      <c r="BA78" s="97"/>
      <c r="BB78" s="98">
        <f>COUNTIFS(AZ2:AZ30, "&lt;&gt;", BA2:BA30, "&lt;&gt;")+COUNTIFS(AZ58:AZ74, "&lt;&gt;", BA58:BA74, "&lt;&gt;")</f>
        <v>24</v>
      </c>
      <c r="BC78" s="101">
        <f>BB77/BB78</f>
        <v>0.91666666666666663</v>
      </c>
      <c r="CE78" s="97"/>
      <c r="CF78" s="98">
        <f>COUNTIFS(CD2:CD30, "&lt;&gt;", CE2:CE30, "&lt;&gt;")+COUNTIFS(CD58:CD74, "&lt;&gt;", CE58:CE74, "&lt;&gt;")</f>
        <v>15</v>
      </c>
      <c r="CG78" s="101">
        <f>CF77/CF78</f>
        <v>0.8</v>
      </c>
      <c r="CW78" s="97"/>
      <c r="CX78" s="98">
        <f>COUNTIFS(CV2:CV30, "&lt;&gt;", CW2:CW30, "&lt;&gt;")+COUNTIFS(CV58:CV74, "&lt;&gt;", CW58:CW74, "&lt;&gt;")</f>
        <v>25</v>
      </c>
      <c r="CY78" s="101">
        <f>CX77/CX78</f>
        <v>0.64</v>
      </c>
      <c r="DF78" t="s">
        <v>847</v>
      </c>
      <c r="DG78">
        <f>COUNTA(DG33:DG57)</f>
        <v>12</v>
      </c>
      <c r="DH78">
        <v>3</v>
      </c>
      <c r="DO78" s="97"/>
      <c r="DP78" s="98">
        <f>COUNTIFS(DN2:DN30, "&lt;&gt;", DO2:DO30, "&lt;&gt;")+COUNTIFS(DN58:DN74, "&lt;&gt;", DO58:DO74, "&lt;&gt;")</f>
        <v>20</v>
      </c>
      <c r="DQ78" s="101">
        <f>DP77/DP78</f>
        <v>0.8</v>
      </c>
      <c r="EG78" s="97"/>
      <c r="EH78" s="98">
        <f>COUNTIFS(EF2:EF30, "&lt;&gt;", EG2:EG30, "&lt;&gt;")+COUNTIFS(EF58:EF74, "&lt;&gt;", EG58:EG74, "&lt;&gt;")</f>
        <v>25</v>
      </c>
      <c r="EI78" s="101">
        <f>EH77/EH78</f>
        <v>0.56000000000000005</v>
      </c>
      <c r="EX78" s="97"/>
      <c r="EY78" s="98">
        <f>COUNTIFS(EW2:EW30, "&lt;&gt;", EX2:EX30, "&lt;&gt;")+COUNTIFS(EW58:EW74, "&lt;&gt;", EX58:EX74, "&lt;&gt;")</f>
        <v>32</v>
      </c>
      <c r="EZ78" s="101">
        <f>EY77/EY78</f>
        <v>0.625</v>
      </c>
    </row>
    <row r="79" spans="1:205" s="6" customFormat="1" x14ac:dyDescent="0.25"/>
    <row r="80" spans="1:205" x14ac:dyDescent="0.25">
      <c r="AH80" t="s">
        <v>838</v>
      </c>
      <c r="AI80"/>
      <c r="BB80"/>
      <c r="CF80"/>
      <c r="CX80"/>
      <c r="DP80"/>
      <c r="EH80"/>
      <c r="EY80"/>
    </row>
    <row r="81" spans="2:162" ht="13.8" x14ac:dyDescent="0.25">
      <c r="AH81" t="s">
        <v>839</v>
      </c>
      <c r="AI81"/>
      <c r="AQ81" s="31"/>
      <c r="BB81"/>
      <c r="BI81" s="31"/>
      <c r="BV81" s="31"/>
      <c r="CF81"/>
      <c r="CM81" s="31"/>
      <c r="CX81"/>
      <c r="DE81" s="31"/>
      <c r="DP81"/>
      <c r="DW81" s="31"/>
      <c r="EH81"/>
      <c r="EO81" s="31"/>
      <c r="EY81"/>
      <c r="FF81" s="31"/>
    </row>
    <row r="82" spans="2:162" x14ac:dyDescent="0.25">
      <c r="B82" t="s">
        <v>876</v>
      </c>
      <c r="H82" t="s">
        <v>889</v>
      </c>
      <c r="M82" s="56"/>
      <c r="N82" t="s">
        <v>888</v>
      </c>
      <c r="AH82"/>
      <c r="AI82"/>
      <c r="BB82"/>
      <c r="CF82"/>
      <c r="CX82"/>
      <c r="DP82"/>
      <c r="EH82"/>
      <c r="EY82"/>
    </row>
    <row r="83" spans="2:162" x14ac:dyDescent="0.25">
      <c r="B83" s="30"/>
      <c r="C83" t="s">
        <v>877</v>
      </c>
      <c r="H83" s="48"/>
      <c r="I83" t="s">
        <v>781</v>
      </c>
      <c r="AH83"/>
      <c r="AI83"/>
      <c r="BB83"/>
      <c r="CF83"/>
      <c r="CX83"/>
      <c r="DP83"/>
      <c r="EH83"/>
      <c r="EY83"/>
    </row>
    <row r="84" spans="2:162" x14ac:dyDescent="0.25">
      <c r="B84" s="22"/>
      <c r="C84" t="s">
        <v>854</v>
      </c>
      <c r="H84" s="50"/>
      <c r="I84" t="s">
        <v>782</v>
      </c>
      <c r="M84" s="98"/>
      <c r="N84" t="s">
        <v>915</v>
      </c>
      <c r="AH84"/>
      <c r="AI84"/>
      <c r="BB84"/>
      <c r="CF84"/>
      <c r="CX84"/>
      <c r="DP84"/>
      <c r="EH84"/>
      <c r="EY84"/>
    </row>
    <row r="85" spans="2:162" x14ac:dyDescent="0.25">
      <c r="B85" s="23"/>
      <c r="C85" t="s">
        <v>878</v>
      </c>
      <c r="H85" s="49"/>
      <c r="I85" t="s">
        <v>783</v>
      </c>
      <c r="AH85"/>
      <c r="AI85"/>
      <c r="BB85"/>
      <c r="CF85"/>
      <c r="CX85"/>
      <c r="DP85"/>
      <c r="EH85"/>
      <c r="EY85"/>
    </row>
    <row r="86" spans="2:162" x14ac:dyDescent="0.25">
      <c r="B86" s="24"/>
      <c r="C86" t="s">
        <v>879</v>
      </c>
      <c r="H86" s="40"/>
      <c r="I86" t="s">
        <v>779</v>
      </c>
      <c r="AH86"/>
      <c r="AI86"/>
      <c r="BB86"/>
      <c r="CF86"/>
      <c r="CX86"/>
      <c r="DP86"/>
      <c r="EH86"/>
      <c r="EY86"/>
    </row>
    <row r="87" spans="2:162" x14ac:dyDescent="0.25">
      <c r="B87" s="25"/>
      <c r="C87" t="s">
        <v>437</v>
      </c>
      <c r="H87" s="10"/>
      <c r="I87" t="s">
        <v>780</v>
      </c>
      <c r="AH87"/>
      <c r="AI87"/>
      <c r="BB87"/>
      <c r="CF87"/>
      <c r="CX87"/>
      <c r="DP87"/>
      <c r="EH87"/>
      <c r="EY87"/>
    </row>
    <row r="88" spans="2:162" x14ac:dyDescent="0.25">
      <c r="B88" s="5"/>
      <c r="C88" t="s">
        <v>350</v>
      </c>
      <c r="H88" t="s">
        <v>890</v>
      </c>
      <c r="AH88"/>
      <c r="AI88"/>
      <c r="BB88"/>
      <c r="CF88"/>
      <c r="CX88"/>
      <c r="DP88"/>
      <c r="EH88"/>
      <c r="EY88"/>
    </row>
    <row r="89" spans="2:162" x14ac:dyDescent="0.25">
      <c r="B89" s="26"/>
      <c r="C89" t="s">
        <v>393</v>
      </c>
      <c r="H89" t="s">
        <v>882</v>
      </c>
      <c r="AH89"/>
      <c r="AI89"/>
      <c r="BB89"/>
      <c r="CF89"/>
      <c r="CX89"/>
      <c r="DP89"/>
      <c r="EH89"/>
      <c r="EY89"/>
    </row>
    <row r="90" spans="2:162" x14ac:dyDescent="0.25">
      <c r="B90" s="27"/>
      <c r="C90" t="s">
        <v>880</v>
      </c>
      <c r="AH90"/>
      <c r="AI90"/>
      <c r="BB90"/>
      <c r="CF90"/>
      <c r="CX90"/>
      <c r="DP90"/>
      <c r="EH90"/>
      <c r="EY90"/>
    </row>
    <row r="91" spans="2:162" x14ac:dyDescent="0.25">
      <c r="B91" s="28"/>
      <c r="C91" t="s">
        <v>881</v>
      </c>
      <c r="AH91"/>
      <c r="AI91"/>
      <c r="BB91"/>
      <c r="CF91"/>
      <c r="CX91"/>
      <c r="DP91"/>
      <c r="EH91"/>
      <c r="EY91"/>
    </row>
    <row r="92" spans="2:162" x14ac:dyDescent="0.25">
      <c r="B92" s="29"/>
      <c r="C92" t="s">
        <v>877</v>
      </c>
      <c r="AH92"/>
      <c r="AI92"/>
      <c r="BB92"/>
      <c r="CF92"/>
      <c r="CX92"/>
      <c r="DP92"/>
      <c r="EH92"/>
      <c r="EY92"/>
    </row>
    <row r="93" spans="2:162" x14ac:dyDescent="0.25">
      <c r="AH93"/>
      <c r="AI93"/>
      <c r="BB93"/>
      <c r="CF93"/>
      <c r="CX93"/>
      <c r="DP93"/>
      <c r="EH93"/>
      <c r="EY93"/>
    </row>
    <row r="94" spans="2:162" x14ac:dyDescent="0.25">
      <c r="AH94"/>
      <c r="AI94"/>
      <c r="BB94"/>
      <c r="CF94"/>
      <c r="CX94"/>
      <c r="DP94"/>
      <c r="EH94"/>
      <c r="EY94"/>
    </row>
    <row r="95" spans="2:162" x14ac:dyDescent="0.25">
      <c r="AH95"/>
      <c r="AI95"/>
      <c r="BB95"/>
      <c r="CF95"/>
      <c r="CX95"/>
      <c r="DP95"/>
      <c r="EH95"/>
      <c r="EY95"/>
    </row>
    <row r="96" spans="2:162" x14ac:dyDescent="0.25">
      <c r="AH96"/>
      <c r="AI96"/>
      <c r="BB96"/>
      <c r="CF96"/>
      <c r="CX96"/>
      <c r="DP96"/>
      <c r="EH96"/>
      <c r="EY96"/>
    </row>
    <row r="97" spans="2:155" x14ac:dyDescent="0.25">
      <c r="AH97"/>
      <c r="AI97"/>
      <c r="BB97"/>
      <c r="CF97"/>
      <c r="CX97"/>
      <c r="DP97"/>
      <c r="EH97"/>
      <c r="EY97"/>
    </row>
    <row r="98" spans="2:155" x14ac:dyDescent="0.25">
      <c r="AH98"/>
      <c r="AI98"/>
      <c r="BB98"/>
      <c r="CF98"/>
      <c r="CX98"/>
      <c r="DP98"/>
      <c r="EH98"/>
      <c r="EY98"/>
    </row>
    <row r="99" spans="2:155" x14ac:dyDescent="0.25">
      <c r="AH99"/>
      <c r="AI99"/>
      <c r="BB99"/>
      <c r="CF99"/>
      <c r="CX99"/>
      <c r="DP99"/>
      <c r="EH99"/>
      <c r="EY99"/>
    </row>
    <row r="100" spans="2:155" ht="28.2" x14ac:dyDescent="0.5">
      <c r="B100" s="8" t="s">
        <v>875</v>
      </c>
      <c r="C100" s="8"/>
      <c r="P100" s="8"/>
      <c r="Q100" s="107" t="s">
        <v>911</v>
      </c>
      <c r="Z100" s="107" t="s">
        <v>912</v>
      </c>
      <c r="AH100"/>
      <c r="AI100"/>
      <c r="AO100" s="107" t="s">
        <v>918</v>
      </c>
      <c r="AZ100" s="107" t="s">
        <v>920</v>
      </c>
      <c r="BB100"/>
      <c r="CF100"/>
      <c r="CX100"/>
      <c r="DP100"/>
      <c r="EH100"/>
      <c r="EY100"/>
    </row>
    <row r="101" spans="2:155" x14ac:dyDescent="0.25">
      <c r="AH101"/>
      <c r="AI101"/>
      <c r="BB101"/>
      <c r="CF101"/>
      <c r="CX101"/>
      <c r="DP101"/>
      <c r="EH101"/>
      <c r="EY101"/>
    </row>
    <row r="102" spans="2:155" x14ac:dyDescent="0.25">
      <c r="B102" s="134" t="s">
        <v>751</v>
      </c>
      <c r="C102" s="134"/>
      <c r="D102" s="134"/>
      <c r="F102" s="134" t="s">
        <v>192</v>
      </c>
      <c r="G102" s="134"/>
      <c r="I102" s="134" t="s">
        <v>753</v>
      </c>
      <c r="J102" s="134"/>
      <c r="Q102" s="6" t="s">
        <v>817</v>
      </c>
      <c r="R102" s="6"/>
      <c r="S102" s="6"/>
      <c r="T102" s="6"/>
      <c r="U102" s="6"/>
      <c r="V102" s="6"/>
      <c r="W102" s="6"/>
      <c r="Z102" s="134" t="s">
        <v>916</v>
      </c>
      <c r="AA102" s="134"/>
      <c r="AB102" s="134"/>
      <c r="AC102" s="134"/>
      <c r="AD102" s="134"/>
      <c r="AH102"/>
      <c r="AI102"/>
      <c r="BB102"/>
      <c r="CF102"/>
      <c r="CX102"/>
      <c r="DP102"/>
      <c r="EH102"/>
      <c r="EY102"/>
    </row>
    <row r="103" spans="2:155" x14ac:dyDescent="0.25">
      <c r="B103" t="s">
        <v>278</v>
      </c>
      <c r="D103">
        <f>COUNTIF(B2:B74,B103)</f>
        <v>2</v>
      </c>
      <c r="F103" t="s">
        <v>279</v>
      </c>
      <c r="G103">
        <f>COUNTIF(D2:D74,F103)</f>
        <v>27</v>
      </c>
      <c r="I103" s="2" t="s">
        <v>283</v>
      </c>
      <c r="J103">
        <f>COUNTIF(R2:R74,I103)</f>
        <v>17</v>
      </c>
      <c r="Q103" s="5" t="s">
        <v>849</v>
      </c>
      <c r="Z103" t="s">
        <v>818</v>
      </c>
      <c r="AH103"/>
      <c r="AI103"/>
      <c r="BB103"/>
      <c r="CF103"/>
      <c r="CX103"/>
      <c r="DP103"/>
      <c r="EH103"/>
      <c r="EY103"/>
    </row>
    <row r="104" spans="2:155" x14ac:dyDescent="0.25">
      <c r="B104" t="s">
        <v>321</v>
      </c>
      <c r="D104">
        <f>COUNTIF(B2:B74,B104)</f>
        <v>21</v>
      </c>
      <c r="F104" s="2" t="s">
        <v>353</v>
      </c>
      <c r="G104">
        <f>COUNTIF(D2:D74,F104)</f>
        <v>41</v>
      </c>
      <c r="I104" s="2" t="s">
        <v>337</v>
      </c>
      <c r="J104">
        <f>COUNTIF(R2:R74,I104)</f>
        <v>13</v>
      </c>
      <c r="Q104" s="6" t="s">
        <v>790</v>
      </c>
      <c r="R104" s="6" t="s">
        <v>791</v>
      </c>
      <c r="T104" s="6" t="s">
        <v>793</v>
      </c>
      <c r="U104" s="6" t="s">
        <v>792</v>
      </c>
      <c r="W104" s="6" t="s">
        <v>795</v>
      </c>
      <c r="Z104" s="135" t="s">
        <v>798</v>
      </c>
      <c r="AA104" s="135"/>
      <c r="AH104"/>
      <c r="AI104"/>
      <c r="BB104"/>
      <c r="CF104"/>
      <c r="CX104"/>
      <c r="DP104"/>
      <c r="EH104"/>
      <c r="EY104"/>
    </row>
    <row r="105" spans="2:155" x14ac:dyDescent="0.25">
      <c r="B105" t="s">
        <v>421</v>
      </c>
      <c r="D105">
        <f>COUNTIF(B3:B75,B105)</f>
        <v>13</v>
      </c>
      <c r="F105" t="s">
        <v>752</v>
      </c>
      <c r="G105">
        <v>1</v>
      </c>
      <c r="I105" s="2" t="s">
        <v>355</v>
      </c>
      <c r="J105">
        <f>COUNTIF(R2:R74,I105)</f>
        <v>16</v>
      </c>
      <c r="Q105">
        <v>1</v>
      </c>
      <c r="R105">
        <v>5</v>
      </c>
      <c r="T105">
        <f>_xlfn.RANK.AVG(Q105,$Q$105:$Q$109,1)</f>
        <v>1</v>
      </c>
      <c r="U105">
        <f>_xlfn.RANK.AVG(R105,$R$105:$R$109,1)</f>
        <v>4.5</v>
      </c>
      <c r="W105" s="4">
        <f>CORREL(T105:T109,U105:U109)</f>
        <v>-0.56428809364683474</v>
      </c>
      <c r="AA105" t="s">
        <v>823</v>
      </c>
      <c r="AB105" t="s">
        <v>821</v>
      </c>
      <c r="AC105" t="s">
        <v>827</v>
      </c>
      <c r="AD105" t="s">
        <v>831</v>
      </c>
      <c r="AE105" t="s">
        <v>828</v>
      </c>
      <c r="AF105" t="s">
        <v>829</v>
      </c>
      <c r="AG105" t="s">
        <v>830</v>
      </c>
      <c r="AH105"/>
      <c r="AI105"/>
      <c r="BB105"/>
      <c r="CF105"/>
      <c r="CX105"/>
      <c r="DP105"/>
      <c r="EH105"/>
      <c r="EY105"/>
    </row>
    <row r="106" spans="2:155" x14ac:dyDescent="0.25">
      <c r="B106" t="s">
        <v>347</v>
      </c>
      <c r="D106">
        <f>COUNTIF(B3:B75,B106)</f>
        <v>19</v>
      </c>
      <c r="F106" s="7" t="s">
        <v>750</v>
      </c>
      <c r="G106" s="7">
        <f>SUM(G103:G105)</f>
        <v>69</v>
      </c>
      <c r="I106" s="2" t="s">
        <v>423</v>
      </c>
      <c r="J106">
        <f>COUNTIF(R2:R74,I106)</f>
        <v>23</v>
      </c>
      <c r="Q106">
        <v>2</v>
      </c>
      <c r="R106">
        <v>5</v>
      </c>
      <c r="T106">
        <f>_xlfn.RANK.AVG(Q106,$Q$105:$Q$109,1)</f>
        <v>2</v>
      </c>
      <c r="U106">
        <f>_xlfn.RANK.AVG(R106,$R$105:$R$109,1)</f>
        <v>4.5</v>
      </c>
      <c r="Z106" t="s">
        <v>284</v>
      </c>
      <c r="AA106">
        <v>2</v>
      </c>
      <c r="AB106">
        <v>2</v>
      </c>
      <c r="AC106">
        <f>AB106-AA106</f>
        <v>0</v>
      </c>
      <c r="AD106">
        <f>ABS(AC106)</f>
        <v>0</v>
      </c>
      <c r="AE106">
        <f>J111</f>
        <v>3</v>
      </c>
      <c r="AF106">
        <f>_xlfn.RANK.AVG(AD106,$AD$106:$AD$109,1)</f>
        <v>1</v>
      </c>
      <c r="AG106">
        <f>_xlfn.RANK.AVG(AE106,$AE$106:$AE$109,1)</f>
        <v>2</v>
      </c>
      <c r="AH106"/>
      <c r="AI106" s="4">
        <f>CORREL(AF106:AF109,AG106:AG109)</f>
        <v>-0.19999999999999996</v>
      </c>
      <c r="AJ106" t="s">
        <v>832</v>
      </c>
      <c r="BB106"/>
      <c r="CF106"/>
      <c r="CX106"/>
      <c r="DP106"/>
      <c r="EH106"/>
      <c r="EY106"/>
    </row>
    <row r="107" spans="2:155" x14ac:dyDescent="0.25">
      <c r="B107" t="s">
        <v>376</v>
      </c>
      <c r="D107">
        <f>COUNTIF(B3:B75,B107)</f>
        <v>10</v>
      </c>
      <c r="I107" s="7" t="s">
        <v>750</v>
      </c>
      <c r="J107" s="7">
        <f>SUM(J103:J106)</f>
        <v>69</v>
      </c>
      <c r="Q107">
        <v>3</v>
      </c>
      <c r="R107">
        <v>3.5</v>
      </c>
      <c r="T107">
        <f>_xlfn.RANK.AVG(Q107,$Q$105:$Q$109,1)</f>
        <v>3</v>
      </c>
      <c r="U107">
        <f>_xlfn.RANK.AVG(R107,$R$105:$R$109,1)</f>
        <v>1</v>
      </c>
      <c r="Z107" t="s">
        <v>322</v>
      </c>
      <c r="AA107">
        <v>2</v>
      </c>
      <c r="AB107">
        <v>2.5</v>
      </c>
      <c r="AC107">
        <f t="shared" ref="AC107:AC136" si="20">AB107-AA107</f>
        <v>0.5</v>
      </c>
      <c r="AD107">
        <f t="shared" ref="AD107:AD136" si="21">ABS(AC107)</f>
        <v>0.5</v>
      </c>
      <c r="AE107">
        <f>J112</f>
        <v>7</v>
      </c>
      <c r="AF107">
        <f>_xlfn.RANK.AVG(AD107,$AD$106:$AD$109,1)</f>
        <v>3</v>
      </c>
      <c r="AG107">
        <f>_xlfn.RANK.AVG(AE107,$AE$106:$AE$109,1)</f>
        <v>4</v>
      </c>
      <c r="AH107"/>
      <c r="AI107"/>
      <c r="AJ107" t="s">
        <v>833</v>
      </c>
      <c r="BB107"/>
      <c r="CF107"/>
      <c r="CX107"/>
      <c r="DP107"/>
      <c r="EH107"/>
      <c r="EY107"/>
    </row>
    <row r="108" spans="2:155" x14ac:dyDescent="0.25">
      <c r="B108" t="s">
        <v>676</v>
      </c>
      <c r="D108">
        <f>COUNTIF(B3:B75,B108)</f>
        <v>4</v>
      </c>
      <c r="Q108">
        <v>4</v>
      </c>
      <c r="R108">
        <v>4.2</v>
      </c>
      <c r="T108">
        <f>_xlfn.RANK.AVG(Q108,$Q$105:$Q$109,1)</f>
        <v>4</v>
      </c>
      <c r="U108">
        <f>_xlfn.RANK.AVG(R108,$R$105:$R$109,1)</f>
        <v>2</v>
      </c>
      <c r="Z108" t="s">
        <v>449</v>
      </c>
      <c r="AA108">
        <v>3</v>
      </c>
      <c r="AB108">
        <v>2</v>
      </c>
      <c r="AC108">
        <f t="shared" si="20"/>
        <v>-1</v>
      </c>
      <c r="AD108">
        <f t="shared" si="21"/>
        <v>1</v>
      </c>
      <c r="AE108">
        <f>J113</f>
        <v>2</v>
      </c>
      <c r="AF108">
        <f>_xlfn.RANK.AVG(AD108,$AD$106:$AD$109,1)</f>
        <v>4</v>
      </c>
      <c r="AG108">
        <f>_xlfn.RANK.AVG(AE108,$AE$106:$AE$109,1)</f>
        <v>1</v>
      </c>
      <c r="AH108"/>
      <c r="AI108"/>
      <c r="BB108"/>
      <c r="CF108"/>
      <c r="CX108"/>
      <c r="DP108"/>
      <c r="EH108"/>
      <c r="EY108"/>
    </row>
    <row r="109" spans="2:155" x14ac:dyDescent="0.25">
      <c r="B109" s="7" t="s">
        <v>750</v>
      </c>
      <c r="C109" s="7"/>
      <c r="D109" s="7">
        <f>SUM(D103:D108)</f>
        <v>69</v>
      </c>
      <c r="Q109">
        <v>6</v>
      </c>
      <c r="R109">
        <v>4.33</v>
      </c>
      <c r="T109">
        <f>_xlfn.RANK.AVG(Q109,$Q$105:$Q$109,1)</f>
        <v>5</v>
      </c>
      <c r="U109">
        <f>_xlfn.RANK.AVG(R109,$R$105:$R$109,1)</f>
        <v>3</v>
      </c>
      <c r="Z109" t="s">
        <v>378</v>
      </c>
      <c r="AA109">
        <v>3</v>
      </c>
      <c r="AB109">
        <v>2.75</v>
      </c>
      <c r="AC109">
        <f t="shared" si="20"/>
        <v>-0.25</v>
      </c>
      <c r="AD109">
        <f t="shared" si="21"/>
        <v>0.25</v>
      </c>
      <c r="AE109">
        <f>J114</f>
        <v>5</v>
      </c>
      <c r="AF109">
        <f>_xlfn.RANK.AVG(AD109,$AD$106:$AD$109,1)</f>
        <v>2</v>
      </c>
      <c r="AG109">
        <f>_xlfn.RANK.AVG(AE109,$AE$106:$AE$109,1)</f>
        <v>3</v>
      </c>
      <c r="AH109"/>
      <c r="AI109"/>
      <c r="BB109"/>
      <c r="CF109"/>
      <c r="CX109"/>
      <c r="DP109"/>
      <c r="EH109"/>
      <c r="EY109"/>
    </row>
    <row r="110" spans="2:155" x14ac:dyDescent="0.25">
      <c r="H110" s="9" t="s">
        <v>754</v>
      </c>
      <c r="I110" s="9"/>
      <c r="J110" s="9"/>
      <c r="K110" s="116" t="s">
        <v>789</v>
      </c>
      <c r="L110" s="9" t="s">
        <v>905</v>
      </c>
      <c r="AH110"/>
      <c r="AI110"/>
      <c r="BB110"/>
      <c r="CF110"/>
      <c r="CX110"/>
      <c r="DP110"/>
      <c r="EH110"/>
      <c r="EY110"/>
    </row>
    <row r="111" spans="2:155" x14ac:dyDescent="0.25">
      <c r="H111" t="s">
        <v>755</v>
      </c>
      <c r="I111" t="s">
        <v>284</v>
      </c>
      <c r="J111">
        <f>COUNTIF(S3:S75,I111)</f>
        <v>3</v>
      </c>
      <c r="K111" s="117"/>
      <c r="Q111" t="s">
        <v>850</v>
      </c>
      <c r="Z111" s="135" t="s">
        <v>822</v>
      </c>
      <c r="AA111" s="135"/>
      <c r="AH111"/>
      <c r="AI111"/>
      <c r="BB111"/>
      <c r="CF111"/>
      <c r="CX111"/>
      <c r="DP111"/>
      <c r="EH111"/>
      <c r="EY111"/>
    </row>
    <row r="112" spans="2:155" x14ac:dyDescent="0.25">
      <c r="B112" s="9" t="s">
        <v>869</v>
      </c>
      <c r="C112" s="9"/>
      <c r="D112" s="9" t="s">
        <v>907</v>
      </c>
      <c r="E112" s="9" t="s">
        <v>906</v>
      </c>
      <c r="I112" t="s">
        <v>322</v>
      </c>
      <c r="J112" s="10">
        <f>COUNTIF(S3:S75,I112)</f>
        <v>7</v>
      </c>
      <c r="K112" s="117">
        <v>79</v>
      </c>
      <c r="L112" s="4">
        <f>(J112/K112)*100</f>
        <v>8.8607594936708853</v>
      </c>
      <c r="Q112" s="6" t="s">
        <v>790</v>
      </c>
      <c r="R112" s="6" t="s">
        <v>791</v>
      </c>
      <c r="T112" s="6" t="s">
        <v>793</v>
      </c>
      <c r="U112" s="6" t="s">
        <v>792</v>
      </c>
      <c r="W112" s="6" t="s">
        <v>795</v>
      </c>
      <c r="AA112" t="s">
        <v>819</v>
      </c>
      <c r="AB112" t="s">
        <v>821</v>
      </c>
      <c r="AF112" t="s">
        <v>829</v>
      </c>
      <c r="AG112" t="s">
        <v>830</v>
      </c>
      <c r="AH112"/>
      <c r="AI112"/>
      <c r="BB112"/>
      <c r="CF112"/>
      <c r="CX112"/>
      <c r="DP112"/>
      <c r="EH112"/>
      <c r="EY112"/>
    </row>
    <row r="113" spans="2:155" x14ac:dyDescent="0.25">
      <c r="B113" t="s">
        <v>278</v>
      </c>
      <c r="C113" s="2">
        <f>COUNTIF(B58:B74,B113)+COUNTIF(B2:B30,B113)</f>
        <v>2</v>
      </c>
      <c r="D113" s="115">
        <f>C113*C15</f>
        <v>20</v>
      </c>
      <c r="I113" t="s">
        <v>449</v>
      </c>
      <c r="J113">
        <f>COUNTIF(S3:S75,I113)</f>
        <v>2</v>
      </c>
      <c r="K113" s="117"/>
      <c r="L113" s="4"/>
      <c r="Q113">
        <v>2</v>
      </c>
      <c r="R113">
        <v>4.5</v>
      </c>
      <c r="T113">
        <f>_xlfn.RANK.AVG(Q113,$Q$113:$Q$116,1)</f>
        <v>1</v>
      </c>
      <c r="U113">
        <f>_xlfn.RANK.AVG(R113,$R$113:$R$116,1)</f>
        <v>3</v>
      </c>
      <c r="W113" s="89">
        <f>CORREL(T113:T116,U113:U116)</f>
        <v>0</v>
      </c>
      <c r="Z113" t="str">
        <f t="shared" ref="Z113:Z119" si="22">I118</f>
        <v>B4</v>
      </c>
      <c r="AA113">
        <v>1</v>
      </c>
      <c r="AB113">
        <v>1</v>
      </c>
      <c r="AC113">
        <f t="shared" si="20"/>
        <v>0</v>
      </c>
      <c r="AD113">
        <f t="shared" si="21"/>
        <v>0</v>
      </c>
      <c r="AE113">
        <f t="shared" ref="AE113:AE119" si="23">J118</f>
        <v>2</v>
      </c>
      <c r="AF113">
        <f t="shared" ref="AF113:AF119" si="24">_xlfn.RANK.AVG(AD113,$AD$113:$AD$119,1)</f>
        <v>2.5</v>
      </c>
      <c r="AG113">
        <f t="shared" ref="AG113:AG119" si="25">_xlfn.RANK.AVG(AE113,$AE$113:$AE$119,1)</f>
        <v>5</v>
      </c>
      <c r="AH113"/>
      <c r="AI113" s="4">
        <f>CORREL(AF113:AF119,AG113:AG119)</f>
        <v>-0.15217391304347827</v>
      </c>
      <c r="BB113"/>
      <c r="CF113"/>
      <c r="CX113"/>
      <c r="DP113"/>
      <c r="EH113"/>
      <c r="EY113"/>
    </row>
    <row r="114" spans="2:155" x14ac:dyDescent="0.25">
      <c r="B114" t="s">
        <v>321</v>
      </c>
      <c r="C114" s="2">
        <f>COUNTIF(B58:B74,B114)+COUNTIF(B2:B30,B114)</f>
        <v>15</v>
      </c>
      <c r="D114" s="115">
        <f>C114*C60</f>
        <v>330</v>
      </c>
      <c r="I114" t="s">
        <v>378</v>
      </c>
      <c r="J114" s="10">
        <f>COUNTIF(S3:S75,I114)</f>
        <v>5</v>
      </c>
      <c r="K114" s="117">
        <v>94</v>
      </c>
      <c r="L114" s="4">
        <f>(J114/K114)*100</f>
        <v>5.3191489361702127</v>
      </c>
      <c r="Q114">
        <v>3</v>
      </c>
      <c r="R114">
        <v>3</v>
      </c>
      <c r="T114">
        <f>_xlfn.RANK.AVG(Q114,$Q$113:$Q$116,1)</f>
        <v>2</v>
      </c>
      <c r="U114">
        <f>_xlfn.RANK.AVG(R114,$R$113:$R$116,1)</f>
        <v>1</v>
      </c>
      <c r="Z114" t="str">
        <f t="shared" si="22"/>
        <v>B5</v>
      </c>
      <c r="AA114">
        <v>1</v>
      </c>
      <c r="AB114">
        <v>1</v>
      </c>
      <c r="AC114">
        <f t="shared" si="20"/>
        <v>0</v>
      </c>
      <c r="AD114">
        <f t="shared" si="21"/>
        <v>0</v>
      </c>
      <c r="AE114">
        <f t="shared" si="23"/>
        <v>1</v>
      </c>
      <c r="AF114">
        <f t="shared" si="24"/>
        <v>2.5</v>
      </c>
      <c r="AG114">
        <f t="shared" si="25"/>
        <v>2.5</v>
      </c>
      <c r="AH114"/>
      <c r="AI114"/>
      <c r="BB114"/>
      <c r="CF114"/>
      <c r="CX114"/>
      <c r="DP114"/>
      <c r="EH114"/>
      <c r="EY114"/>
    </row>
    <row r="115" spans="2:155" x14ac:dyDescent="0.25">
      <c r="B115" t="s">
        <v>421</v>
      </c>
      <c r="C115" s="2">
        <f>COUNTIF(B58:B74,B115)+COUNTIF(B2:B30,B115)</f>
        <v>7</v>
      </c>
      <c r="D115" s="115">
        <f>C115*C64</f>
        <v>276.5</v>
      </c>
      <c r="E115" s="4">
        <f>(SUM(D113:D118))/(SUM(C113:C118))</f>
        <v>43.891304347826086</v>
      </c>
      <c r="I115" s="7" t="s">
        <v>750</v>
      </c>
      <c r="J115" s="7">
        <f>SUM(J111:J114)</f>
        <v>17</v>
      </c>
      <c r="K115" s="117"/>
      <c r="L115" s="4"/>
      <c r="Q115">
        <v>4</v>
      </c>
      <c r="R115">
        <v>4.75</v>
      </c>
      <c r="T115">
        <f>_xlfn.RANK.AVG(Q115,$Q$113:$Q$116,1)</f>
        <v>3</v>
      </c>
      <c r="U115">
        <f>_xlfn.RANK.AVG(R115,$R$113:$R$116,1)</f>
        <v>4</v>
      </c>
      <c r="Z115" t="str">
        <f t="shared" si="22"/>
        <v>C3</v>
      </c>
      <c r="AA115">
        <v>1</v>
      </c>
      <c r="AB115">
        <v>1</v>
      </c>
      <c r="AC115">
        <f t="shared" si="20"/>
        <v>0</v>
      </c>
      <c r="AD115">
        <f t="shared" si="21"/>
        <v>0</v>
      </c>
      <c r="AE115">
        <f t="shared" si="23"/>
        <v>1</v>
      </c>
      <c r="AF115">
        <f t="shared" si="24"/>
        <v>2.5</v>
      </c>
      <c r="AG115">
        <f t="shared" si="25"/>
        <v>2.5</v>
      </c>
      <c r="AH115"/>
      <c r="AI115"/>
      <c r="BB115"/>
      <c r="CF115"/>
      <c r="CX115"/>
      <c r="DP115"/>
      <c r="EH115"/>
      <c r="EY115"/>
    </row>
    <row r="116" spans="2:155" x14ac:dyDescent="0.25">
      <c r="B116" t="s">
        <v>347</v>
      </c>
      <c r="C116" s="2">
        <f>COUNTIF(B58:B74,B116)+COUNTIF(B2:B30,B116)</f>
        <v>16</v>
      </c>
      <c r="D116" s="115">
        <f>C116*C68</f>
        <v>920</v>
      </c>
      <c r="K116" s="117"/>
      <c r="L116" s="4"/>
      <c r="Q116">
        <v>5</v>
      </c>
      <c r="R116">
        <v>3.67</v>
      </c>
      <c r="T116">
        <f>_xlfn.RANK.AVG(Q116,$Q$113:$Q$116,1)</f>
        <v>4</v>
      </c>
      <c r="U116">
        <f>_xlfn.RANK.AVG(R116,$R$113:$R$116,1)</f>
        <v>2</v>
      </c>
      <c r="Z116" t="str">
        <f t="shared" si="22"/>
        <v>C4</v>
      </c>
      <c r="AA116">
        <v>1</v>
      </c>
      <c r="AB116">
        <v>2</v>
      </c>
      <c r="AC116">
        <f t="shared" si="20"/>
        <v>1</v>
      </c>
      <c r="AD116">
        <f t="shared" si="21"/>
        <v>1</v>
      </c>
      <c r="AE116">
        <f t="shared" si="23"/>
        <v>1</v>
      </c>
      <c r="AF116">
        <f t="shared" si="24"/>
        <v>5</v>
      </c>
      <c r="AG116">
        <f t="shared" si="25"/>
        <v>2.5</v>
      </c>
      <c r="AH116"/>
      <c r="AI116"/>
      <c r="BB116"/>
      <c r="CF116"/>
      <c r="CX116"/>
      <c r="DP116"/>
      <c r="EH116"/>
      <c r="EY116"/>
    </row>
    <row r="117" spans="2:155" x14ac:dyDescent="0.25">
      <c r="B117" t="s">
        <v>376</v>
      </c>
      <c r="C117" s="2">
        <f>COUNTIF(B58:B74,B117)+COUNTIF(B2:B30,B117)</f>
        <v>3</v>
      </c>
      <c r="D117" s="115">
        <f>C117*C54</f>
        <v>217.5</v>
      </c>
      <c r="K117" s="117"/>
      <c r="L117" s="4"/>
      <c r="Z117" t="str">
        <f t="shared" si="22"/>
        <v>C5</v>
      </c>
      <c r="AA117">
        <v>1</v>
      </c>
      <c r="AB117">
        <v>2.33</v>
      </c>
      <c r="AC117">
        <f t="shared" si="20"/>
        <v>1.33</v>
      </c>
      <c r="AD117">
        <f t="shared" si="21"/>
        <v>1.33</v>
      </c>
      <c r="AE117">
        <f t="shared" si="23"/>
        <v>3</v>
      </c>
      <c r="AF117">
        <f t="shared" si="24"/>
        <v>6</v>
      </c>
      <c r="AG117">
        <f t="shared" si="25"/>
        <v>6</v>
      </c>
      <c r="AH117"/>
      <c r="AI117"/>
      <c r="BB117"/>
      <c r="CF117"/>
      <c r="CX117"/>
      <c r="DP117"/>
      <c r="EH117"/>
      <c r="EY117"/>
    </row>
    <row r="118" spans="2:155" x14ac:dyDescent="0.25">
      <c r="B118" t="s">
        <v>676</v>
      </c>
      <c r="C118" s="2">
        <f>COUNTIF(B58:B74,B118)+COUNTIF(B2:B30,B118)</f>
        <v>3</v>
      </c>
      <c r="D118" s="115">
        <f>C118*C72</f>
        <v>255</v>
      </c>
      <c r="H118" t="s">
        <v>756</v>
      </c>
      <c r="I118" t="s">
        <v>338</v>
      </c>
      <c r="J118">
        <f>COUNTIF(T2:T74,I118)</f>
        <v>2</v>
      </c>
      <c r="K118" s="117"/>
      <c r="L118" s="4"/>
      <c r="Q118" t="s">
        <v>851</v>
      </c>
      <c r="Z118" t="str">
        <f t="shared" si="22"/>
        <v>D2</v>
      </c>
      <c r="AA118">
        <v>2</v>
      </c>
      <c r="AB118">
        <v>2</v>
      </c>
      <c r="AC118">
        <f t="shared" si="20"/>
        <v>0</v>
      </c>
      <c r="AD118">
        <f t="shared" si="21"/>
        <v>0</v>
      </c>
      <c r="AE118">
        <f t="shared" si="23"/>
        <v>4</v>
      </c>
      <c r="AF118">
        <f t="shared" si="24"/>
        <v>2.5</v>
      </c>
      <c r="AG118">
        <f t="shared" si="25"/>
        <v>7</v>
      </c>
      <c r="AH118"/>
      <c r="AI118"/>
      <c r="BB118"/>
      <c r="CF118"/>
      <c r="CX118"/>
      <c r="DP118"/>
      <c r="EH118"/>
      <c r="EY118"/>
    </row>
    <row r="119" spans="2:155" x14ac:dyDescent="0.25">
      <c r="I119" t="s">
        <v>403</v>
      </c>
      <c r="J119">
        <f>COUNTIF(T2:T74,I119)</f>
        <v>1</v>
      </c>
      <c r="K119" s="117"/>
      <c r="L119" s="4"/>
      <c r="Q119" s="6" t="s">
        <v>790</v>
      </c>
      <c r="R119" s="6" t="s">
        <v>791</v>
      </c>
      <c r="T119" s="6" t="s">
        <v>793</v>
      </c>
      <c r="U119" s="6" t="s">
        <v>792</v>
      </c>
      <c r="W119" s="6" t="s">
        <v>795</v>
      </c>
      <c r="Z119" t="str">
        <f t="shared" si="22"/>
        <v>D3</v>
      </c>
      <c r="AA119">
        <v>1</v>
      </c>
      <c r="AB119">
        <v>3</v>
      </c>
      <c r="AC119">
        <f t="shared" si="20"/>
        <v>2</v>
      </c>
      <c r="AD119">
        <f t="shared" si="21"/>
        <v>2</v>
      </c>
      <c r="AE119">
        <f t="shared" si="23"/>
        <v>1</v>
      </c>
      <c r="AF119">
        <f t="shared" si="24"/>
        <v>7</v>
      </c>
      <c r="AG119">
        <f t="shared" si="25"/>
        <v>2.5</v>
      </c>
      <c r="AH119"/>
      <c r="AI119"/>
      <c r="BB119"/>
      <c r="CF119"/>
      <c r="CX119"/>
      <c r="DP119"/>
      <c r="EH119"/>
      <c r="EY119"/>
    </row>
    <row r="120" spans="2:155" x14ac:dyDescent="0.25">
      <c r="B120" s="9" t="s">
        <v>870</v>
      </c>
      <c r="I120" t="s">
        <v>378</v>
      </c>
      <c r="J120">
        <f>COUNTIF(T3:T75,I120)</f>
        <v>1</v>
      </c>
      <c r="K120" s="117"/>
      <c r="L120" s="4"/>
      <c r="Q120">
        <v>2</v>
      </c>
      <c r="R120">
        <v>4.25</v>
      </c>
      <c r="T120">
        <f>_xlfn.RANK.AVG(Q120,$Q$120:$Q$122,1)</f>
        <v>1</v>
      </c>
      <c r="U120">
        <f>_xlfn.RANK.AVG(R120,$R$120:$R$122,1)</f>
        <v>2</v>
      </c>
      <c r="W120" s="4">
        <f>CORREL(T120:T123,U120:U123)</f>
        <v>0.5</v>
      </c>
      <c r="AH120"/>
      <c r="AI120"/>
      <c r="BB120"/>
      <c r="CF120"/>
      <c r="CX120"/>
      <c r="DP120"/>
      <c r="EH120"/>
      <c r="EY120"/>
    </row>
    <row r="121" spans="2:155" x14ac:dyDescent="0.25">
      <c r="B121" t="s">
        <v>278</v>
      </c>
      <c r="C121">
        <f>COUNTIF(B33:B55,B121)</f>
        <v>0</v>
      </c>
      <c r="D121" s="115">
        <f>C121*C58</f>
        <v>0</v>
      </c>
      <c r="I121" t="s">
        <v>463</v>
      </c>
      <c r="J121">
        <f>COUNTIF(T3:T75,I121)</f>
        <v>1</v>
      </c>
      <c r="K121" s="117"/>
      <c r="L121" s="4"/>
      <c r="Q121">
        <v>3</v>
      </c>
      <c r="R121">
        <v>3.5</v>
      </c>
      <c r="T121">
        <f>_xlfn.RANK.AVG(Q121,$Q$120:$Q$122,1)</f>
        <v>2</v>
      </c>
      <c r="U121">
        <f>_xlfn.RANK.AVG(R121,$R$120:$R$122,1)</f>
        <v>1</v>
      </c>
      <c r="Z121" s="105" t="s">
        <v>824</v>
      </c>
      <c r="AA121" s="105"/>
      <c r="AH121"/>
      <c r="AI121"/>
      <c r="BB121"/>
      <c r="CF121"/>
      <c r="CX121"/>
      <c r="DP121"/>
      <c r="EH121"/>
      <c r="EY121"/>
    </row>
    <row r="122" spans="2:155" x14ac:dyDescent="0.25">
      <c r="B122" t="s">
        <v>321</v>
      </c>
      <c r="C122">
        <f>COUNTIF(B33:B55,B122)</f>
        <v>6</v>
      </c>
      <c r="D122" s="115">
        <f>C122*C60</f>
        <v>132</v>
      </c>
      <c r="I122" t="s">
        <v>424</v>
      </c>
      <c r="J122" s="12">
        <f>COUNTIF(T3:T75,I122)</f>
        <v>3</v>
      </c>
      <c r="K122" s="117">
        <v>143</v>
      </c>
      <c r="L122" s="4">
        <f>(J122/K122)*100</f>
        <v>2.0979020979020979</v>
      </c>
      <c r="Q122">
        <v>4</v>
      </c>
      <c r="R122">
        <v>4.33</v>
      </c>
      <c r="T122">
        <f>_xlfn.RANK.AVG(Q122,$Q$120:$Q$122,1)</f>
        <v>3</v>
      </c>
      <c r="U122">
        <f>_xlfn.RANK.AVG(R122,$R$120:$R$122,1)</f>
        <v>3</v>
      </c>
      <c r="AA122" t="s">
        <v>819</v>
      </c>
      <c r="AB122" t="s">
        <v>821</v>
      </c>
      <c r="AF122" t="s">
        <v>829</v>
      </c>
      <c r="AG122" t="s">
        <v>830</v>
      </c>
      <c r="AH122"/>
      <c r="AI122"/>
      <c r="BB122"/>
      <c r="CF122"/>
      <c r="CX122"/>
      <c r="DP122"/>
      <c r="EH122"/>
      <c r="EY122"/>
    </row>
    <row r="123" spans="2:155" x14ac:dyDescent="0.25">
      <c r="B123" t="s">
        <v>421</v>
      </c>
      <c r="C123">
        <f>COUNTIF(B33:B55,B123)</f>
        <v>6</v>
      </c>
      <c r="D123" s="115">
        <f>C123*C65</f>
        <v>237</v>
      </c>
      <c r="E123" s="4">
        <f>(SUM(D121:D126))/(SUM(C121:C126))</f>
        <v>49.304347826086953</v>
      </c>
      <c r="I123" t="s">
        <v>395</v>
      </c>
      <c r="J123" s="12">
        <f>COUNTIF(T3:T75,I123)</f>
        <v>4</v>
      </c>
      <c r="K123" s="117">
        <v>93</v>
      </c>
      <c r="L123" s="4">
        <f>(J123/K123)*100</f>
        <v>4.3010752688172049</v>
      </c>
      <c r="Z123" t="str">
        <f>I128</f>
        <v>B1</v>
      </c>
      <c r="AA123">
        <v>2</v>
      </c>
      <c r="AB123">
        <v>1.5</v>
      </c>
      <c r="AC123">
        <f t="shared" si="20"/>
        <v>-0.5</v>
      </c>
      <c r="AD123">
        <f t="shared" si="21"/>
        <v>0.5</v>
      </c>
      <c r="AE123">
        <f>J128</f>
        <v>3</v>
      </c>
      <c r="AF123">
        <f>_xlfn.RANK.AVG(AD123,$AD$123:$AD$125,1)</f>
        <v>3</v>
      </c>
      <c r="AG123">
        <f>_xlfn.RANK.AVG(AE123,$AE$123:$AE$125,1)</f>
        <v>2</v>
      </c>
      <c r="AH123"/>
      <c r="AI123" s="4">
        <f>CORREL(AF123:AF125,AG123:AG125)</f>
        <v>0.5</v>
      </c>
      <c r="BB123"/>
      <c r="CF123"/>
      <c r="CX123"/>
      <c r="DP123"/>
      <c r="EH123"/>
      <c r="EY123"/>
    </row>
    <row r="124" spans="2:155" x14ac:dyDescent="0.25">
      <c r="B124" t="s">
        <v>347</v>
      </c>
      <c r="C124">
        <f>COUNTIF(B33:B55,B124)</f>
        <v>3</v>
      </c>
      <c r="D124" s="115">
        <f>C124*C69</f>
        <v>172.5</v>
      </c>
      <c r="I124" t="s">
        <v>757</v>
      </c>
      <c r="J124">
        <f>COUNTIF(T3:T75,I124)</f>
        <v>1</v>
      </c>
      <c r="K124" s="117"/>
      <c r="L124" s="4"/>
      <c r="Q124" t="s">
        <v>852</v>
      </c>
      <c r="Z124" t="str">
        <f>I129</f>
        <v>B2</v>
      </c>
      <c r="AA124">
        <v>2</v>
      </c>
      <c r="AB124">
        <v>1.75</v>
      </c>
      <c r="AC124">
        <f t="shared" si="20"/>
        <v>-0.25</v>
      </c>
      <c r="AD124">
        <f t="shared" si="21"/>
        <v>0.25</v>
      </c>
      <c r="AE124">
        <f>J129</f>
        <v>11</v>
      </c>
      <c r="AF124">
        <f>_xlfn.RANK.AVG(AD124,$AD$123:$AD$125,1)</f>
        <v>2</v>
      </c>
      <c r="AG124">
        <f>_xlfn.RANK.AVG(AE124,$AE$123:$AE$125,1)</f>
        <v>3</v>
      </c>
      <c r="AH124"/>
      <c r="AI124"/>
      <c r="BB124"/>
      <c r="CF124"/>
      <c r="CX124"/>
      <c r="DP124"/>
      <c r="EH124"/>
      <c r="EY124"/>
    </row>
    <row r="125" spans="2:155" x14ac:dyDescent="0.25">
      <c r="B125" t="s">
        <v>376</v>
      </c>
      <c r="C125">
        <f>COUNTIF(B33:B55,B125)</f>
        <v>7</v>
      </c>
      <c r="D125" s="115">
        <f>C125*C50</f>
        <v>507.5</v>
      </c>
      <c r="I125" s="7" t="s">
        <v>750</v>
      </c>
      <c r="J125" s="7">
        <f>SUM(J118:J123)</f>
        <v>12</v>
      </c>
      <c r="K125" s="117"/>
      <c r="L125" s="4"/>
      <c r="Q125" s="6" t="s">
        <v>790</v>
      </c>
      <c r="R125" s="6" t="s">
        <v>791</v>
      </c>
      <c r="T125" s="6" t="s">
        <v>793</v>
      </c>
      <c r="U125" s="6" t="s">
        <v>792</v>
      </c>
      <c r="W125" s="6" t="s">
        <v>795</v>
      </c>
      <c r="Z125" t="s">
        <v>710</v>
      </c>
      <c r="AA125">
        <v>2</v>
      </c>
      <c r="AB125">
        <v>2</v>
      </c>
      <c r="AC125">
        <f t="shared" si="20"/>
        <v>0</v>
      </c>
      <c r="AD125">
        <f t="shared" si="21"/>
        <v>0</v>
      </c>
      <c r="AE125">
        <v>1</v>
      </c>
      <c r="AF125">
        <f>_xlfn.RANK.AVG(AD125,$AD$123:$AD$125,1)</f>
        <v>1</v>
      </c>
      <c r="AG125">
        <f>_xlfn.RANK.AVG(AE125,$AE$123:$AE$125,1)</f>
        <v>1</v>
      </c>
      <c r="AH125"/>
      <c r="AI125"/>
      <c r="BB125"/>
      <c r="CF125"/>
      <c r="CX125"/>
      <c r="DP125"/>
      <c r="EH125"/>
      <c r="EY125"/>
    </row>
    <row r="126" spans="2:155" x14ac:dyDescent="0.25">
      <c r="B126" t="s">
        <v>676</v>
      </c>
      <c r="C126">
        <f>COUNTIF(B33:B55,B126)</f>
        <v>1</v>
      </c>
      <c r="D126" s="115">
        <f>C126*C72</f>
        <v>85</v>
      </c>
      <c r="K126" s="117"/>
      <c r="L126" s="4"/>
      <c r="Q126">
        <v>2</v>
      </c>
      <c r="R126">
        <v>4.5</v>
      </c>
      <c r="T126">
        <f>_xlfn.RANK.AVG(Q126,$Q$126:$Q$130,1)</f>
        <v>1</v>
      </c>
      <c r="U126">
        <f>_xlfn.RANK.AVG(R126,$R$126:$R$130,1)</f>
        <v>3</v>
      </c>
      <c r="W126" s="4">
        <f>CORREL(T126:T130,U126:U130)</f>
        <v>0.69999999999999984</v>
      </c>
      <c r="AH126"/>
      <c r="AI126"/>
      <c r="BB126"/>
      <c r="CF126"/>
      <c r="CX126"/>
      <c r="DP126"/>
      <c r="EH126"/>
      <c r="EY126"/>
    </row>
    <row r="127" spans="2:155" x14ac:dyDescent="0.25">
      <c r="K127" s="117"/>
      <c r="L127" s="4"/>
      <c r="Q127">
        <v>3</v>
      </c>
      <c r="R127">
        <v>4</v>
      </c>
      <c r="T127">
        <f>_xlfn.RANK.AVG(Q127,$Q$126:$Q$130,1)</f>
        <v>2</v>
      </c>
      <c r="U127">
        <f>_xlfn.RANK.AVG(R127,$R$126:$R$130,1)</f>
        <v>1</v>
      </c>
      <c r="Z127" s="105" t="s">
        <v>825</v>
      </c>
      <c r="AA127" s="105"/>
      <c r="AB127" t="s">
        <v>826</v>
      </c>
      <c r="AH127"/>
      <c r="AI127"/>
      <c r="AO127" t="s">
        <v>919</v>
      </c>
      <c r="BB127"/>
      <c r="CF127"/>
      <c r="CX127"/>
      <c r="DP127"/>
      <c r="EH127"/>
      <c r="EY127"/>
    </row>
    <row r="128" spans="2:155" x14ac:dyDescent="0.25">
      <c r="H128" t="s">
        <v>758</v>
      </c>
      <c r="I128" t="s">
        <v>284</v>
      </c>
      <c r="J128" s="10">
        <f>COUNTIF(U4:U76,I128)</f>
        <v>3</v>
      </c>
      <c r="K128" s="117">
        <v>65</v>
      </c>
      <c r="L128" s="4">
        <f>(J128/K128)*100</f>
        <v>4.6153846153846159</v>
      </c>
      <c r="Q128">
        <v>4</v>
      </c>
      <c r="R128">
        <v>4.33</v>
      </c>
      <c r="T128">
        <f>_xlfn.RANK.AVG(Q128,$Q$126:$Q$130,1)</f>
        <v>3</v>
      </c>
      <c r="U128">
        <f>_xlfn.RANK.AVG(R128,$R$126:$R$130,1)</f>
        <v>2</v>
      </c>
      <c r="AA128" t="s">
        <v>819</v>
      </c>
      <c r="AB128" t="s">
        <v>821</v>
      </c>
      <c r="AF128" t="s">
        <v>829</v>
      </c>
      <c r="AG128" t="s">
        <v>830</v>
      </c>
      <c r="AH128"/>
      <c r="AI128"/>
      <c r="BB128"/>
      <c r="CF128"/>
      <c r="CX128"/>
      <c r="DP128"/>
      <c r="EH128"/>
      <c r="EY128"/>
    </row>
    <row r="129" spans="8:155" x14ac:dyDescent="0.25">
      <c r="I129" t="s">
        <v>322</v>
      </c>
      <c r="J129" s="10">
        <f>COUNTIF(U4:U76,I129)</f>
        <v>11</v>
      </c>
      <c r="K129" s="117">
        <v>105</v>
      </c>
      <c r="L129" s="4">
        <f>(J129/K129)*100</f>
        <v>10.476190476190476</v>
      </c>
      <c r="Q129">
        <v>5</v>
      </c>
      <c r="R129">
        <v>4.8600000000000003</v>
      </c>
      <c r="T129">
        <f>_xlfn.RANK.AVG(Q129,$Q$126:$Q$130,1)</f>
        <v>4</v>
      </c>
      <c r="U129">
        <f>_xlfn.RANK.AVG(R129,$R$126:$R$130,1)</f>
        <v>4</v>
      </c>
      <c r="Z129" t="str">
        <f>I136</f>
        <v>C5</v>
      </c>
      <c r="AA129">
        <v>1</v>
      </c>
      <c r="AB129">
        <v>1.8</v>
      </c>
      <c r="AC129">
        <f t="shared" si="20"/>
        <v>0.8</v>
      </c>
      <c r="AD129">
        <f t="shared" si="21"/>
        <v>0.8</v>
      </c>
      <c r="AE129">
        <f>J136</f>
        <v>11</v>
      </c>
      <c r="AF129">
        <f>_xlfn.RANK.AVG(AD129,$AD$129:$AD$130,1)</f>
        <v>2</v>
      </c>
      <c r="AG129">
        <f>_xlfn.RANK.AVG(AE129,$AE$129:$AE$130,1)</f>
        <v>2</v>
      </c>
      <c r="AH129"/>
      <c r="AI129" s="4">
        <f>CORREL(AF129:AF130,AG129:AG130)</f>
        <v>1</v>
      </c>
      <c r="BB129"/>
      <c r="CF129"/>
      <c r="CX129"/>
      <c r="DP129"/>
      <c r="EH129"/>
      <c r="EY129"/>
    </row>
    <row r="130" spans="8:155" x14ac:dyDescent="0.25">
      <c r="I130" t="s">
        <v>394</v>
      </c>
      <c r="J130">
        <f>COUNTIF(U4:U76,I130)</f>
        <v>1</v>
      </c>
      <c r="K130" s="117"/>
      <c r="L130" s="4"/>
      <c r="Q130">
        <v>6</v>
      </c>
      <c r="R130">
        <v>5</v>
      </c>
      <c r="T130">
        <f>_xlfn.RANK.AVG(Q130,$Q$126:$Q$130,1)</f>
        <v>5</v>
      </c>
      <c r="U130">
        <f>_xlfn.RANK.AVG(R130,$R$126:$R$130,1)</f>
        <v>5</v>
      </c>
      <c r="Z130" t="str">
        <f>I137</f>
        <v>C6</v>
      </c>
      <c r="AA130">
        <v>1</v>
      </c>
      <c r="AB130">
        <v>1.5</v>
      </c>
      <c r="AC130">
        <f t="shared" si="20"/>
        <v>0.5</v>
      </c>
      <c r="AD130">
        <f t="shared" si="21"/>
        <v>0.5</v>
      </c>
      <c r="AE130">
        <f>J137</f>
        <v>8</v>
      </c>
      <c r="AF130">
        <f>_xlfn.RANK.AVG(AD130,$AD$129:$AD$130,1)</f>
        <v>1</v>
      </c>
      <c r="AG130">
        <f>_xlfn.RANK.AVG(AE130,$AE$129:$AE$130,1)</f>
        <v>1</v>
      </c>
      <c r="AH130"/>
      <c r="AI130"/>
      <c r="BB130"/>
      <c r="CF130"/>
      <c r="CX130"/>
      <c r="DP130"/>
      <c r="EH130"/>
      <c r="EY130"/>
    </row>
    <row r="131" spans="8:155" x14ac:dyDescent="0.25">
      <c r="I131" t="s">
        <v>710</v>
      </c>
      <c r="J131">
        <f>COUNTIF(U4:U76,I131)</f>
        <v>1</v>
      </c>
      <c r="K131" s="117"/>
      <c r="L131" s="4"/>
      <c r="AH131"/>
      <c r="AI131"/>
      <c r="BB131"/>
      <c r="CF131"/>
      <c r="CX131"/>
      <c r="DP131"/>
      <c r="EH131"/>
      <c r="EY131"/>
    </row>
    <row r="132" spans="8:155" x14ac:dyDescent="0.25">
      <c r="I132" s="7" t="s">
        <v>750</v>
      </c>
      <c r="J132" s="7">
        <f>SUM(J128:J131)</f>
        <v>16</v>
      </c>
      <c r="K132" s="117"/>
      <c r="L132" s="4"/>
      <c r="Z132" s="105" t="s">
        <v>825</v>
      </c>
      <c r="AA132" s="105"/>
      <c r="AB132" t="s">
        <v>585</v>
      </c>
      <c r="AH132"/>
      <c r="AI132"/>
      <c r="BB132"/>
      <c r="CF132"/>
      <c r="CX132"/>
      <c r="DP132"/>
      <c r="EH132"/>
      <c r="EY132"/>
    </row>
    <row r="133" spans="8:155" x14ac:dyDescent="0.25">
      <c r="K133" s="117"/>
      <c r="L133" s="4"/>
      <c r="Q133" s="22" t="s">
        <v>798</v>
      </c>
      <c r="AA133" t="s">
        <v>819</v>
      </c>
      <c r="AB133" t="s">
        <v>821</v>
      </c>
      <c r="AF133" t="s">
        <v>829</v>
      </c>
      <c r="AG133" t="s">
        <v>830</v>
      </c>
      <c r="AH133"/>
      <c r="AI133"/>
      <c r="BB133"/>
      <c r="CF133"/>
      <c r="CX133"/>
      <c r="DP133"/>
      <c r="EH133"/>
      <c r="EY133"/>
    </row>
    <row r="134" spans="8:155" x14ac:dyDescent="0.25">
      <c r="K134" s="117"/>
      <c r="L134" s="4"/>
      <c r="Q134" s="6" t="s">
        <v>790</v>
      </c>
      <c r="R134" s="6" t="s">
        <v>791</v>
      </c>
      <c r="T134" s="6" t="s">
        <v>793</v>
      </c>
      <c r="U134" s="6" t="s">
        <v>792</v>
      </c>
      <c r="W134" s="6" t="s">
        <v>795</v>
      </c>
      <c r="Z134" t="s">
        <v>463</v>
      </c>
      <c r="AA134">
        <v>2</v>
      </c>
      <c r="AB134">
        <v>3</v>
      </c>
      <c r="AC134">
        <f t="shared" si="20"/>
        <v>1</v>
      </c>
      <c r="AD134">
        <f t="shared" si="21"/>
        <v>1</v>
      </c>
      <c r="AE134">
        <f>J135</f>
        <v>2</v>
      </c>
      <c r="AF134">
        <f>_xlfn.RANK.AVG(AD134,$AD$134:$AD$136,1)</f>
        <v>3</v>
      </c>
      <c r="AG134">
        <f>_xlfn.RANK.AVG(AE134,$AE$134:$AE$136,1)</f>
        <v>1</v>
      </c>
      <c r="AH134"/>
      <c r="AI134" s="4">
        <f>CORREL(AF134:AF136,AG134:AG136)</f>
        <v>-0.86602540378443849</v>
      </c>
      <c r="BB134"/>
      <c r="CF134"/>
      <c r="CX134"/>
      <c r="DP134"/>
      <c r="EH134"/>
      <c r="EY134"/>
    </row>
    <row r="135" spans="8:155" x14ac:dyDescent="0.25">
      <c r="H135" t="s">
        <v>603</v>
      </c>
      <c r="I135" t="s">
        <v>463</v>
      </c>
      <c r="J135">
        <f>COUNTIF(W4:W76,I135)</f>
        <v>2</v>
      </c>
      <c r="K135" s="117"/>
      <c r="L135" s="4"/>
      <c r="Q135">
        <v>1</v>
      </c>
      <c r="R135">
        <v>1</v>
      </c>
      <c r="T135">
        <f>_xlfn.RANK.AVG(Q135,$Q$135:$Q$139,1)</f>
        <v>1</v>
      </c>
      <c r="U135">
        <f>_xlfn.RANK.AVG(R135,$R$135:$R$139,1)</f>
        <v>1</v>
      </c>
      <c r="W135" s="4">
        <f>CORREL(T135:T139,U135:U139)</f>
        <v>0.29999999999999993</v>
      </c>
      <c r="Z135" t="str">
        <f t="shared" ref="Z135:Z136" si="26">Z129</f>
        <v>C5</v>
      </c>
      <c r="AA135">
        <v>2</v>
      </c>
      <c r="AB135">
        <v>2.5</v>
      </c>
      <c r="AC135">
        <f t="shared" si="20"/>
        <v>0.5</v>
      </c>
      <c r="AD135">
        <f t="shared" si="21"/>
        <v>0.5</v>
      </c>
      <c r="AE135">
        <f>J136</f>
        <v>11</v>
      </c>
      <c r="AF135">
        <f>_xlfn.RANK.AVG(AD135,$AD$134:$AD$136,1)</f>
        <v>1.5</v>
      </c>
      <c r="AG135">
        <f>_xlfn.RANK.AVG(AE135,$AE$134:$AE$136,1)</f>
        <v>3</v>
      </c>
      <c r="AH135"/>
      <c r="AI135"/>
      <c r="BB135"/>
      <c r="CF135"/>
      <c r="CX135"/>
      <c r="DP135"/>
      <c r="EH135"/>
      <c r="EY135"/>
    </row>
    <row r="136" spans="8:155" x14ac:dyDescent="0.25">
      <c r="I136" t="s">
        <v>424</v>
      </c>
      <c r="J136" s="12">
        <f>COUNTIF(W4:W76,I136)</f>
        <v>11</v>
      </c>
      <c r="K136" s="117">
        <v>45</v>
      </c>
      <c r="L136" s="4">
        <f>(J136/K136)*100</f>
        <v>24.444444444444443</v>
      </c>
      <c r="Q136">
        <v>2</v>
      </c>
      <c r="R136">
        <v>5</v>
      </c>
      <c r="T136">
        <f>_xlfn.RANK.AVG(Q136,$Q$135:$Q$139,1)</f>
        <v>2</v>
      </c>
      <c r="U136">
        <f>_xlfn.RANK.AVG(R136,$R$135:$R$139,1)</f>
        <v>5</v>
      </c>
      <c r="Z136" t="str">
        <f t="shared" si="26"/>
        <v>C6</v>
      </c>
      <c r="AA136">
        <v>2</v>
      </c>
      <c r="AB136">
        <v>2.5</v>
      </c>
      <c r="AC136">
        <f t="shared" si="20"/>
        <v>0.5</v>
      </c>
      <c r="AD136">
        <f t="shared" si="21"/>
        <v>0.5</v>
      </c>
      <c r="AE136">
        <f>J137</f>
        <v>8</v>
      </c>
      <c r="AF136">
        <f>_xlfn.RANK.AVG(AD136,$AD$134:$AD$136,1)</f>
        <v>1.5</v>
      </c>
      <c r="AG136">
        <f>_xlfn.RANK.AVG(AE136,$AE$134:$AE$136,1)</f>
        <v>2</v>
      </c>
      <c r="AH136"/>
      <c r="AI136"/>
      <c r="BB136"/>
      <c r="CF136"/>
      <c r="CX136"/>
      <c r="DP136"/>
      <c r="EH136"/>
      <c r="EY136"/>
    </row>
    <row r="137" spans="8:155" x14ac:dyDescent="0.25">
      <c r="I137" t="s">
        <v>464</v>
      </c>
      <c r="J137" s="12">
        <f>COUNTIF(W4:W76,I137)</f>
        <v>8</v>
      </c>
      <c r="K137" s="117">
        <v>48</v>
      </c>
      <c r="L137" s="4">
        <f>(J137/K137)*100</f>
        <v>16.666666666666664</v>
      </c>
      <c r="Q137">
        <v>3</v>
      </c>
      <c r="R137">
        <v>3.5</v>
      </c>
      <c r="T137">
        <f>_xlfn.RANK.AVG(Q137,$Q$135:$Q$139,1)</f>
        <v>3</v>
      </c>
      <c r="U137">
        <f>_xlfn.RANK.AVG(R137,$R$135:$R$139,1)</f>
        <v>2</v>
      </c>
      <c r="AH137"/>
      <c r="AI137"/>
      <c r="BB137"/>
      <c r="CF137"/>
      <c r="CX137"/>
      <c r="DP137"/>
      <c r="EH137"/>
      <c r="EY137"/>
    </row>
    <row r="138" spans="8:155" x14ac:dyDescent="0.25">
      <c r="I138" t="s">
        <v>652</v>
      </c>
      <c r="J138">
        <f>COUNTIF(W4:W76,I138)</f>
        <v>2</v>
      </c>
      <c r="K138" s="117"/>
      <c r="Q138">
        <v>4</v>
      </c>
      <c r="R138">
        <v>4.4000000000000004</v>
      </c>
      <c r="T138">
        <f>_xlfn.RANK.AVG(Q138,$Q$135:$Q$139,1)</f>
        <v>4</v>
      </c>
      <c r="U138">
        <f>_xlfn.RANK.AVG(R138,$R$135:$R$139,1)</f>
        <v>4</v>
      </c>
      <c r="Z138" s="104" t="s">
        <v>820</v>
      </c>
      <c r="AA138" s="104"/>
      <c r="AH138"/>
      <c r="AI138"/>
      <c r="BB138"/>
      <c r="CF138"/>
      <c r="CX138"/>
      <c r="DP138"/>
      <c r="EH138"/>
      <c r="EY138"/>
    </row>
    <row r="139" spans="8:155" x14ac:dyDescent="0.25">
      <c r="I139" s="7" t="s">
        <v>750</v>
      </c>
      <c r="J139" s="7">
        <f>SUM(J135:J138)</f>
        <v>23</v>
      </c>
      <c r="Q139">
        <v>6</v>
      </c>
      <c r="R139">
        <v>3.67</v>
      </c>
      <c r="T139">
        <f>_xlfn.RANK.AVG(Q139,$Q$135:$Q$139,1)</f>
        <v>5</v>
      </c>
      <c r="U139">
        <f>_xlfn.RANK.AVG(R139,$R$135:$R$139,1)</f>
        <v>3</v>
      </c>
      <c r="Z139" t="s">
        <v>298</v>
      </c>
      <c r="AA139">
        <v>1</v>
      </c>
      <c r="AH139"/>
      <c r="AI139"/>
      <c r="BB139"/>
      <c r="CF139"/>
      <c r="CX139"/>
      <c r="DP139"/>
      <c r="EH139"/>
      <c r="EY139"/>
    </row>
    <row r="140" spans="8:155" x14ac:dyDescent="0.25">
      <c r="Z140" t="s">
        <v>305</v>
      </c>
      <c r="AA140">
        <v>2</v>
      </c>
      <c r="AH140"/>
      <c r="AI140"/>
      <c r="BB140"/>
      <c r="CF140"/>
      <c r="CX140"/>
      <c r="DP140"/>
      <c r="EH140"/>
      <c r="EY140"/>
    </row>
    <row r="141" spans="8:155" x14ac:dyDescent="0.25">
      <c r="H141" t="s">
        <v>760</v>
      </c>
      <c r="K141" t="s">
        <v>908</v>
      </c>
      <c r="Q141" t="s">
        <v>799</v>
      </c>
      <c r="Z141" t="s">
        <v>288</v>
      </c>
      <c r="AA141">
        <v>3</v>
      </c>
      <c r="AH141"/>
      <c r="AI141"/>
      <c r="BB141"/>
      <c r="CF141"/>
      <c r="CX141"/>
      <c r="DP141"/>
      <c r="EH141"/>
      <c r="EY141"/>
    </row>
    <row r="142" spans="8:155" x14ac:dyDescent="0.25">
      <c r="K142" t="s">
        <v>909</v>
      </c>
      <c r="Q142" s="6" t="s">
        <v>790</v>
      </c>
      <c r="R142" s="6" t="s">
        <v>791</v>
      </c>
      <c r="T142" s="6" t="s">
        <v>793</v>
      </c>
      <c r="U142" s="6" t="s">
        <v>792</v>
      </c>
      <c r="W142" s="6" t="s">
        <v>795</v>
      </c>
      <c r="Z142" t="s">
        <v>324</v>
      </c>
      <c r="AA142">
        <v>4</v>
      </c>
      <c r="AH142"/>
      <c r="AI142"/>
      <c r="BB142"/>
      <c r="CF142"/>
      <c r="CX142"/>
      <c r="DP142"/>
      <c r="EH142"/>
      <c r="EY142"/>
    </row>
    <row r="143" spans="8:155" x14ac:dyDescent="0.25">
      <c r="Q143">
        <v>2</v>
      </c>
      <c r="R143">
        <v>4.33</v>
      </c>
      <c r="T143">
        <f>_xlfn.RANK.AVG(Q143,$Q$143:$Q$146,1)</f>
        <v>1</v>
      </c>
      <c r="U143">
        <f>_xlfn.RANK.AVG(R143,$R$143:$R$146,1)</f>
        <v>1.5</v>
      </c>
      <c r="W143" s="4">
        <f>CORREL(T143:T146,U143:U146)</f>
        <v>0.44721359549995793</v>
      </c>
      <c r="AH143"/>
      <c r="AI143"/>
      <c r="BB143"/>
      <c r="CF143"/>
      <c r="CX143"/>
      <c r="DP143"/>
      <c r="EH143"/>
      <c r="EY143"/>
    </row>
    <row r="144" spans="8:155" x14ac:dyDescent="0.25">
      <c r="Q144">
        <v>3</v>
      </c>
      <c r="R144">
        <v>5</v>
      </c>
      <c r="T144">
        <f>_xlfn.RANK.AVG(Q144,$Q$143:$Q$146,1)</f>
        <v>2</v>
      </c>
      <c r="U144">
        <f>_xlfn.RANK.AVG(R144,$R$143:$R$146,1)</f>
        <v>3.5</v>
      </c>
      <c r="AH144"/>
      <c r="AI144"/>
      <c r="BB144"/>
      <c r="CF144"/>
      <c r="CX144"/>
      <c r="DP144"/>
      <c r="EH144"/>
      <c r="EY144"/>
    </row>
    <row r="145" spans="8:155" x14ac:dyDescent="0.25">
      <c r="Q145">
        <v>4</v>
      </c>
      <c r="R145">
        <v>4.33</v>
      </c>
      <c r="T145">
        <f>_xlfn.RANK.AVG(Q145,$Q$143:$Q$146,1)</f>
        <v>3</v>
      </c>
      <c r="U145">
        <f>_xlfn.RANK.AVG(R145,$R$143:$R$146,1)</f>
        <v>1.5</v>
      </c>
      <c r="AH145"/>
      <c r="AI145"/>
      <c r="BB145"/>
      <c r="CF145"/>
      <c r="CX145"/>
      <c r="DP145"/>
      <c r="EH145"/>
      <c r="EY145"/>
    </row>
    <row r="146" spans="8:155" x14ac:dyDescent="0.25">
      <c r="Q146">
        <v>5</v>
      </c>
      <c r="R146">
        <v>5</v>
      </c>
      <c r="T146">
        <f>_xlfn.RANK.AVG(Q146,$Q$143:$Q$146,1)</f>
        <v>4</v>
      </c>
      <c r="U146">
        <f>_xlfn.RANK.AVG(R146,$R$143:$R$146,1)</f>
        <v>3.5</v>
      </c>
      <c r="AH146"/>
      <c r="AI146"/>
      <c r="BB146"/>
      <c r="CF146"/>
      <c r="CX146"/>
      <c r="DP146"/>
      <c r="EH146"/>
      <c r="EY146"/>
    </row>
    <row r="147" spans="8:155" ht="21.6" x14ac:dyDescent="0.4">
      <c r="H147" s="107" t="s">
        <v>910</v>
      </c>
      <c r="AH147"/>
      <c r="AI147"/>
      <c r="BB147"/>
      <c r="CF147"/>
      <c r="CX147"/>
      <c r="DP147"/>
      <c r="EH147"/>
      <c r="EY147"/>
    </row>
    <row r="148" spans="8:155" x14ac:dyDescent="0.25">
      <c r="Q148" t="s">
        <v>800</v>
      </c>
      <c r="AH148"/>
      <c r="AI148"/>
      <c r="BB148"/>
      <c r="CF148"/>
      <c r="CX148"/>
      <c r="DP148"/>
      <c r="EH148"/>
      <c r="EY148"/>
    </row>
    <row r="149" spans="8:155" x14ac:dyDescent="0.25">
      <c r="H149" s="104" t="s">
        <v>785</v>
      </c>
      <c r="I149" s="104"/>
      <c r="J149" s="104" t="s">
        <v>750</v>
      </c>
      <c r="K149" s="104" t="s">
        <v>787</v>
      </c>
      <c r="L149" s="104" t="s">
        <v>788</v>
      </c>
      <c r="Q149" s="6" t="s">
        <v>790</v>
      </c>
      <c r="R149" s="6" t="s">
        <v>791</v>
      </c>
      <c r="T149" s="6" t="s">
        <v>793</v>
      </c>
      <c r="U149" s="6" t="s">
        <v>792</v>
      </c>
      <c r="W149" s="6" t="s">
        <v>795</v>
      </c>
      <c r="AH149"/>
      <c r="AI149"/>
      <c r="BB149"/>
      <c r="CF149"/>
      <c r="CX149"/>
      <c r="DP149"/>
      <c r="EH149"/>
      <c r="EY149"/>
    </row>
    <row r="150" spans="8:155" x14ac:dyDescent="0.25">
      <c r="H150" t="s">
        <v>755</v>
      </c>
      <c r="I150" t="s">
        <v>322</v>
      </c>
      <c r="J150">
        <f>SUM(C59,C65,C66:C69,C72)</f>
        <v>376.5</v>
      </c>
      <c r="K150" s="4">
        <f>(J150/COUNT(C65,C59,C66:C69,C72))</f>
        <v>53.785714285714285</v>
      </c>
      <c r="L150">
        <v>50.54</v>
      </c>
      <c r="Q150">
        <v>1</v>
      </c>
      <c r="R150">
        <v>4</v>
      </c>
      <c r="T150">
        <f>_xlfn.RANK.AVG(Q150,$Q$150:$Q$153,1)</f>
        <v>1</v>
      </c>
      <c r="U150">
        <f>_xlfn.RANK.AVG(R150,$R$150:$R$153,1)</f>
        <v>1.5</v>
      </c>
      <c r="W150" s="4">
        <f>CORREL(T150:T153,U150:U153)</f>
        <v>0.21081851067789195</v>
      </c>
      <c r="AH150"/>
      <c r="AI150"/>
      <c r="BB150"/>
      <c r="CF150"/>
      <c r="CX150"/>
      <c r="DP150"/>
      <c r="EH150"/>
      <c r="EY150"/>
    </row>
    <row r="151" spans="8:155" x14ac:dyDescent="0.25">
      <c r="I151" t="s">
        <v>757</v>
      </c>
      <c r="J151">
        <f>SUM(C60,C62,C71,C73:C74)</f>
        <v>271.5</v>
      </c>
      <c r="K151" s="4">
        <f>(J151/COUNT(C60,C62,C71,C73:C74))</f>
        <v>54.3</v>
      </c>
      <c r="L151">
        <v>50.84</v>
      </c>
      <c r="Q151">
        <v>2</v>
      </c>
      <c r="R151">
        <v>4.67</v>
      </c>
      <c r="T151">
        <f>_xlfn.RANK.AVG(Q151,$Q$150:$Q$153,1)</f>
        <v>2</v>
      </c>
      <c r="U151">
        <f>_xlfn.RANK.AVG(R151,$R$150:$R$153,1)</f>
        <v>4</v>
      </c>
      <c r="AH151"/>
      <c r="AI151"/>
      <c r="BB151"/>
      <c r="CF151"/>
      <c r="CX151"/>
      <c r="DP151"/>
      <c r="EH151"/>
      <c r="EY151"/>
    </row>
    <row r="152" spans="8:155" x14ac:dyDescent="0.25">
      <c r="H152" t="s">
        <v>756</v>
      </c>
      <c r="I152" t="s">
        <v>424</v>
      </c>
      <c r="J152">
        <f>SUM(C6,C9,C14)</f>
        <v>169.5</v>
      </c>
      <c r="K152" s="4">
        <f>(J152/COUNT(C6,C9,C14))</f>
        <v>56.5</v>
      </c>
      <c r="L152">
        <v>44.07</v>
      </c>
      <c r="Q152">
        <v>3</v>
      </c>
      <c r="R152">
        <v>4</v>
      </c>
      <c r="T152">
        <f>_xlfn.RANK.AVG(Q152,$Q$150:$Q$153,1)</f>
        <v>3</v>
      </c>
      <c r="U152">
        <f>_xlfn.RANK.AVG(R152,$R$150:$R$153,1)</f>
        <v>1.5</v>
      </c>
      <c r="AH152"/>
      <c r="AI152"/>
      <c r="BB152"/>
      <c r="CF152"/>
      <c r="CX152"/>
      <c r="DP152"/>
      <c r="EH152"/>
      <c r="EY152"/>
    </row>
    <row r="153" spans="8:155" x14ac:dyDescent="0.25">
      <c r="I153" t="s">
        <v>395</v>
      </c>
      <c r="J153">
        <f>SUM(C3,C5,C7,C8)</f>
        <v>141</v>
      </c>
      <c r="K153" s="4">
        <f>(J153/COUNT(C3,C5,C7,C8))</f>
        <v>35.25</v>
      </c>
      <c r="L153">
        <v>42.02</v>
      </c>
      <c r="Q153">
        <v>4</v>
      </c>
      <c r="R153">
        <v>4.4000000000000004</v>
      </c>
      <c r="T153">
        <f>_xlfn.RANK.AVG(Q153,$Q$150:$Q$153,1)</f>
        <v>4</v>
      </c>
      <c r="U153">
        <f>_xlfn.RANK.AVG(R153,$R$150:$R$153,1)</f>
        <v>3</v>
      </c>
      <c r="AH153"/>
      <c r="AI153"/>
      <c r="BB153"/>
      <c r="CF153"/>
      <c r="CX153"/>
      <c r="DP153"/>
      <c r="EH153"/>
      <c r="EY153"/>
    </row>
    <row r="154" spans="8:155" x14ac:dyDescent="0.25">
      <c r="H154" t="s">
        <v>758</v>
      </c>
      <c r="I154" t="s">
        <v>284</v>
      </c>
      <c r="J154">
        <f>SUM(C16,C18,C28)</f>
        <v>101.5</v>
      </c>
      <c r="K154" s="4">
        <f>(J154/COUNT(C16,C18,C28))</f>
        <v>33.833333333333336</v>
      </c>
      <c r="L154">
        <v>43.435000000000002</v>
      </c>
      <c r="AH154"/>
      <c r="AI154"/>
      <c r="BB154"/>
      <c r="CF154"/>
      <c r="CX154"/>
      <c r="DP154"/>
      <c r="EH154"/>
      <c r="EY154"/>
    </row>
    <row r="155" spans="8:155" x14ac:dyDescent="0.25">
      <c r="I155" t="s">
        <v>322</v>
      </c>
      <c r="J155">
        <f>SUM(C15,C17,C20:C24,C25:C27,C29)</f>
        <v>407</v>
      </c>
      <c r="K155" s="4">
        <f>(J155/COUNT(C15,C17,C20:C24,C25:C27,C29))</f>
        <v>37</v>
      </c>
      <c r="L155">
        <v>37.270000000000003</v>
      </c>
      <c r="Q155" t="s">
        <v>801</v>
      </c>
      <c r="AH155"/>
      <c r="AI155"/>
      <c r="BB155"/>
      <c r="CF155"/>
      <c r="CX155"/>
      <c r="DP155"/>
      <c r="EH155"/>
      <c r="EY155"/>
    </row>
    <row r="156" spans="8:155" x14ac:dyDescent="0.25">
      <c r="H156" t="s">
        <v>603</v>
      </c>
      <c r="I156" t="s">
        <v>424</v>
      </c>
      <c r="J156">
        <f>SUM(C33,C36,C38,C39:C42,C45:C46,C51:C52)</f>
        <v>484</v>
      </c>
      <c r="K156" s="4">
        <f>(J156/COUNT(C33,C36,C38,C39:C42,C45:C46,C51:C52))</f>
        <v>44</v>
      </c>
      <c r="L156">
        <v>45.914999999999999</v>
      </c>
      <c r="Q156" s="6" t="s">
        <v>790</v>
      </c>
      <c r="R156" s="6" t="s">
        <v>791</v>
      </c>
      <c r="T156" s="6" t="s">
        <v>793</v>
      </c>
      <c r="U156" s="6" t="s">
        <v>792</v>
      </c>
      <c r="W156" s="6" t="s">
        <v>795</v>
      </c>
      <c r="AH156"/>
      <c r="AI156"/>
      <c r="BB156"/>
      <c r="CF156"/>
      <c r="CX156"/>
      <c r="DP156"/>
      <c r="EH156"/>
      <c r="EY156"/>
    </row>
    <row r="157" spans="8:155" x14ac:dyDescent="0.25">
      <c r="I157" t="s">
        <v>464</v>
      </c>
      <c r="J157">
        <f>SUM(C34:C35,C37,C43:C44,C47,C54:C55)</f>
        <v>360</v>
      </c>
      <c r="K157" s="4">
        <f>(J157/COUNT(C34:C35,C37,C43:C44,C47,C54:C55))</f>
        <v>45</v>
      </c>
      <c r="L157">
        <v>49.88</v>
      </c>
      <c r="Q157">
        <v>2</v>
      </c>
      <c r="R157">
        <v>3.8</v>
      </c>
      <c r="T157">
        <f>_xlfn.RANK.AVG(Q157,$Q$157:$Q$161,1)</f>
        <v>1</v>
      </c>
      <c r="U157">
        <f>_xlfn.RANK.AVG(R157,$R$157:$R$161,1)</f>
        <v>3.5</v>
      </c>
      <c r="W157" s="4">
        <f>CORREL(T157:T161,U157:U161)</f>
        <v>0.46169025843831935</v>
      </c>
      <c r="AH157"/>
      <c r="AI157"/>
      <c r="BB157"/>
      <c r="CF157"/>
      <c r="CX157"/>
      <c r="DP157"/>
      <c r="EH157"/>
      <c r="EY157"/>
    </row>
    <row r="158" spans="8:155" x14ac:dyDescent="0.25">
      <c r="Q158">
        <v>3</v>
      </c>
      <c r="R158">
        <v>3.75</v>
      </c>
      <c r="T158">
        <f>_xlfn.RANK.AVG(Q158,$Q$157:$Q$161,1)</f>
        <v>2</v>
      </c>
      <c r="U158">
        <f>_xlfn.RANK.AVG(R158,$R$157:$R$161,1)</f>
        <v>2</v>
      </c>
      <c r="AH158"/>
      <c r="AI158"/>
      <c r="BB158"/>
      <c r="CF158"/>
      <c r="CX158"/>
      <c r="DP158"/>
      <c r="EH158"/>
      <c r="EY158"/>
    </row>
    <row r="159" spans="8:155" x14ac:dyDescent="0.25">
      <c r="Q159">
        <v>4</v>
      </c>
      <c r="R159">
        <v>3</v>
      </c>
      <c r="T159">
        <f>_xlfn.RANK.AVG(Q159,$Q$157:$Q$161,1)</f>
        <v>3</v>
      </c>
      <c r="U159">
        <f>_xlfn.RANK.AVG(R159,$R$157:$R$161,1)</f>
        <v>1</v>
      </c>
      <c r="AH159"/>
      <c r="AI159"/>
      <c r="BB159"/>
      <c r="CF159"/>
      <c r="CX159"/>
      <c r="DP159"/>
      <c r="EH159"/>
      <c r="EY159"/>
    </row>
    <row r="160" spans="8:155" ht="21.6" x14ac:dyDescent="0.4">
      <c r="H160" s="107" t="s">
        <v>917</v>
      </c>
      <c r="Q160">
        <v>5</v>
      </c>
      <c r="R160">
        <v>3.8</v>
      </c>
      <c r="T160">
        <f>_xlfn.RANK.AVG(Q160,$Q$157:$Q$161,1)</f>
        <v>4</v>
      </c>
      <c r="U160">
        <f>_xlfn.RANK.AVG(R160,$R$157:$R$161,1)</f>
        <v>3.5</v>
      </c>
      <c r="AH160"/>
      <c r="AI160"/>
      <c r="BB160"/>
      <c r="CF160"/>
      <c r="CX160"/>
      <c r="DP160"/>
      <c r="EH160"/>
      <c r="EY160"/>
    </row>
    <row r="161" spans="8:155" x14ac:dyDescent="0.25">
      <c r="Q161">
        <v>6</v>
      </c>
      <c r="R161">
        <v>4</v>
      </c>
      <c r="T161">
        <f>_xlfn.RANK.AVG(Q161,$Q$157:$Q$161,1)</f>
        <v>5</v>
      </c>
      <c r="U161">
        <f>_xlfn.RANK.AVG(R161,$R$157:$R$161,1)</f>
        <v>5</v>
      </c>
      <c r="AH161"/>
      <c r="AI161"/>
      <c r="BB161"/>
      <c r="CF161"/>
      <c r="CX161"/>
      <c r="DP161"/>
      <c r="EH161"/>
      <c r="EY161"/>
    </row>
    <row r="162" spans="8:155" x14ac:dyDescent="0.25">
      <c r="H162" s="104" t="s">
        <v>762</v>
      </c>
      <c r="I162" s="104"/>
      <c r="AH162"/>
      <c r="AI162"/>
      <c r="BB162"/>
      <c r="CF162"/>
      <c r="CX162"/>
      <c r="DP162"/>
      <c r="EH162"/>
      <c r="EY162"/>
    </row>
    <row r="163" spans="8:155" x14ac:dyDescent="0.25">
      <c r="H163" t="s">
        <v>317</v>
      </c>
      <c r="I163">
        <f>COUNTIF(FU3:FU75,H163)</f>
        <v>19</v>
      </c>
      <c r="Q163" s="25" t="s">
        <v>794</v>
      </c>
      <c r="AH163"/>
      <c r="AI163"/>
      <c r="BB163"/>
      <c r="CF163"/>
      <c r="CX163"/>
      <c r="DP163"/>
      <c r="EH163"/>
      <c r="EY163"/>
    </row>
    <row r="164" spans="8:155" x14ac:dyDescent="0.25">
      <c r="H164" t="s">
        <v>351</v>
      </c>
      <c r="I164">
        <f>COUNTIF(FU3:FU75,H164)</f>
        <v>20</v>
      </c>
      <c r="Q164" s="6" t="s">
        <v>790</v>
      </c>
      <c r="R164" s="6" t="s">
        <v>791</v>
      </c>
      <c r="T164" s="6" t="s">
        <v>793</v>
      </c>
      <c r="U164" s="6" t="s">
        <v>792</v>
      </c>
      <c r="W164" s="6" t="s">
        <v>795</v>
      </c>
      <c r="AH164"/>
      <c r="AI164"/>
      <c r="BB164"/>
      <c r="CF164"/>
      <c r="CX164"/>
      <c r="DP164"/>
      <c r="EH164"/>
      <c r="EY164"/>
    </row>
    <row r="165" spans="8:155" x14ac:dyDescent="0.25">
      <c r="H165" t="s">
        <v>335</v>
      </c>
      <c r="I165">
        <f>COUNTIF(FU3:FU75,H165)</f>
        <v>14</v>
      </c>
      <c r="Q165">
        <v>1</v>
      </c>
      <c r="R165">
        <v>3</v>
      </c>
      <c r="T165">
        <f>_xlfn.RANK.AVG(Q165,$Q$165:$Q$169,1)</f>
        <v>1</v>
      </c>
      <c r="U165">
        <f>_xlfn.RANK.AVG(R165,$R$165:$R$169,1)</f>
        <v>2</v>
      </c>
      <c r="W165" s="4">
        <f>CORREL(T165:T169,U165:U169)</f>
        <v>-0.11180339887498948</v>
      </c>
      <c r="AH165"/>
      <c r="AI165"/>
      <c r="BB165"/>
      <c r="CF165"/>
      <c r="CX165"/>
      <c r="DP165"/>
      <c r="EH165"/>
      <c r="EY165"/>
    </row>
    <row r="166" spans="8:155" x14ac:dyDescent="0.25">
      <c r="Q166">
        <v>2</v>
      </c>
      <c r="R166">
        <v>5</v>
      </c>
      <c r="T166">
        <f>_xlfn.RANK.AVG(Q166,$Q$165:$Q$169,1)</f>
        <v>2</v>
      </c>
      <c r="U166">
        <f>_xlfn.RANK.AVG(R166,$R$165:$R$169,1)</f>
        <v>5</v>
      </c>
      <c r="AH166"/>
      <c r="AI166"/>
      <c r="BB166"/>
      <c r="CF166"/>
      <c r="CX166"/>
      <c r="DP166"/>
      <c r="EH166"/>
      <c r="EY166"/>
    </row>
    <row r="167" spans="8:155" x14ac:dyDescent="0.25">
      <c r="Q167">
        <v>3</v>
      </c>
      <c r="R167">
        <v>3</v>
      </c>
      <c r="T167">
        <f>_xlfn.RANK.AVG(Q167,$Q$165:$Q$169,1)</f>
        <v>3</v>
      </c>
      <c r="U167">
        <f>_xlfn.RANK.AVG(R167,$R$165:$R$169,1)</f>
        <v>2</v>
      </c>
      <c r="AH167"/>
      <c r="AI167"/>
      <c r="BB167"/>
      <c r="CF167"/>
      <c r="CX167"/>
      <c r="DP167"/>
      <c r="EH167"/>
      <c r="EY167"/>
    </row>
    <row r="168" spans="8:155" x14ac:dyDescent="0.25">
      <c r="Q168">
        <v>4</v>
      </c>
      <c r="R168">
        <v>3.4</v>
      </c>
      <c r="T168">
        <f>_xlfn.RANK.AVG(Q168,$Q$165:$Q$169,1)</f>
        <v>4</v>
      </c>
      <c r="U168">
        <f>_xlfn.RANK.AVG(R168,$R$165:$R$169,1)</f>
        <v>4</v>
      </c>
      <c r="AH168"/>
      <c r="AI168"/>
      <c r="BB168"/>
      <c r="CF168"/>
      <c r="CX168"/>
      <c r="DP168"/>
      <c r="EH168"/>
      <c r="EY168"/>
    </row>
    <row r="169" spans="8:155" x14ac:dyDescent="0.25">
      <c r="Q169">
        <v>6</v>
      </c>
      <c r="R169">
        <v>3</v>
      </c>
      <c r="T169">
        <f>_xlfn.RANK.AVG(Q169,$Q$165:$Q$169,1)</f>
        <v>5</v>
      </c>
      <c r="U169">
        <f>_xlfn.RANK.AVG(R169,$R$165:$R$169,1)</f>
        <v>2</v>
      </c>
      <c r="AH169"/>
      <c r="AI169"/>
      <c r="BB169"/>
      <c r="CF169"/>
      <c r="CX169"/>
      <c r="DP169"/>
      <c r="EH169"/>
      <c r="EY169"/>
    </row>
    <row r="170" spans="8:155" x14ac:dyDescent="0.25">
      <c r="AH170"/>
      <c r="AI170"/>
      <c r="BB170"/>
      <c r="CF170"/>
      <c r="CX170"/>
      <c r="DP170"/>
      <c r="EH170"/>
      <c r="EY170"/>
    </row>
    <row r="171" spans="8:155" x14ac:dyDescent="0.25">
      <c r="Q171" t="s">
        <v>796</v>
      </c>
      <c r="AH171"/>
      <c r="AI171"/>
      <c r="BB171"/>
      <c r="CF171"/>
      <c r="CX171"/>
      <c r="DP171"/>
      <c r="EH171"/>
      <c r="EY171"/>
    </row>
    <row r="172" spans="8:155" x14ac:dyDescent="0.25">
      <c r="Q172" s="6" t="s">
        <v>790</v>
      </c>
      <c r="R172" s="6" t="s">
        <v>791</v>
      </c>
      <c r="T172" s="6" t="s">
        <v>793</v>
      </c>
      <c r="U172" s="6" t="s">
        <v>792</v>
      </c>
      <c r="W172" s="6" t="s">
        <v>795</v>
      </c>
      <c r="AH172"/>
      <c r="AI172"/>
      <c r="BB172"/>
      <c r="CF172"/>
      <c r="CX172"/>
      <c r="DP172"/>
      <c r="EH172"/>
      <c r="EY172"/>
    </row>
    <row r="173" spans="8:155" x14ac:dyDescent="0.25">
      <c r="Q173">
        <v>2</v>
      </c>
      <c r="R173">
        <v>3.33</v>
      </c>
      <c r="T173">
        <f>_xlfn.RANK.AVG(Q173,$Q$173:$Q$176,1)</f>
        <v>1</v>
      </c>
      <c r="U173">
        <f>_xlfn.RANK.AVG(R173,$R$173:$R$176,1)</f>
        <v>3</v>
      </c>
      <c r="W173" s="4">
        <f>CORREL(T173:T176,U173:U176)</f>
        <v>-0.59999999999999987</v>
      </c>
      <c r="AH173"/>
      <c r="AI173"/>
      <c r="BB173"/>
      <c r="CF173"/>
      <c r="CX173"/>
      <c r="DP173"/>
      <c r="EH173"/>
      <c r="EY173"/>
    </row>
    <row r="174" spans="8:155" x14ac:dyDescent="0.25">
      <c r="Q174">
        <v>3</v>
      </c>
      <c r="R174">
        <v>3.5</v>
      </c>
      <c r="T174">
        <f>_xlfn.RANK.AVG(Q174,$Q$173:$Q$176,1)</f>
        <v>2</v>
      </c>
      <c r="U174">
        <f>_xlfn.RANK.AVG(R174,$R$173:$R$176,1)</f>
        <v>4</v>
      </c>
      <c r="AH174"/>
      <c r="AI174"/>
      <c r="BB174"/>
      <c r="CF174"/>
      <c r="CX174"/>
      <c r="DP174"/>
      <c r="EH174"/>
      <c r="EY174"/>
    </row>
    <row r="175" spans="8:155" x14ac:dyDescent="0.25">
      <c r="Q175">
        <v>4</v>
      </c>
      <c r="R175">
        <v>2.75</v>
      </c>
      <c r="T175">
        <f>_xlfn.RANK.AVG(Q175,$Q$173:$Q$176,1)</f>
        <v>3</v>
      </c>
      <c r="U175">
        <f>_xlfn.RANK.AVG(R175,$R$173:$R$176,1)</f>
        <v>1</v>
      </c>
      <c r="AH175"/>
      <c r="AI175"/>
      <c r="BB175"/>
      <c r="CF175"/>
      <c r="CX175"/>
      <c r="DP175"/>
      <c r="EH175"/>
      <c r="EY175"/>
    </row>
    <row r="176" spans="8:155" x14ac:dyDescent="0.25">
      <c r="Q176">
        <v>5</v>
      </c>
      <c r="R176">
        <v>3</v>
      </c>
      <c r="T176">
        <f>_xlfn.RANK.AVG(Q176,$Q$173:$Q$176,1)</f>
        <v>4</v>
      </c>
      <c r="U176">
        <f>_xlfn.RANK.AVG(R176,$R$173:$R$176,1)</f>
        <v>2</v>
      </c>
      <c r="AH176"/>
      <c r="AI176"/>
      <c r="BB176"/>
      <c r="CF176"/>
      <c r="CX176"/>
      <c r="DP176"/>
      <c r="EH176"/>
      <c r="EY176"/>
    </row>
    <row r="177" spans="17:155" x14ac:dyDescent="0.25">
      <c r="AH177"/>
      <c r="AI177"/>
      <c r="BB177"/>
      <c r="CF177"/>
      <c r="CX177"/>
      <c r="DP177"/>
      <c r="EH177"/>
      <c r="EY177"/>
    </row>
    <row r="178" spans="17:155" x14ac:dyDescent="0.25">
      <c r="Q178" t="s">
        <v>797</v>
      </c>
      <c r="AH178"/>
      <c r="AI178"/>
      <c r="BB178"/>
      <c r="CF178"/>
      <c r="CX178"/>
      <c r="DP178"/>
      <c r="EH178"/>
      <c r="EY178"/>
    </row>
    <row r="179" spans="17:155" x14ac:dyDescent="0.25">
      <c r="Q179" s="6" t="s">
        <v>790</v>
      </c>
      <c r="R179" s="6" t="s">
        <v>791</v>
      </c>
      <c r="T179" s="6" t="s">
        <v>793</v>
      </c>
      <c r="U179" s="6" t="s">
        <v>792</v>
      </c>
      <c r="W179" s="6" t="s">
        <v>795</v>
      </c>
      <c r="AH179"/>
      <c r="AI179"/>
      <c r="BB179"/>
      <c r="CF179"/>
      <c r="CX179"/>
      <c r="DP179"/>
      <c r="EH179"/>
      <c r="EY179"/>
    </row>
    <row r="180" spans="17:155" x14ac:dyDescent="0.25">
      <c r="Q180">
        <v>1</v>
      </c>
      <c r="R180">
        <v>3</v>
      </c>
      <c r="T180">
        <f>_xlfn.RANK.AVG(Q180,$Q$180:$Q$183,1)</f>
        <v>1</v>
      </c>
      <c r="U180">
        <f>_xlfn.RANK.AVG(R180,$R$180:$R$183,1)</f>
        <v>2</v>
      </c>
      <c r="W180" s="4">
        <f>CORREL(T180:T183,U180:U183)</f>
        <v>0.39999999999999991</v>
      </c>
      <c r="AH180"/>
      <c r="AI180"/>
      <c r="BB180"/>
      <c r="CF180"/>
      <c r="CX180"/>
      <c r="DP180"/>
      <c r="EH180"/>
      <c r="EY180"/>
    </row>
    <row r="181" spans="17:155" x14ac:dyDescent="0.25">
      <c r="Q181">
        <v>2</v>
      </c>
      <c r="R181">
        <v>3.33</v>
      </c>
      <c r="T181">
        <f>_xlfn.RANK.AVG(Q181,$Q$180:$Q$183,1)</f>
        <v>2</v>
      </c>
      <c r="U181">
        <f>_xlfn.RANK.AVG(R181,$R$180:$R$183,1)</f>
        <v>3</v>
      </c>
      <c r="AH181"/>
      <c r="AI181"/>
      <c r="BB181"/>
      <c r="CF181"/>
      <c r="CX181"/>
      <c r="DP181"/>
      <c r="EH181"/>
      <c r="EY181"/>
    </row>
    <row r="182" spans="17:155" x14ac:dyDescent="0.25">
      <c r="Q182">
        <v>3</v>
      </c>
      <c r="R182">
        <v>1</v>
      </c>
      <c r="T182">
        <f>_xlfn.RANK.AVG(Q182,$Q$180:$Q$183,1)</f>
        <v>3</v>
      </c>
      <c r="U182">
        <f>_xlfn.RANK.AVG(R182,$R$180:$R$183,1)</f>
        <v>1</v>
      </c>
      <c r="AH182"/>
      <c r="AI182"/>
      <c r="BB182"/>
      <c r="CF182"/>
      <c r="CX182"/>
      <c r="DP182"/>
      <c r="EH182"/>
      <c r="EY182"/>
    </row>
    <row r="183" spans="17:155" x14ac:dyDescent="0.25">
      <c r="Q183">
        <v>4</v>
      </c>
      <c r="R183">
        <v>4.33</v>
      </c>
      <c r="T183">
        <f>_xlfn.RANK.AVG(Q183,$Q$180:$Q$183,1)</f>
        <v>4</v>
      </c>
      <c r="U183">
        <f>_xlfn.RANK.AVG(R183,$R$180:$R$183,1)</f>
        <v>4</v>
      </c>
      <c r="AH183"/>
      <c r="AI183"/>
      <c r="BB183"/>
      <c r="CF183"/>
      <c r="CX183"/>
      <c r="DP183"/>
      <c r="EH183"/>
      <c r="EY183"/>
    </row>
    <row r="184" spans="17:155" x14ac:dyDescent="0.25">
      <c r="AH184"/>
      <c r="AI184"/>
      <c r="BB184"/>
      <c r="CF184"/>
      <c r="CX184"/>
      <c r="DP184"/>
      <c r="EH184"/>
      <c r="EY184"/>
    </row>
    <row r="185" spans="17:155" x14ac:dyDescent="0.25">
      <c r="Q185" t="s">
        <v>802</v>
      </c>
      <c r="AH185"/>
      <c r="AI185"/>
      <c r="BB185"/>
      <c r="CF185"/>
      <c r="CX185"/>
      <c r="DP185"/>
      <c r="EH185"/>
      <c r="EY185"/>
    </row>
    <row r="186" spans="17:155" x14ac:dyDescent="0.25">
      <c r="Q186" s="6" t="s">
        <v>790</v>
      </c>
      <c r="R186" s="6" t="s">
        <v>791</v>
      </c>
      <c r="T186" s="6" t="s">
        <v>793</v>
      </c>
      <c r="U186" s="6" t="s">
        <v>792</v>
      </c>
      <c r="W186" s="6" t="s">
        <v>795</v>
      </c>
      <c r="AH186"/>
      <c r="AI186"/>
      <c r="BB186"/>
      <c r="CF186"/>
      <c r="CX186"/>
      <c r="DP186"/>
      <c r="EH186"/>
      <c r="EY186"/>
    </row>
    <row r="187" spans="17:155" x14ac:dyDescent="0.25">
      <c r="Q187">
        <v>2</v>
      </c>
      <c r="R187">
        <v>4.25</v>
      </c>
      <c r="T187">
        <f>_xlfn.RANK.AVG(Q187,$Q$187:$Q$191,1)</f>
        <v>1</v>
      </c>
      <c r="U187">
        <f>_xlfn.RANK.AVG(R187,$R$187:$R$191,1)</f>
        <v>3</v>
      </c>
      <c r="W187" s="4">
        <f>CORREL(T187:T191,U187:U191)</f>
        <v>-5.1298917604257706E-2</v>
      </c>
      <c r="AH187"/>
      <c r="AI187"/>
      <c r="BB187"/>
      <c r="CF187"/>
      <c r="CX187"/>
      <c r="DP187"/>
      <c r="EH187"/>
      <c r="EY187"/>
    </row>
    <row r="188" spans="17:155" x14ac:dyDescent="0.25">
      <c r="Q188">
        <v>3</v>
      </c>
      <c r="R188">
        <v>4</v>
      </c>
      <c r="T188">
        <f>_xlfn.RANK.AVG(Q188,$Q$187:$Q$191,1)</f>
        <v>2</v>
      </c>
      <c r="U188">
        <f>_xlfn.RANK.AVG(R188,$R$187:$R$191,1)</f>
        <v>1.5</v>
      </c>
      <c r="AH188"/>
      <c r="AI188"/>
      <c r="BB188"/>
      <c r="CF188"/>
      <c r="CX188"/>
      <c r="DP188"/>
      <c r="EH188"/>
      <c r="EY188"/>
    </row>
    <row r="189" spans="17:155" x14ac:dyDescent="0.25">
      <c r="Q189">
        <v>4</v>
      </c>
      <c r="R189">
        <v>4.67</v>
      </c>
      <c r="T189">
        <f>_xlfn.RANK.AVG(Q189,$Q$187:$Q$191,1)</f>
        <v>3</v>
      </c>
      <c r="U189">
        <f>_xlfn.RANK.AVG(R189,$R$187:$R$191,1)</f>
        <v>5</v>
      </c>
      <c r="AH189"/>
      <c r="AI189"/>
      <c r="BB189"/>
      <c r="CF189"/>
      <c r="CX189"/>
      <c r="DP189"/>
      <c r="EH189"/>
      <c r="EY189"/>
    </row>
    <row r="190" spans="17:155" x14ac:dyDescent="0.25">
      <c r="Q190">
        <v>5</v>
      </c>
      <c r="R190">
        <v>4.57</v>
      </c>
      <c r="T190">
        <f>_xlfn.RANK.AVG(Q190,$Q$187:$Q$191,1)</f>
        <v>4</v>
      </c>
      <c r="U190">
        <f>_xlfn.RANK.AVG(R190,$R$187:$R$191,1)</f>
        <v>4</v>
      </c>
      <c r="AH190"/>
      <c r="AI190"/>
      <c r="BB190"/>
      <c r="CF190"/>
      <c r="CX190"/>
      <c r="DP190"/>
      <c r="EH190"/>
      <c r="EY190"/>
    </row>
    <row r="191" spans="17:155" x14ac:dyDescent="0.25">
      <c r="Q191">
        <v>6</v>
      </c>
      <c r="R191">
        <v>4</v>
      </c>
      <c r="T191">
        <f>_xlfn.RANK.AVG(Q191,$Q$187:$Q$191,1)</f>
        <v>5</v>
      </c>
      <c r="U191">
        <f>_xlfn.RANK.AVG(R191,$R$187:$R$191,1)</f>
        <v>1.5</v>
      </c>
      <c r="AH191"/>
      <c r="AI191"/>
      <c r="BB191"/>
      <c r="CF191"/>
      <c r="CX191"/>
      <c r="DP191"/>
      <c r="EH191"/>
      <c r="EY191"/>
    </row>
    <row r="192" spans="17:155" x14ac:dyDescent="0.25">
      <c r="AH192"/>
      <c r="AI192"/>
      <c r="BB192"/>
      <c r="CF192"/>
      <c r="CX192"/>
      <c r="DP192"/>
      <c r="EH192"/>
      <c r="EY192"/>
    </row>
    <row r="193" spans="17:20" customFormat="1" x14ac:dyDescent="0.25"/>
    <row r="194" spans="17:20" customFormat="1" x14ac:dyDescent="0.25">
      <c r="Q194" s="6" t="s">
        <v>804</v>
      </c>
    </row>
    <row r="195" spans="17:20" customFormat="1" x14ac:dyDescent="0.25">
      <c r="Q195" s="91">
        <v>0</v>
      </c>
      <c r="R195" t="s">
        <v>803</v>
      </c>
    </row>
    <row r="196" spans="17:20" customFormat="1" x14ac:dyDescent="0.25">
      <c r="Q196" t="s">
        <v>808</v>
      </c>
      <c r="R196" t="s">
        <v>809</v>
      </c>
    </row>
    <row r="197" spans="17:20" customFormat="1" x14ac:dyDescent="0.25">
      <c r="Q197" t="s">
        <v>805</v>
      </c>
      <c r="R197" t="s">
        <v>812</v>
      </c>
    </row>
    <row r="198" spans="17:20" customFormat="1" x14ac:dyDescent="0.25">
      <c r="Q198" t="s">
        <v>806</v>
      </c>
      <c r="R198" t="s">
        <v>811</v>
      </c>
    </row>
    <row r="199" spans="17:20" customFormat="1" x14ac:dyDescent="0.25">
      <c r="Q199" t="s">
        <v>807</v>
      </c>
      <c r="R199" t="s">
        <v>810</v>
      </c>
    </row>
    <row r="200" spans="17:20" customFormat="1" x14ac:dyDescent="0.25">
      <c r="Q200" s="91">
        <v>1</v>
      </c>
      <c r="R200" t="s">
        <v>816</v>
      </c>
    </row>
    <row r="201" spans="17:20" customFormat="1" x14ac:dyDescent="0.25">
      <c r="Q201" s="90" t="s">
        <v>813</v>
      </c>
      <c r="R201" t="s">
        <v>815</v>
      </c>
    </row>
    <row r="202" spans="17:20" customFormat="1" x14ac:dyDescent="0.25">
      <c r="Q202" s="90" t="s">
        <v>621</v>
      </c>
      <c r="R202" t="s">
        <v>814</v>
      </c>
    </row>
    <row r="203" spans="17:20" customFormat="1" x14ac:dyDescent="0.25"/>
    <row r="204" spans="17:20" customFormat="1" x14ac:dyDescent="0.25"/>
    <row r="205" spans="17:20" customFormat="1" x14ac:dyDescent="0.25">
      <c r="Q205" t="s">
        <v>913</v>
      </c>
    </row>
    <row r="206" spans="17:20" customFormat="1" x14ac:dyDescent="0.25">
      <c r="Q206" s="133" t="s">
        <v>853</v>
      </c>
      <c r="R206" s="133"/>
      <c r="S206" s="133"/>
      <c r="T206" s="133"/>
    </row>
    <row r="207" spans="17:20" customFormat="1" x14ac:dyDescent="0.25">
      <c r="Q207" s="6" t="s">
        <v>859</v>
      </c>
      <c r="R207" s="6" t="s">
        <v>858</v>
      </c>
      <c r="S207" s="6" t="s">
        <v>859</v>
      </c>
      <c r="T207" s="6" t="s">
        <v>858</v>
      </c>
    </row>
    <row r="208" spans="17:20" customFormat="1" x14ac:dyDescent="0.25">
      <c r="Q208" s="102" t="s">
        <v>854</v>
      </c>
      <c r="S208" s="102" t="s">
        <v>437</v>
      </c>
      <c r="T208" s="4"/>
    </row>
    <row r="209" spans="17:20" customFormat="1" x14ac:dyDescent="0.25">
      <c r="Q209" t="s">
        <v>855</v>
      </c>
      <c r="R209" s="4">
        <f>W135</f>
        <v>0.29999999999999993</v>
      </c>
      <c r="S209" t="s">
        <v>855</v>
      </c>
      <c r="T209" s="4">
        <f>W165</f>
        <v>-0.11180339887498948</v>
      </c>
    </row>
    <row r="210" spans="17:20" customFormat="1" x14ac:dyDescent="0.25">
      <c r="Q210" t="s">
        <v>856</v>
      </c>
      <c r="R210" s="4">
        <f>W143</f>
        <v>0.44721359549995793</v>
      </c>
      <c r="S210" t="s">
        <v>856</v>
      </c>
      <c r="T210" s="4">
        <f>W173</f>
        <v>-0.59999999999999987</v>
      </c>
    </row>
    <row r="211" spans="17:20" customFormat="1" x14ac:dyDescent="0.25">
      <c r="Q211" t="s">
        <v>857</v>
      </c>
      <c r="R211" s="4">
        <f>W150</f>
        <v>0.21081851067789195</v>
      </c>
      <c r="S211" t="s">
        <v>857</v>
      </c>
      <c r="T211" s="4">
        <f>W180</f>
        <v>0.39999999999999991</v>
      </c>
    </row>
    <row r="212" spans="17:20" customFormat="1" x14ac:dyDescent="0.25">
      <c r="Q212" t="s">
        <v>603</v>
      </c>
      <c r="R212" s="4">
        <f>W157</f>
        <v>0.46169025843831935</v>
      </c>
      <c r="S212" t="s">
        <v>603</v>
      </c>
      <c r="T212" s="4">
        <f>W187</f>
        <v>-5.1298917604257706E-2</v>
      </c>
    </row>
    <row r="213" spans="17:20" customFormat="1" x14ac:dyDescent="0.25">
      <c r="Q213" s="102" t="s">
        <v>350</v>
      </c>
      <c r="R213" s="4"/>
    </row>
    <row r="214" spans="17:20" customFormat="1" x14ac:dyDescent="0.25">
      <c r="Q214" t="s">
        <v>855</v>
      </c>
      <c r="R214" s="4">
        <f>W105</f>
        <v>-0.56428809364683474</v>
      </c>
    </row>
    <row r="215" spans="17:20" x14ac:dyDescent="0.25">
      <c r="Q215" t="s">
        <v>856</v>
      </c>
      <c r="R215" s="4">
        <f>W113</f>
        <v>0</v>
      </c>
    </row>
    <row r="216" spans="17:20" x14ac:dyDescent="0.25">
      <c r="Q216" t="s">
        <v>857</v>
      </c>
      <c r="R216" s="4">
        <f>W120</f>
        <v>0.5</v>
      </c>
    </row>
    <row r="217" spans="17:20" x14ac:dyDescent="0.25">
      <c r="Q217" t="s">
        <v>603</v>
      </c>
      <c r="R217" s="4">
        <f>W126</f>
        <v>0.69999999999999984</v>
      </c>
    </row>
  </sheetData>
  <sortState xmlns:xlrd2="http://schemas.microsoft.com/office/spreadsheetml/2017/richdata2" ref="A2:GW75">
    <sortCondition ref="R2:R75"/>
  </sortState>
  <mergeCells count="7">
    <mergeCell ref="Q206:T206"/>
    <mergeCell ref="Z102:AD102"/>
    <mergeCell ref="Z104:AA104"/>
    <mergeCell ref="Z111:AA111"/>
    <mergeCell ref="B102:D102"/>
    <mergeCell ref="F102:G102"/>
    <mergeCell ref="I102:J102"/>
  </mergeCells>
  <phoneticPr fontId="2" type="noConversion"/>
  <conditionalFormatting sqref="F2:N20">
    <cfRule type="containsText" dxfId="3" priority="1" operator="containsText" text="ausgewählt">
      <formula>NOT(ISERROR(SEARCH("ausgewählt",F2)))</formula>
    </cfRule>
  </conditionalFormatting>
  <conditionalFormatting sqref="F22:N75">
    <cfRule type="containsText" dxfId="2" priority="3" operator="containsText" text="ausgewählt">
      <formula>NOT(ISERROR(SEARCH("ausgewählt",F22)))</formula>
    </cfRule>
  </conditionalFormatting>
  <pageMargins left="0.5" right="0.5" top="1" bottom="1" header="0.5" footer="0.5"/>
  <pageSetup paperSize="9" orientation="portrait" useFirstPageNumber="1" r:id="rId1"/>
  <headerFooter>
    <oddHeader>&amp;C&amp;"Times New Roman,Regular"&amp;12&amp;A</oddHeader>
    <oddFooter>&amp;C&amp;"Times New Roman,Regular"&amp;12Page &amp;P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0A717-D8BA-49A8-898B-EF91C4E5C12A}">
  <dimension ref="A1:GW222"/>
  <sheetViews>
    <sheetView tabSelected="1" topLeftCell="AN1" zoomScale="55" zoomScaleNormal="55" workbookViewId="0">
      <pane ySplit="3" topLeftCell="A117" activePane="bottomLeft" state="frozen"/>
      <selection pane="bottomLeft" activeCell="BD146" sqref="BD146"/>
    </sheetView>
  </sheetViews>
  <sheetFormatPr baseColWidth="10" defaultRowHeight="13.2" x14ac:dyDescent="0.25"/>
  <cols>
    <col min="1" max="1" width="8" customWidth="1"/>
    <col min="2" max="2" width="16.6640625" bestFit="1" customWidth="1"/>
    <col min="3" max="3" width="16.6640625" customWidth="1"/>
    <col min="4" max="4" width="10.109375" bestFit="1" customWidth="1"/>
    <col min="5" max="5" width="13.5546875" customWidth="1"/>
    <col min="6" max="6" width="14.6640625" bestFit="1" customWidth="1"/>
    <col min="7" max="7" width="15.109375" bestFit="1" customWidth="1"/>
    <col min="8" max="8" width="21.6640625" bestFit="1" customWidth="1"/>
    <col min="9" max="9" width="15.21875" customWidth="1"/>
    <col min="10" max="10" width="20.6640625" bestFit="1" customWidth="1"/>
    <col min="11" max="11" width="12.6640625" bestFit="1" customWidth="1"/>
    <col min="12" max="12" width="16.109375" customWidth="1"/>
    <col min="13" max="13" width="14.5546875" bestFit="1" customWidth="1"/>
    <col min="14" max="14" width="23.44140625" bestFit="1" customWidth="1"/>
    <col min="15" max="15" width="19.33203125" customWidth="1"/>
    <col min="16" max="16" width="27.109375" customWidth="1"/>
    <col min="17" max="17" width="22.21875" customWidth="1"/>
    <col min="18" max="18" width="31.5546875" bestFit="1" customWidth="1"/>
    <col min="19" max="19" width="13.77734375" bestFit="1" customWidth="1"/>
    <col min="20" max="20" width="14.77734375" bestFit="1" customWidth="1"/>
    <col min="21" max="21" width="13.21875" bestFit="1" customWidth="1"/>
    <col min="22" max="22" width="13.21875" customWidth="1"/>
    <col min="23" max="23" width="14.109375" customWidth="1"/>
    <col min="24" max="24" width="37.21875" customWidth="1"/>
    <col min="25" max="25" width="12.77734375" customWidth="1"/>
    <col min="26" max="26" width="34.88671875" customWidth="1"/>
    <col min="27" max="27" width="19.33203125" customWidth="1"/>
    <col min="28" max="28" width="22.109375" customWidth="1"/>
    <col min="29" max="30" width="8" customWidth="1"/>
    <col min="31" max="31" width="21.44140625" customWidth="1"/>
    <col min="32" max="32" width="12.109375" customWidth="1"/>
    <col min="33" max="33" width="11.33203125" customWidth="1"/>
    <col min="34" max="35" width="11.33203125" style="97" customWidth="1"/>
    <col min="36" max="36" width="11" customWidth="1"/>
    <col min="37" max="37" width="8" customWidth="1"/>
    <col min="38" max="39" width="32" customWidth="1"/>
    <col min="40" max="40" width="8" customWidth="1"/>
    <col min="41" max="42" width="32" customWidth="1"/>
    <col min="43" max="43" width="14.109375" customWidth="1"/>
    <col min="44" max="44" width="8" customWidth="1"/>
    <col min="45" max="45" width="32" customWidth="1"/>
    <col min="46" max="46" width="5.6640625" customWidth="1"/>
    <col min="47" max="47" width="11.44140625" customWidth="1"/>
    <col min="48" max="49" width="8" customWidth="1"/>
    <col min="50" max="50" width="10.77734375" customWidth="1"/>
    <col min="51" max="51" width="10.5546875" customWidth="1"/>
    <col min="52" max="53" width="18.5546875" customWidth="1"/>
    <col min="54" max="54" width="11.33203125" style="97" customWidth="1"/>
    <col min="55" max="55" width="5.44140625" customWidth="1"/>
    <col min="56" max="56" width="8" customWidth="1"/>
    <col min="57" max="58" width="32" customWidth="1"/>
    <col min="59" max="59" width="8" customWidth="1"/>
    <col min="60" max="60" width="1.109375" customWidth="1"/>
    <col min="61" max="61" width="13.77734375" customWidth="1"/>
    <col min="62" max="62" width="17.88671875" customWidth="1"/>
    <col min="63" max="64" width="8" customWidth="1"/>
    <col min="65" max="65" width="25.33203125" customWidth="1"/>
    <col min="66" max="66" width="18.77734375" customWidth="1"/>
    <col min="67" max="67" width="13.5546875" customWidth="1"/>
    <col min="68" max="68" width="6" customWidth="1"/>
    <col min="69" max="69" width="8" customWidth="1"/>
    <col min="70" max="70" width="17.21875" customWidth="1"/>
    <col min="71" max="71" width="20.44140625" customWidth="1"/>
    <col min="72" max="72" width="8" customWidth="1"/>
    <col min="73" max="73" width="37.5546875" customWidth="1"/>
    <col min="74" max="74" width="19.5546875" customWidth="1"/>
    <col min="75" max="75" width="8" customWidth="1"/>
    <col min="76" max="76" width="41.5546875" customWidth="1"/>
    <col min="77" max="79" width="8" customWidth="1"/>
    <col min="80" max="80" width="10.44140625" customWidth="1"/>
    <col min="81" max="81" width="12.6640625" customWidth="1"/>
    <col min="82" max="83" width="12.77734375" customWidth="1"/>
    <col min="84" max="84" width="11.33203125" style="97" customWidth="1"/>
    <col min="85" max="85" width="5.33203125" customWidth="1"/>
    <col min="86" max="86" width="8" customWidth="1"/>
    <col min="87" max="88" width="32" customWidth="1"/>
    <col min="89" max="89" width="8" customWidth="1"/>
    <col min="90" max="90" width="32" customWidth="1"/>
    <col min="91" max="92" width="8" customWidth="1"/>
    <col min="93" max="94" width="32" customWidth="1"/>
    <col min="95" max="95" width="19" customWidth="1"/>
    <col min="96" max="97" width="8" customWidth="1"/>
    <col min="98" max="98" width="11.44140625" customWidth="1"/>
    <col min="99" max="99" width="12.5546875" customWidth="1"/>
    <col min="100" max="101" width="22.5546875" customWidth="1"/>
    <col min="102" max="102" width="11.33203125" style="97" customWidth="1"/>
    <col min="103" max="103" width="7.88671875" customWidth="1"/>
    <col min="104" max="104" width="8" customWidth="1"/>
    <col min="105" max="105" width="15.88671875" customWidth="1"/>
    <col min="106" max="106" width="14.77734375" customWidth="1"/>
    <col min="107" max="107" width="8" customWidth="1"/>
    <col min="108" max="108" width="32" customWidth="1"/>
    <col min="109" max="110" width="8" customWidth="1"/>
    <col min="111" max="112" width="32" customWidth="1"/>
    <col min="113" max="115" width="8" customWidth="1"/>
    <col min="116" max="116" width="8.6640625" customWidth="1"/>
    <col min="117" max="117" width="8.77734375" customWidth="1"/>
    <col min="118" max="119" width="15.33203125" customWidth="1"/>
    <col min="120" max="120" width="11.33203125" style="97" customWidth="1"/>
    <col min="121" max="121" width="5.77734375" customWidth="1"/>
    <col min="122" max="122" width="8" customWidth="1"/>
    <col min="123" max="123" width="14.109375" customWidth="1"/>
    <col min="124" max="124" width="8.88671875" customWidth="1"/>
    <col min="125" max="125" width="8" customWidth="1"/>
    <col min="126" max="126" width="32" customWidth="1"/>
    <col min="127" max="128" width="8" customWidth="1"/>
    <col min="129" max="129" width="32" customWidth="1"/>
    <col min="130" max="130" width="24.77734375" customWidth="1"/>
    <col min="131" max="131" width="13" customWidth="1"/>
    <col min="132" max="133" width="8" customWidth="1"/>
    <col min="134" max="134" width="12.21875" customWidth="1"/>
    <col min="135" max="135" width="14.33203125" customWidth="1"/>
    <col min="136" max="137" width="16.44140625" customWidth="1"/>
    <col min="138" max="138" width="11.33203125" style="97" customWidth="1"/>
    <col min="139" max="139" width="8.77734375" customWidth="1"/>
    <col min="140" max="140" width="10.6640625" customWidth="1"/>
    <col min="141" max="141" width="13.77734375" customWidth="1"/>
    <col min="142" max="142" width="9" customWidth="1"/>
    <col min="143" max="144" width="32" customWidth="1"/>
    <col min="145" max="145" width="17.88671875" customWidth="1"/>
    <col min="146" max="146" width="8" customWidth="1"/>
    <col min="147" max="147" width="32" customWidth="1"/>
    <col min="148" max="148" width="20.21875" customWidth="1"/>
    <col min="149" max="150" width="8" customWidth="1"/>
    <col min="151" max="151" width="23.77734375" customWidth="1"/>
    <col min="152" max="152" width="16.5546875" customWidth="1"/>
    <col min="153" max="154" width="13.44140625" customWidth="1"/>
    <col min="155" max="155" width="11.33203125" style="97" customWidth="1"/>
    <col min="156" max="156" width="8" customWidth="1"/>
    <col min="157" max="157" width="9.21875" customWidth="1"/>
    <col min="158" max="158" width="8.5546875" customWidth="1"/>
    <col min="159" max="159" width="32" customWidth="1"/>
    <col min="160" max="160" width="8" customWidth="1"/>
    <col min="161" max="161" width="32" customWidth="1"/>
    <col min="162" max="163" width="8" customWidth="1"/>
    <col min="164" max="171" width="32" customWidth="1"/>
    <col min="172" max="172" width="8" customWidth="1"/>
    <col min="173" max="175" width="32" customWidth="1"/>
    <col min="177" max="177" width="24.33203125" customWidth="1"/>
    <col min="178" max="179" width="32" customWidth="1"/>
    <col min="180" max="195" width="5" customWidth="1"/>
    <col min="196" max="197" width="20" customWidth="1"/>
    <col min="198" max="198" width="16" customWidth="1"/>
    <col min="199" max="205" width="8" customWidth="1"/>
    <col min="206" max="16384" width="11.5546875" style="10"/>
  </cols>
  <sheetData>
    <row r="1" spans="1:205" x14ac:dyDescent="0.25">
      <c r="A1" s="1">
        <v>120</v>
      </c>
      <c r="B1" s="18" t="s">
        <v>321</v>
      </c>
      <c r="C1" s="18">
        <v>22</v>
      </c>
      <c r="D1" s="2" t="s">
        <v>279</v>
      </c>
      <c r="E1" s="2" t="s">
        <v>320</v>
      </c>
      <c r="F1" s="2" t="s">
        <v>282</v>
      </c>
      <c r="G1" s="2" t="s">
        <v>282</v>
      </c>
      <c r="H1" s="2" t="s">
        <v>282</v>
      </c>
      <c r="I1" s="2" t="s">
        <v>282</v>
      </c>
      <c r="J1" s="2" t="s">
        <v>282</v>
      </c>
      <c r="K1" s="2" t="s">
        <v>281</v>
      </c>
      <c r="L1" s="2" t="s">
        <v>282</v>
      </c>
      <c r="M1" s="2" t="s">
        <v>282</v>
      </c>
      <c r="N1" s="2" t="s">
        <v>282</v>
      </c>
      <c r="O1" s="1">
        <v>0</v>
      </c>
      <c r="P1" s="2"/>
      <c r="Q1" s="2"/>
      <c r="R1" s="2" t="s">
        <v>337</v>
      </c>
      <c r="S1" s="2"/>
      <c r="T1" s="2" t="s">
        <v>338</v>
      </c>
      <c r="U1" s="2"/>
      <c r="V1" s="2" t="s">
        <v>422</v>
      </c>
      <c r="W1" s="2"/>
      <c r="X1" s="2" t="s">
        <v>346</v>
      </c>
      <c r="Y1" s="1">
        <v>0</v>
      </c>
      <c r="Z1" s="2"/>
      <c r="AA1" s="2"/>
      <c r="AB1" s="2" t="s">
        <v>294</v>
      </c>
      <c r="AC1" s="2" t="s">
        <v>331</v>
      </c>
      <c r="AD1" s="1">
        <v>0</v>
      </c>
      <c r="AE1" s="2"/>
      <c r="AF1" s="2"/>
      <c r="AG1" s="2" t="s">
        <v>298</v>
      </c>
      <c r="AH1" s="98" t="s">
        <v>298</v>
      </c>
      <c r="AI1" s="97">
        <f>IF(AH1=AG1,1,"")</f>
        <v>1</v>
      </c>
      <c r="AJ1" s="2" t="s">
        <v>339</v>
      </c>
      <c r="AK1" s="1">
        <v>0</v>
      </c>
      <c r="AL1" s="2"/>
      <c r="AM1" s="2"/>
      <c r="AN1" s="1">
        <v>0</v>
      </c>
      <c r="AO1" s="2"/>
      <c r="AP1" s="2"/>
      <c r="AQ1" s="2" t="s">
        <v>328</v>
      </c>
      <c r="AR1" s="1">
        <v>2</v>
      </c>
      <c r="AS1" s="2" t="s">
        <v>340</v>
      </c>
      <c r="AT1" s="2" t="s">
        <v>341</v>
      </c>
      <c r="AU1" s="2" t="s">
        <v>301</v>
      </c>
      <c r="AV1" s="2" t="s">
        <v>297</v>
      </c>
      <c r="AW1" s="1">
        <v>0</v>
      </c>
      <c r="AX1" s="2"/>
      <c r="AY1" s="2"/>
      <c r="AZ1" s="2" t="s">
        <v>288</v>
      </c>
      <c r="BA1" s="98" t="s">
        <v>288</v>
      </c>
      <c r="BB1" s="97">
        <f>IF(BA1=AZ1,1,"")</f>
        <v>1</v>
      </c>
      <c r="BC1" s="2" t="s">
        <v>339</v>
      </c>
      <c r="BD1" s="1">
        <v>0</v>
      </c>
      <c r="BE1" s="2"/>
      <c r="BF1" s="2"/>
      <c r="BG1" s="1">
        <v>0</v>
      </c>
      <c r="BH1" s="2"/>
      <c r="BI1" s="2" t="s">
        <v>299</v>
      </c>
      <c r="BJ1" s="2" t="s">
        <v>294</v>
      </c>
      <c r="BK1" s="2" t="s">
        <v>297</v>
      </c>
      <c r="BL1" s="1">
        <v>0</v>
      </c>
      <c r="BM1" s="2"/>
      <c r="BN1" s="2"/>
      <c r="BO1" s="2" t="s">
        <v>288</v>
      </c>
      <c r="BP1" s="2" t="s">
        <v>339</v>
      </c>
      <c r="BQ1" s="1">
        <v>0</v>
      </c>
      <c r="BR1" s="2"/>
      <c r="BS1" s="2"/>
      <c r="BT1" s="1">
        <v>0</v>
      </c>
      <c r="BU1" s="2"/>
      <c r="BV1" s="2" t="s">
        <v>296</v>
      </c>
      <c r="BW1" s="1">
        <v>0</v>
      </c>
      <c r="BX1" s="2"/>
      <c r="BY1" s="2" t="s">
        <v>294</v>
      </c>
      <c r="BZ1" s="2" t="s">
        <v>297</v>
      </c>
      <c r="CA1" s="1">
        <v>0</v>
      </c>
      <c r="CB1" s="2"/>
      <c r="CC1" s="2"/>
      <c r="CD1" s="2" t="s">
        <v>288</v>
      </c>
      <c r="CE1" s="97"/>
      <c r="CF1" s="97" t="str">
        <f>IF(CE1=CD1,1,"")</f>
        <v/>
      </c>
      <c r="CG1" s="2" t="s">
        <v>297</v>
      </c>
      <c r="CH1" s="1">
        <v>0</v>
      </c>
      <c r="CI1" s="2"/>
      <c r="CJ1" s="2"/>
      <c r="CK1" s="1">
        <v>0</v>
      </c>
      <c r="CL1" s="2"/>
      <c r="CM1" s="2" t="s">
        <v>299</v>
      </c>
      <c r="CN1" s="1">
        <v>2</v>
      </c>
      <c r="CO1" s="2" t="s">
        <v>342</v>
      </c>
      <c r="CP1" s="2" t="s">
        <v>343</v>
      </c>
      <c r="CQ1" s="2" t="s">
        <v>294</v>
      </c>
      <c r="CR1" s="2" t="s">
        <v>297</v>
      </c>
      <c r="CS1" s="1">
        <v>0</v>
      </c>
      <c r="CT1" s="2"/>
      <c r="CU1" s="2"/>
      <c r="CV1" s="2" t="s">
        <v>298</v>
      </c>
      <c r="CW1" s="98" t="s">
        <v>305</v>
      </c>
      <c r="CX1" s="97" t="str">
        <f>IF(CW1=CV1,1,"")</f>
        <v/>
      </c>
      <c r="CY1" s="2" t="s">
        <v>339</v>
      </c>
      <c r="CZ1" s="1">
        <v>0</v>
      </c>
      <c r="DA1" s="2"/>
      <c r="DB1" s="2"/>
      <c r="DC1" s="1">
        <v>0</v>
      </c>
      <c r="DD1" s="2"/>
      <c r="DE1" s="2" t="s">
        <v>299</v>
      </c>
      <c r="DF1" s="1">
        <v>1</v>
      </c>
      <c r="DG1" s="2" t="s">
        <v>344</v>
      </c>
      <c r="DH1" s="2"/>
      <c r="DI1" s="2" t="s">
        <v>294</v>
      </c>
      <c r="DJ1" s="2" t="s">
        <v>297</v>
      </c>
      <c r="DK1" s="1">
        <v>0</v>
      </c>
      <c r="DL1" s="2"/>
      <c r="DM1" s="2"/>
      <c r="DN1" s="2" t="s">
        <v>288</v>
      </c>
      <c r="DO1" s="98"/>
      <c r="DP1" s="97" t="str">
        <f>IF(DO1=DN1,1,"")</f>
        <v/>
      </c>
      <c r="DQ1" s="2" t="s">
        <v>339</v>
      </c>
      <c r="DR1" s="1">
        <v>0</v>
      </c>
      <c r="DS1" s="2"/>
      <c r="DT1" s="2"/>
      <c r="DU1" s="1">
        <v>0</v>
      </c>
      <c r="DV1" s="2"/>
      <c r="DW1" s="2" t="s">
        <v>299</v>
      </c>
      <c r="DX1" s="1">
        <v>1</v>
      </c>
      <c r="DY1" s="2" t="s">
        <v>345</v>
      </c>
      <c r="DZ1" s="2"/>
      <c r="EA1" s="2" t="s">
        <v>303</v>
      </c>
      <c r="EB1" s="2" t="s">
        <v>331</v>
      </c>
      <c r="EC1" s="1">
        <v>0</v>
      </c>
      <c r="ED1" s="2"/>
      <c r="EE1" s="2"/>
      <c r="EF1" s="2" t="s">
        <v>298</v>
      </c>
      <c r="EG1" s="98" t="s">
        <v>298</v>
      </c>
      <c r="EH1" s="97">
        <f>IF(EG1=EF1,1,"")</f>
        <v>1</v>
      </c>
      <c r="EI1" s="2" t="s">
        <v>331</v>
      </c>
      <c r="EJ1" s="1">
        <v>0</v>
      </c>
      <c r="EK1" s="2"/>
      <c r="EL1" s="2"/>
      <c r="EM1" s="2"/>
      <c r="EN1" s="2"/>
      <c r="EO1" s="2" t="s">
        <v>328</v>
      </c>
      <c r="EP1" s="1">
        <v>1</v>
      </c>
      <c r="EQ1" s="2" t="s">
        <v>345</v>
      </c>
      <c r="ER1" s="2" t="s">
        <v>303</v>
      </c>
      <c r="ES1" s="2" t="s">
        <v>331</v>
      </c>
      <c r="ET1" s="1">
        <v>0</v>
      </c>
      <c r="EU1" s="2"/>
      <c r="EV1" s="2"/>
      <c r="EW1" s="2" t="s">
        <v>298</v>
      </c>
      <c r="EX1" s="98" t="s">
        <v>298</v>
      </c>
      <c r="EY1" s="97">
        <f>IF(EX1=EW1,1,"")</f>
        <v>1</v>
      </c>
      <c r="EZ1" s="1">
        <v>0</v>
      </c>
      <c r="FA1" s="2"/>
      <c r="FB1" s="2"/>
      <c r="FC1" s="2"/>
      <c r="FD1" s="1">
        <v>0</v>
      </c>
      <c r="FE1" s="2"/>
      <c r="FF1" s="2" t="s">
        <v>328</v>
      </c>
      <c r="FG1" s="1">
        <v>0</v>
      </c>
      <c r="FH1" s="2"/>
      <c r="FI1" s="2"/>
      <c r="FJ1" s="2"/>
      <c r="FK1" s="2"/>
      <c r="FL1" s="2"/>
      <c r="FM1" s="2"/>
      <c r="FN1" s="2"/>
      <c r="FO1" s="2"/>
      <c r="FP1" s="1">
        <v>0</v>
      </c>
      <c r="FQ1" s="2"/>
      <c r="FR1" s="2"/>
      <c r="FS1" s="2"/>
      <c r="FU1" s="2" t="s">
        <v>335</v>
      </c>
      <c r="FV1" s="2"/>
      <c r="FW1" s="2"/>
      <c r="FX1" s="1">
        <v>-1</v>
      </c>
      <c r="FY1" s="1">
        <v>-1</v>
      </c>
      <c r="FZ1" s="1">
        <v>-1</v>
      </c>
      <c r="GA1" s="1">
        <v>-1</v>
      </c>
      <c r="GB1" s="1">
        <v>-1</v>
      </c>
      <c r="GC1" s="1">
        <v>-1</v>
      </c>
      <c r="GD1" s="1">
        <v>-1</v>
      </c>
      <c r="GE1" s="1">
        <v>-1</v>
      </c>
      <c r="GF1" s="1">
        <v>-1</v>
      </c>
      <c r="GG1" s="1">
        <v>-1</v>
      </c>
      <c r="GH1" s="1">
        <v>-1</v>
      </c>
      <c r="GI1" s="1">
        <v>-1</v>
      </c>
      <c r="GJ1" s="1">
        <v>-1</v>
      </c>
      <c r="GK1" s="1">
        <v>-1</v>
      </c>
      <c r="GL1" s="1">
        <v>-1</v>
      </c>
      <c r="GM1" s="1">
        <v>-15</v>
      </c>
      <c r="GN1" s="3"/>
      <c r="GO1" s="3"/>
      <c r="GP1" s="2" t="s">
        <v>319</v>
      </c>
      <c r="GQ1" s="2" t="s">
        <v>320</v>
      </c>
      <c r="GR1" s="2" t="s">
        <v>277</v>
      </c>
      <c r="GS1" s="1">
        <v>15</v>
      </c>
      <c r="GT1" s="1">
        <v>15</v>
      </c>
      <c r="GU1" s="1">
        <v>42</v>
      </c>
      <c r="GV1" s="1">
        <v>14</v>
      </c>
      <c r="GW1" s="4"/>
    </row>
    <row r="2" spans="1:205" s="50" customFormat="1" x14ac:dyDescent="0.25">
      <c r="A2" s="55">
        <v>146</v>
      </c>
      <c r="B2" s="56" t="s">
        <v>321</v>
      </c>
      <c r="C2" s="56">
        <v>22</v>
      </c>
      <c r="D2" s="56" t="s">
        <v>353</v>
      </c>
      <c r="E2" s="56" t="s">
        <v>280</v>
      </c>
      <c r="F2" s="56" t="s">
        <v>281</v>
      </c>
      <c r="G2" s="56" t="s">
        <v>282</v>
      </c>
      <c r="H2" s="56" t="s">
        <v>282</v>
      </c>
      <c r="I2" s="56" t="s">
        <v>282</v>
      </c>
      <c r="J2" s="56" t="s">
        <v>282</v>
      </c>
      <c r="K2" s="56" t="s">
        <v>281</v>
      </c>
      <c r="L2" s="56" t="s">
        <v>281</v>
      </c>
      <c r="M2" s="56" t="s">
        <v>281</v>
      </c>
      <c r="N2" s="56" t="s">
        <v>282</v>
      </c>
      <c r="O2" s="55">
        <v>0</v>
      </c>
      <c r="P2" s="56"/>
      <c r="Q2" s="56"/>
      <c r="R2" s="56" t="s">
        <v>337</v>
      </c>
      <c r="S2" s="56"/>
      <c r="T2" s="50" t="s">
        <v>395</v>
      </c>
      <c r="U2" s="56"/>
      <c r="V2" s="56"/>
      <c r="W2" s="56"/>
      <c r="X2" s="56" t="s">
        <v>316</v>
      </c>
      <c r="Y2" s="55"/>
      <c r="Z2" s="56"/>
      <c r="AA2" s="56"/>
      <c r="AB2" s="56"/>
      <c r="AC2" s="56"/>
      <c r="AD2" s="55"/>
      <c r="AE2" s="56"/>
      <c r="AF2" s="56"/>
      <c r="AG2" s="56"/>
      <c r="AH2" s="98"/>
      <c r="AI2" s="97"/>
      <c r="AJ2" s="56"/>
      <c r="AK2" s="55"/>
      <c r="AL2" s="56"/>
      <c r="AM2" s="56"/>
      <c r="AN2" s="55"/>
      <c r="AO2" s="56"/>
      <c r="AP2" s="56"/>
      <c r="AQ2" s="56"/>
      <c r="AR2" s="55"/>
      <c r="AS2" s="56"/>
      <c r="AT2" s="56"/>
      <c r="AU2" s="56"/>
      <c r="AV2" s="56"/>
      <c r="AW2" s="55"/>
      <c r="AX2" s="56"/>
      <c r="AY2" s="56"/>
      <c r="AZ2" s="56"/>
      <c r="BA2" s="98"/>
      <c r="BB2" s="97"/>
      <c r="BC2" s="56"/>
      <c r="BD2" s="55"/>
      <c r="BE2" s="56"/>
      <c r="BF2" s="56"/>
      <c r="BG2" s="55"/>
      <c r="BH2" s="56"/>
      <c r="BI2" s="56"/>
      <c r="BJ2" s="56"/>
      <c r="BK2" s="56"/>
      <c r="BL2" s="55"/>
      <c r="BM2" s="56"/>
      <c r="BN2" s="56"/>
      <c r="BO2" s="56"/>
      <c r="BP2" s="56"/>
      <c r="BQ2" s="55"/>
      <c r="BR2" s="56"/>
      <c r="BS2" s="56"/>
      <c r="BT2" s="55"/>
      <c r="BU2" s="56"/>
      <c r="BV2" s="56"/>
      <c r="BW2" s="55"/>
      <c r="BX2" s="56"/>
      <c r="BY2" s="56"/>
      <c r="BZ2" s="56"/>
      <c r="CA2" s="55"/>
      <c r="CB2" s="56"/>
      <c r="CC2" s="56"/>
      <c r="CD2" s="56"/>
      <c r="CE2" s="97"/>
      <c r="CF2" s="97"/>
      <c r="CG2" s="56"/>
      <c r="CH2" s="55"/>
      <c r="CI2" s="56"/>
      <c r="CJ2" s="56"/>
      <c r="CK2" s="55"/>
      <c r="CL2" s="56"/>
      <c r="CM2" s="56"/>
      <c r="CN2" s="55"/>
      <c r="CO2" s="56"/>
      <c r="CP2" s="56"/>
      <c r="CQ2" s="56"/>
      <c r="CR2" s="56"/>
      <c r="CS2" s="55"/>
      <c r="CT2" s="56"/>
      <c r="CU2" s="56"/>
      <c r="CV2" s="56"/>
      <c r="CW2" s="98"/>
      <c r="CX2" s="97"/>
      <c r="CY2" s="56"/>
      <c r="CZ2" s="55"/>
      <c r="DA2" s="56"/>
      <c r="DB2" s="56"/>
      <c r="DC2" s="55"/>
      <c r="DD2" s="56"/>
      <c r="DE2" s="56"/>
      <c r="DF2" s="55"/>
      <c r="DG2" s="56"/>
      <c r="DH2" s="56"/>
      <c r="DI2" s="56"/>
      <c r="DJ2" s="56"/>
      <c r="DK2" s="55"/>
      <c r="DL2" s="56"/>
      <c r="DM2" s="56"/>
      <c r="DN2" s="56"/>
      <c r="DO2" s="98"/>
      <c r="DP2" s="97"/>
      <c r="DQ2" s="56"/>
      <c r="DR2" s="55"/>
      <c r="DS2" s="56"/>
      <c r="DT2" s="56"/>
      <c r="DU2" s="55"/>
      <c r="DV2" s="56"/>
      <c r="DW2" s="56"/>
      <c r="DX2" s="55"/>
      <c r="DY2" s="56"/>
      <c r="DZ2" s="56"/>
      <c r="EA2" s="56"/>
      <c r="EB2" s="56"/>
      <c r="EC2" s="55"/>
      <c r="ED2" s="56"/>
      <c r="EE2" s="56"/>
      <c r="EF2" s="56"/>
      <c r="EG2" s="98"/>
      <c r="EH2" s="97"/>
      <c r="EI2" s="56"/>
      <c r="EJ2" s="55"/>
      <c r="EK2" s="56"/>
      <c r="EL2" s="56"/>
      <c r="EM2" s="56"/>
      <c r="EN2" s="56"/>
      <c r="EO2" s="56"/>
      <c r="EP2" s="55"/>
      <c r="EQ2" s="56"/>
      <c r="ER2" s="56"/>
      <c r="ES2" s="56"/>
      <c r="ET2" s="55"/>
      <c r="EU2" s="56"/>
      <c r="EV2" s="56"/>
      <c r="EW2" s="56"/>
      <c r="EX2" s="98" t="s">
        <v>305</v>
      </c>
      <c r="EY2" s="97"/>
      <c r="EZ2" s="55"/>
      <c r="FA2" s="56"/>
      <c r="FB2" s="56"/>
      <c r="FC2" s="56"/>
      <c r="FD2" s="55"/>
      <c r="FE2" s="56"/>
      <c r="FF2" s="56"/>
      <c r="FG2" s="55"/>
      <c r="FH2" s="56"/>
      <c r="FI2" s="56"/>
      <c r="FJ2" s="56"/>
      <c r="FK2" s="56"/>
      <c r="FL2" s="56"/>
      <c r="FM2" s="56"/>
      <c r="FN2" s="56"/>
      <c r="FO2" s="56"/>
      <c r="FP2" s="55"/>
      <c r="FQ2" s="56"/>
      <c r="FR2" s="56"/>
      <c r="FS2" s="56"/>
      <c r="FU2" s="56"/>
      <c r="FV2" s="56"/>
      <c r="FW2" s="56"/>
      <c r="FX2" s="55">
        <v>-1</v>
      </c>
      <c r="FY2" s="55">
        <v>-1</v>
      </c>
      <c r="FZ2" s="55">
        <v>-1</v>
      </c>
      <c r="GA2" s="55">
        <v>-1</v>
      </c>
      <c r="GB2" s="55">
        <v>-1</v>
      </c>
      <c r="GC2" s="55"/>
      <c r="GD2" s="55"/>
      <c r="GE2" s="55"/>
      <c r="GF2" s="55"/>
      <c r="GG2" s="55"/>
      <c r="GH2" s="55"/>
      <c r="GI2" s="55"/>
      <c r="GJ2" s="55"/>
      <c r="GK2" s="55"/>
      <c r="GL2" s="55"/>
      <c r="GM2" s="55">
        <v>-5</v>
      </c>
      <c r="GN2" s="57"/>
      <c r="GO2" s="57"/>
      <c r="GP2" s="56"/>
      <c r="GQ2" s="56" t="s">
        <v>277</v>
      </c>
      <c r="GR2" s="56" t="s">
        <v>277</v>
      </c>
      <c r="GS2" s="55">
        <v>5</v>
      </c>
      <c r="GT2" s="55">
        <v>5</v>
      </c>
      <c r="GU2" s="55">
        <v>14</v>
      </c>
      <c r="GV2" s="55">
        <v>1</v>
      </c>
      <c r="GW2" s="58"/>
    </row>
    <row r="3" spans="1:205" x14ac:dyDescent="0.25">
      <c r="A3" s="1">
        <v>166</v>
      </c>
      <c r="B3" s="18" t="s">
        <v>321</v>
      </c>
      <c r="C3" s="18">
        <v>22</v>
      </c>
      <c r="D3" s="2" t="s">
        <v>353</v>
      </c>
      <c r="E3" s="2" t="s">
        <v>422</v>
      </c>
      <c r="F3" s="2" t="s">
        <v>282</v>
      </c>
      <c r="G3" s="2" t="s">
        <v>281</v>
      </c>
      <c r="H3" s="2" t="s">
        <v>282</v>
      </c>
      <c r="I3" s="2" t="s">
        <v>282</v>
      </c>
      <c r="J3" s="2" t="s">
        <v>282</v>
      </c>
      <c r="K3" s="2" t="s">
        <v>281</v>
      </c>
      <c r="L3" s="2" t="s">
        <v>282</v>
      </c>
      <c r="M3" s="2" t="s">
        <v>282</v>
      </c>
      <c r="N3" s="2" t="s">
        <v>282</v>
      </c>
      <c r="O3" s="1">
        <v>1</v>
      </c>
      <c r="P3" s="2"/>
      <c r="Q3" s="2" t="s">
        <v>462</v>
      </c>
      <c r="R3" s="2" t="s">
        <v>337</v>
      </c>
      <c r="S3" s="2"/>
      <c r="T3" s="2" t="s">
        <v>463</v>
      </c>
      <c r="U3" s="2"/>
      <c r="V3" s="2"/>
      <c r="W3" s="2"/>
      <c r="X3" s="2" t="s">
        <v>346</v>
      </c>
      <c r="Y3" s="1">
        <v>0</v>
      </c>
      <c r="Z3" s="2"/>
      <c r="AA3" s="2"/>
      <c r="AB3" s="2" t="s">
        <v>303</v>
      </c>
      <c r="AC3" s="2" t="s">
        <v>331</v>
      </c>
      <c r="AD3" s="1">
        <v>0</v>
      </c>
      <c r="AE3" s="2"/>
      <c r="AF3" s="2"/>
      <c r="AG3" s="2" t="s">
        <v>305</v>
      </c>
      <c r="AH3" s="98" t="s">
        <v>298</v>
      </c>
      <c r="AI3" s="97" t="str">
        <f t="shared" ref="AI3:AI13" si="0">IF(AH3=AG3,1,"")</f>
        <v/>
      </c>
      <c r="AJ3" s="2" t="s">
        <v>297</v>
      </c>
      <c r="AK3" s="1">
        <v>0</v>
      </c>
      <c r="AL3" s="2"/>
      <c r="AM3" s="2"/>
      <c r="AN3" s="1">
        <v>0</v>
      </c>
      <c r="AO3" s="2"/>
      <c r="AP3" s="2"/>
      <c r="AQ3" s="2" t="s">
        <v>296</v>
      </c>
      <c r="AR3" s="1">
        <v>0</v>
      </c>
      <c r="AS3" s="2"/>
      <c r="AT3" s="2"/>
      <c r="AU3" s="2" t="s">
        <v>301</v>
      </c>
      <c r="AV3" s="2" t="s">
        <v>287</v>
      </c>
      <c r="AW3" s="1">
        <v>0</v>
      </c>
      <c r="AX3" s="2"/>
      <c r="AY3" s="2"/>
      <c r="AZ3" s="2" t="s">
        <v>324</v>
      </c>
      <c r="BA3" s="98"/>
      <c r="BC3" s="2" t="s">
        <v>297</v>
      </c>
      <c r="BD3" s="1">
        <v>0</v>
      </c>
      <c r="BE3" s="2"/>
      <c r="BF3" s="2"/>
      <c r="BG3" s="1">
        <v>0</v>
      </c>
      <c r="BH3" s="2"/>
      <c r="BI3" s="2" t="s">
        <v>299</v>
      </c>
      <c r="BJ3" s="2" t="s">
        <v>303</v>
      </c>
      <c r="BK3" s="2" t="s">
        <v>297</v>
      </c>
      <c r="BL3" s="1">
        <v>0</v>
      </c>
      <c r="BM3" s="2"/>
      <c r="BN3" s="2"/>
      <c r="BO3" s="2" t="s">
        <v>305</v>
      </c>
      <c r="BP3" s="2" t="s">
        <v>331</v>
      </c>
      <c r="BQ3" s="1">
        <v>0</v>
      </c>
      <c r="BR3" s="2"/>
      <c r="BS3" s="2"/>
      <c r="BT3" s="1">
        <v>0</v>
      </c>
      <c r="BU3" s="2"/>
      <c r="BV3" s="2" t="s">
        <v>296</v>
      </c>
      <c r="BW3" s="1">
        <v>0</v>
      </c>
      <c r="BX3" s="2"/>
      <c r="BY3" s="2" t="s">
        <v>301</v>
      </c>
      <c r="BZ3" s="2" t="s">
        <v>339</v>
      </c>
      <c r="CA3" s="1">
        <v>0</v>
      </c>
      <c r="CB3" s="2"/>
      <c r="CC3" s="2"/>
      <c r="CD3" s="2" t="s">
        <v>324</v>
      </c>
      <c r="CE3" s="97"/>
      <c r="CG3" s="2" t="s">
        <v>297</v>
      </c>
      <c r="CH3" s="1">
        <v>0</v>
      </c>
      <c r="CI3" s="2"/>
      <c r="CJ3" s="2"/>
      <c r="CK3" s="1">
        <v>0</v>
      </c>
      <c r="CL3" s="2"/>
      <c r="CM3" s="2" t="s">
        <v>296</v>
      </c>
      <c r="CN3" s="1"/>
      <c r="CO3" s="2"/>
      <c r="CP3" s="2"/>
      <c r="CQ3" s="2"/>
      <c r="CR3" s="2"/>
      <c r="CS3" s="1"/>
      <c r="CT3" s="2"/>
      <c r="CU3" s="2"/>
      <c r="CV3" s="2"/>
      <c r="CW3" s="98"/>
      <c r="CY3" s="2"/>
      <c r="CZ3" s="1"/>
      <c r="DA3" s="2"/>
      <c r="DB3" s="2"/>
      <c r="DC3" s="1"/>
      <c r="DD3" s="2"/>
      <c r="DE3" s="2"/>
      <c r="DF3" s="1"/>
      <c r="DG3" s="2"/>
      <c r="DH3" s="2"/>
      <c r="DI3" s="2"/>
      <c r="DJ3" s="2"/>
      <c r="DK3" s="1"/>
      <c r="DL3" s="2"/>
      <c r="DM3" s="2"/>
      <c r="DN3" s="2"/>
      <c r="DO3" s="98"/>
      <c r="DQ3" s="2"/>
      <c r="DR3" s="1"/>
      <c r="DS3" s="2"/>
      <c r="DT3" s="2"/>
      <c r="DU3" s="1"/>
      <c r="DV3" s="2"/>
      <c r="DW3" s="2"/>
      <c r="DX3" s="1"/>
      <c r="DY3" s="2"/>
      <c r="DZ3" s="2"/>
      <c r="EA3" s="2"/>
      <c r="EB3" s="2"/>
      <c r="EC3" s="1"/>
      <c r="ED3" s="2"/>
      <c r="EE3" s="2"/>
      <c r="EF3" s="2"/>
      <c r="EG3" s="98"/>
      <c r="EI3" s="2"/>
      <c r="EJ3" s="1"/>
      <c r="EK3" s="2"/>
      <c r="EL3" s="2"/>
      <c r="EM3" s="2"/>
      <c r="EN3" s="2"/>
      <c r="EO3" s="2"/>
      <c r="EP3" s="1"/>
      <c r="EQ3" s="2"/>
      <c r="ER3" s="2"/>
      <c r="ES3" s="2"/>
      <c r="ET3" s="1"/>
      <c r="EU3" s="2"/>
      <c r="EV3" s="2"/>
      <c r="EW3" s="2"/>
      <c r="EX3" s="98" t="s">
        <v>298</v>
      </c>
      <c r="EZ3" s="1"/>
      <c r="FA3" s="2"/>
      <c r="FB3" s="2"/>
      <c r="FC3" s="2"/>
      <c r="FD3" s="1"/>
      <c r="FE3" s="2"/>
      <c r="FF3" s="2"/>
      <c r="FG3" s="1"/>
      <c r="FH3" s="2"/>
      <c r="FI3" s="2"/>
      <c r="FJ3" s="2"/>
      <c r="FK3" s="2"/>
      <c r="FL3" s="2"/>
      <c r="FM3" s="2"/>
      <c r="FN3" s="2"/>
      <c r="FO3" s="2"/>
      <c r="FP3" s="1"/>
      <c r="FQ3" s="2"/>
      <c r="FR3" s="2"/>
      <c r="FS3" s="2"/>
      <c r="FU3" s="2"/>
      <c r="FV3" s="2"/>
      <c r="FW3" s="2"/>
      <c r="FX3" s="1">
        <v>-1</v>
      </c>
      <c r="FY3" s="1">
        <v>-1</v>
      </c>
      <c r="FZ3" s="1">
        <v>-1</v>
      </c>
      <c r="GA3" s="1">
        <v>-1</v>
      </c>
      <c r="GB3" s="1">
        <v>-1</v>
      </c>
      <c r="GC3" s="1">
        <v>-1</v>
      </c>
      <c r="GD3" s="1">
        <v>-1</v>
      </c>
      <c r="GE3" s="1">
        <v>-1</v>
      </c>
      <c r="GF3" s="1">
        <v>-1</v>
      </c>
      <c r="GG3" s="1"/>
      <c r="GH3" s="1"/>
      <c r="GI3" s="1"/>
      <c r="GJ3" s="1"/>
      <c r="GK3" s="1"/>
      <c r="GL3" s="1"/>
      <c r="GM3" s="1">
        <v>-9</v>
      </c>
      <c r="GN3" s="3"/>
      <c r="GO3" s="3"/>
      <c r="GP3" s="2"/>
      <c r="GQ3" s="2" t="s">
        <v>277</v>
      </c>
      <c r="GR3" s="2" t="s">
        <v>277</v>
      </c>
      <c r="GS3" s="1">
        <v>9</v>
      </c>
      <c r="GT3" s="1">
        <v>9</v>
      </c>
      <c r="GU3" s="1">
        <v>40</v>
      </c>
      <c r="GV3" s="1">
        <v>14</v>
      </c>
      <c r="GW3" s="4"/>
    </row>
    <row r="4" spans="1:205" s="50" customFormat="1" x14ac:dyDescent="0.25">
      <c r="A4" s="56">
        <v>206</v>
      </c>
      <c r="B4" s="56" t="s">
        <v>321</v>
      </c>
      <c r="C4" s="56">
        <v>22</v>
      </c>
      <c r="D4" s="56" t="s">
        <v>279</v>
      </c>
      <c r="E4" s="56" t="s">
        <v>354</v>
      </c>
      <c r="F4" s="56" t="s">
        <v>281</v>
      </c>
      <c r="G4" s="56" t="s">
        <v>281</v>
      </c>
      <c r="H4" s="56" t="s">
        <v>282</v>
      </c>
      <c r="I4" s="56" t="s">
        <v>282</v>
      </c>
      <c r="J4" s="56" t="s">
        <v>281</v>
      </c>
      <c r="K4" s="56" t="s">
        <v>282</v>
      </c>
      <c r="L4" s="56" t="s">
        <v>281</v>
      </c>
      <c r="M4" s="56" t="s">
        <v>281</v>
      </c>
      <c r="N4" s="56" t="s">
        <v>281</v>
      </c>
      <c r="O4" s="56">
        <v>0</v>
      </c>
      <c r="P4" s="56"/>
      <c r="Q4" s="56"/>
      <c r="R4" s="56" t="s">
        <v>337</v>
      </c>
      <c r="S4" s="56"/>
      <c r="T4" s="56" t="s">
        <v>395</v>
      </c>
      <c r="U4" s="56"/>
      <c r="V4" s="56"/>
      <c r="W4" s="56"/>
      <c r="X4" s="56" t="s">
        <v>316</v>
      </c>
      <c r="Y4" s="56">
        <v>1</v>
      </c>
      <c r="Z4" s="56" t="s">
        <v>609</v>
      </c>
      <c r="AA4" s="56"/>
      <c r="AB4" s="56" t="s">
        <v>294</v>
      </c>
      <c r="AC4" s="56" t="s">
        <v>331</v>
      </c>
      <c r="AD4" s="56">
        <v>0</v>
      </c>
      <c r="AE4" s="56"/>
      <c r="AF4" s="56"/>
      <c r="AG4" s="56" t="s">
        <v>305</v>
      </c>
      <c r="AH4" s="98" t="s">
        <v>305</v>
      </c>
      <c r="AI4" s="97">
        <f t="shared" si="0"/>
        <v>1</v>
      </c>
      <c r="AJ4" s="56" t="s">
        <v>331</v>
      </c>
      <c r="AK4" s="56">
        <v>0</v>
      </c>
      <c r="AL4" s="56"/>
      <c r="AM4" s="56"/>
      <c r="AN4" s="56">
        <v>0</v>
      </c>
      <c r="AO4" s="56"/>
      <c r="AP4" s="56"/>
      <c r="AQ4" s="56" t="s">
        <v>328</v>
      </c>
      <c r="AR4" s="56">
        <v>1</v>
      </c>
      <c r="AS4" s="56" t="s">
        <v>357</v>
      </c>
      <c r="AT4" s="56"/>
      <c r="AU4" s="56" t="s">
        <v>301</v>
      </c>
      <c r="AV4" s="56" t="s">
        <v>289</v>
      </c>
      <c r="AW4" s="56">
        <v>0</v>
      </c>
      <c r="AX4" s="56"/>
      <c r="AY4" s="56"/>
      <c r="AZ4" s="56" t="s">
        <v>288</v>
      </c>
      <c r="BA4" s="98" t="s">
        <v>288</v>
      </c>
      <c r="BB4" s="97">
        <f>IF(BA4=AZ4,1,"")</f>
        <v>1</v>
      </c>
      <c r="BC4" s="56" t="s">
        <v>331</v>
      </c>
      <c r="BD4" s="56">
        <v>0</v>
      </c>
      <c r="BE4" s="56"/>
      <c r="BF4" s="56"/>
      <c r="BG4" s="56">
        <v>1</v>
      </c>
      <c r="BH4" s="56" t="s">
        <v>610</v>
      </c>
      <c r="BI4" s="56" t="s">
        <v>299</v>
      </c>
      <c r="BJ4" s="56"/>
      <c r="BK4" s="56"/>
      <c r="BL4" s="56">
        <v>0</v>
      </c>
      <c r="BM4" s="56"/>
      <c r="BN4" s="56"/>
      <c r="BO4" s="56"/>
      <c r="BP4" s="56"/>
      <c r="BQ4" s="56">
        <v>0</v>
      </c>
      <c r="BR4" s="56"/>
      <c r="BS4" s="56"/>
      <c r="BT4" s="56">
        <v>0</v>
      </c>
      <c r="BU4" s="56"/>
      <c r="BV4" s="56"/>
      <c r="BW4" s="56">
        <v>1</v>
      </c>
      <c r="BX4" s="56" t="s">
        <v>611</v>
      </c>
      <c r="BY4" s="56" t="s">
        <v>301</v>
      </c>
      <c r="BZ4" s="56" t="s">
        <v>521</v>
      </c>
      <c r="CA4" s="56">
        <v>0</v>
      </c>
      <c r="CB4" s="56"/>
      <c r="CC4" s="56"/>
      <c r="CD4" s="56" t="s">
        <v>288</v>
      </c>
      <c r="CE4" s="97" t="s">
        <v>288</v>
      </c>
      <c r="CF4" s="97">
        <f>IF(CE4=CD4,1,"")</f>
        <v>1</v>
      </c>
      <c r="CG4" s="56" t="s">
        <v>331</v>
      </c>
      <c r="CH4" s="56">
        <v>0</v>
      </c>
      <c r="CI4" s="56"/>
      <c r="CJ4" s="56"/>
      <c r="CK4" s="56">
        <v>0</v>
      </c>
      <c r="CL4" s="56"/>
      <c r="CM4" s="56" t="s">
        <v>292</v>
      </c>
      <c r="CN4" s="56">
        <v>1</v>
      </c>
      <c r="CO4" s="56" t="s">
        <v>612</v>
      </c>
      <c r="CP4" s="56"/>
      <c r="CQ4" s="56" t="s">
        <v>303</v>
      </c>
      <c r="CR4" s="56" t="s">
        <v>302</v>
      </c>
      <c r="CS4" s="56">
        <v>0</v>
      </c>
      <c r="CT4" s="56"/>
      <c r="CU4" s="56"/>
      <c r="CV4" s="56" t="s">
        <v>298</v>
      </c>
      <c r="CW4" s="98" t="s">
        <v>305</v>
      </c>
      <c r="CX4" s="97" t="str">
        <f>IF(CW4=CV4,1,"")</f>
        <v/>
      </c>
      <c r="CY4" s="56" t="s">
        <v>331</v>
      </c>
      <c r="CZ4" s="56">
        <v>0</v>
      </c>
      <c r="DA4" s="56"/>
      <c r="DB4" s="56"/>
      <c r="DC4" s="56">
        <v>1</v>
      </c>
      <c r="DD4" s="56" t="s">
        <v>613</v>
      </c>
      <c r="DE4" s="56" t="s">
        <v>328</v>
      </c>
      <c r="DF4" s="56">
        <v>1</v>
      </c>
      <c r="DG4" s="56" t="s">
        <v>614</v>
      </c>
      <c r="DH4" s="56"/>
      <c r="DI4" s="56" t="s">
        <v>303</v>
      </c>
      <c r="DJ4" s="56" t="s">
        <v>331</v>
      </c>
      <c r="DK4" s="56">
        <v>0</v>
      </c>
      <c r="DL4" s="56"/>
      <c r="DM4" s="56"/>
      <c r="DN4" s="56" t="s">
        <v>298</v>
      </c>
      <c r="DO4" s="98" t="s">
        <v>298</v>
      </c>
      <c r="DP4" s="97">
        <f>IF(DO4=DN4,1,"")</f>
        <v>1</v>
      </c>
      <c r="DQ4" s="56" t="s">
        <v>331</v>
      </c>
      <c r="DR4" s="56">
        <v>0</v>
      </c>
      <c r="DS4" s="56"/>
      <c r="DT4" s="56"/>
      <c r="DU4" s="56">
        <v>0</v>
      </c>
      <c r="DV4" s="56"/>
      <c r="DW4" s="56" t="s">
        <v>296</v>
      </c>
      <c r="DX4" s="56">
        <v>1</v>
      </c>
      <c r="DY4" s="56" t="s">
        <v>615</v>
      </c>
      <c r="DZ4" s="56"/>
      <c r="EA4" s="56" t="s">
        <v>303</v>
      </c>
      <c r="EB4" s="56" t="s">
        <v>331</v>
      </c>
      <c r="EC4" s="56">
        <v>0</v>
      </c>
      <c r="ED4" s="56"/>
      <c r="EE4" s="56"/>
      <c r="EF4" s="56" t="s">
        <v>298</v>
      </c>
      <c r="EG4" s="98" t="s">
        <v>298</v>
      </c>
      <c r="EH4" s="97">
        <f>IF(EG4=EF4,1,"")</f>
        <v>1</v>
      </c>
      <c r="EI4" s="56" t="s">
        <v>331</v>
      </c>
      <c r="EJ4" s="56">
        <v>0</v>
      </c>
      <c r="EK4" s="56"/>
      <c r="EL4" s="56"/>
      <c r="EM4" s="56"/>
      <c r="EN4" s="56"/>
      <c r="EO4" s="56" t="s">
        <v>296</v>
      </c>
      <c r="EP4" s="56">
        <v>1</v>
      </c>
      <c r="EQ4" s="56" t="s">
        <v>616</v>
      </c>
      <c r="ER4" s="56" t="s">
        <v>294</v>
      </c>
      <c r="ES4" s="56" t="s">
        <v>331</v>
      </c>
      <c r="ET4" s="56">
        <v>0</v>
      </c>
      <c r="EU4" s="56"/>
      <c r="EV4" s="56"/>
      <c r="EW4" s="56" t="s">
        <v>305</v>
      </c>
      <c r="EX4" s="98" t="s">
        <v>305</v>
      </c>
      <c r="EY4" s="97">
        <f>IF(EX4=EW4,1,"")</f>
        <v>1</v>
      </c>
      <c r="EZ4" s="56">
        <v>0</v>
      </c>
      <c r="FA4" s="56"/>
      <c r="FB4" s="56"/>
      <c r="FC4" s="56"/>
      <c r="FD4" s="56">
        <v>0</v>
      </c>
      <c r="FE4" s="56"/>
      <c r="FF4" s="56" t="s">
        <v>299</v>
      </c>
      <c r="FG4" s="56">
        <v>0</v>
      </c>
      <c r="FH4" s="56"/>
      <c r="FI4" s="56"/>
      <c r="FJ4" s="56"/>
      <c r="FK4" s="56"/>
      <c r="FL4" s="56"/>
      <c r="FM4" s="56"/>
      <c r="FN4" s="56"/>
      <c r="FO4" s="56"/>
      <c r="FP4" s="56">
        <v>1</v>
      </c>
      <c r="FQ4" s="56" t="s">
        <v>617</v>
      </c>
      <c r="FR4" s="56"/>
      <c r="FS4" s="56"/>
      <c r="FT4" s="56"/>
      <c r="FU4" s="56" t="s">
        <v>335</v>
      </c>
      <c r="FV4" s="56" t="s">
        <v>618</v>
      </c>
      <c r="FW4" s="56"/>
      <c r="FX4" s="56">
        <v>-1</v>
      </c>
      <c r="FY4" s="56">
        <v>-1</v>
      </c>
      <c r="FZ4" s="56">
        <v>-1</v>
      </c>
      <c r="GA4" s="56">
        <v>-1</v>
      </c>
      <c r="GB4" s="56">
        <v>-1</v>
      </c>
      <c r="GC4" s="56">
        <v>-1</v>
      </c>
      <c r="GD4" s="56">
        <v>-1</v>
      </c>
      <c r="GE4" s="56">
        <v>-1</v>
      </c>
      <c r="GF4" s="56">
        <v>-1</v>
      </c>
      <c r="GG4" s="56">
        <v>-1</v>
      </c>
      <c r="GH4" s="56">
        <v>-1</v>
      </c>
      <c r="GI4" s="56">
        <v>-1</v>
      </c>
      <c r="GJ4" s="56">
        <v>-1</v>
      </c>
      <c r="GK4" s="56">
        <v>-1</v>
      </c>
      <c r="GL4" s="56">
        <v>-1</v>
      </c>
      <c r="GM4" s="56">
        <v>-15</v>
      </c>
      <c r="GN4" s="56"/>
      <c r="GO4" s="56"/>
      <c r="GP4" s="56" t="s">
        <v>319</v>
      </c>
      <c r="GQ4" s="56" t="s">
        <v>320</v>
      </c>
      <c r="GR4" s="56" t="s">
        <v>277</v>
      </c>
      <c r="GS4" s="56">
        <v>15</v>
      </c>
      <c r="GT4" s="56">
        <v>15</v>
      </c>
      <c r="GU4" s="56">
        <v>40</v>
      </c>
      <c r="GV4" s="56">
        <v>15</v>
      </c>
      <c r="GW4" s="56"/>
    </row>
    <row r="5" spans="1:205" s="70" customFormat="1" ht="13.8" thickBot="1" x14ac:dyDescent="0.3">
      <c r="A5" s="59">
        <v>130</v>
      </c>
      <c r="B5" s="60" t="s">
        <v>321</v>
      </c>
      <c r="C5" s="60">
        <v>22</v>
      </c>
      <c r="D5" s="60" t="s">
        <v>353</v>
      </c>
      <c r="E5" s="60" t="s">
        <v>354</v>
      </c>
      <c r="F5" s="60" t="s">
        <v>281</v>
      </c>
      <c r="G5" s="60" t="s">
        <v>281</v>
      </c>
      <c r="H5" s="60" t="s">
        <v>281</v>
      </c>
      <c r="I5" s="60" t="s">
        <v>282</v>
      </c>
      <c r="J5" s="60" t="s">
        <v>282</v>
      </c>
      <c r="K5" s="60" t="s">
        <v>281</v>
      </c>
      <c r="L5" s="60" t="s">
        <v>281</v>
      </c>
      <c r="M5" s="60" t="s">
        <v>281</v>
      </c>
      <c r="N5" s="60" t="s">
        <v>282</v>
      </c>
      <c r="O5" s="59">
        <v>0</v>
      </c>
      <c r="P5" s="60"/>
      <c r="Q5" s="60"/>
      <c r="R5" s="60" t="s">
        <v>355</v>
      </c>
      <c r="S5" s="60"/>
      <c r="T5" s="60"/>
      <c r="U5" s="60" t="s">
        <v>284</v>
      </c>
      <c r="V5" s="60" t="s">
        <v>422</v>
      </c>
      <c r="W5" s="60"/>
      <c r="X5" s="60" t="s">
        <v>316</v>
      </c>
      <c r="Y5" s="59">
        <v>0</v>
      </c>
      <c r="Z5" s="60"/>
      <c r="AA5" s="60"/>
      <c r="AB5" s="60" t="s">
        <v>303</v>
      </c>
      <c r="AC5" s="60" t="s">
        <v>331</v>
      </c>
      <c r="AD5" s="59">
        <v>1</v>
      </c>
      <c r="AE5" s="60" t="s">
        <v>356</v>
      </c>
      <c r="AF5" s="60"/>
      <c r="AG5" s="60" t="s">
        <v>298</v>
      </c>
      <c r="AH5" s="98" t="s">
        <v>305</v>
      </c>
      <c r="AI5" s="97" t="str">
        <f t="shared" si="0"/>
        <v/>
      </c>
      <c r="AJ5" s="60" t="s">
        <v>331</v>
      </c>
      <c r="AK5" s="59">
        <v>0</v>
      </c>
      <c r="AL5" s="60"/>
      <c r="AM5" s="60"/>
      <c r="AN5" s="59">
        <v>0</v>
      </c>
      <c r="AO5" s="60"/>
      <c r="AP5" s="60"/>
      <c r="AQ5" s="60" t="s">
        <v>328</v>
      </c>
      <c r="AR5" s="59">
        <v>1</v>
      </c>
      <c r="AS5" s="60" t="s">
        <v>357</v>
      </c>
      <c r="AT5" s="60"/>
      <c r="AU5" s="60" t="s">
        <v>294</v>
      </c>
      <c r="AV5" s="60" t="s">
        <v>287</v>
      </c>
      <c r="AW5" s="59">
        <v>0</v>
      </c>
      <c r="AX5" s="60"/>
      <c r="AY5" s="60"/>
      <c r="AZ5" s="60" t="s">
        <v>288</v>
      </c>
      <c r="BA5" s="98" t="s">
        <v>840</v>
      </c>
      <c r="BB5" s="97">
        <v>1</v>
      </c>
      <c r="BC5" s="60" t="s">
        <v>287</v>
      </c>
      <c r="BD5" s="59">
        <v>0</v>
      </c>
      <c r="BE5" s="60"/>
      <c r="BF5" s="60"/>
      <c r="BG5" s="59">
        <v>0</v>
      </c>
      <c r="BH5" s="60"/>
      <c r="BI5" s="60" t="s">
        <v>299</v>
      </c>
      <c r="BJ5" s="60"/>
      <c r="BK5" s="60"/>
      <c r="BL5" s="59">
        <v>0</v>
      </c>
      <c r="BM5" s="60"/>
      <c r="BN5" s="60"/>
      <c r="BO5" s="60"/>
      <c r="BP5" s="60"/>
      <c r="BQ5" s="59">
        <v>0</v>
      </c>
      <c r="BR5" s="60"/>
      <c r="BS5" s="60"/>
      <c r="BT5" s="59">
        <v>0</v>
      </c>
      <c r="BU5" s="60"/>
      <c r="BV5" s="60"/>
      <c r="BW5" s="59">
        <v>0</v>
      </c>
      <c r="BX5" s="60"/>
      <c r="BY5" s="60"/>
      <c r="BZ5" s="60"/>
      <c r="CA5" s="59">
        <v>0</v>
      </c>
      <c r="CB5" s="60"/>
      <c r="CC5" s="60"/>
      <c r="CD5" s="60"/>
      <c r="CE5" s="97"/>
      <c r="CF5" s="97"/>
      <c r="CG5" s="60"/>
      <c r="CH5" s="59">
        <v>0</v>
      </c>
      <c r="CI5" s="60"/>
      <c r="CJ5" s="60"/>
      <c r="CK5" s="59">
        <v>0</v>
      </c>
      <c r="CL5" s="60"/>
      <c r="CM5" s="60"/>
      <c r="CN5" s="59">
        <v>2</v>
      </c>
      <c r="CO5" s="60" t="s">
        <v>358</v>
      </c>
      <c r="CP5" s="60" t="s">
        <v>359</v>
      </c>
      <c r="CQ5" s="60" t="s">
        <v>303</v>
      </c>
      <c r="CR5" s="60" t="s">
        <v>297</v>
      </c>
      <c r="CS5" s="59">
        <v>0</v>
      </c>
      <c r="CT5" s="60"/>
      <c r="CU5" s="60"/>
      <c r="CV5" s="60" t="s">
        <v>305</v>
      </c>
      <c r="CW5" s="98" t="s">
        <v>298</v>
      </c>
      <c r="CX5" s="97"/>
      <c r="CY5" s="60" t="s">
        <v>339</v>
      </c>
      <c r="CZ5" s="59">
        <v>0</v>
      </c>
      <c r="DA5" s="60"/>
      <c r="DB5" s="60"/>
      <c r="DC5" s="59">
        <v>0</v>
      </c>
      <c r="DD5" s="60"/>
      <c r="DE5" s="60" t="s">
        <v>299</v>
      </c>
      <c r="DF5" s="59">
        <v>1</v>
      </c>
      <c r="DG5" s="60" t="s">
        <v>360</v>
      </c>
      <c r="DH5" s="60"/>
      <c r="DI5" s="60" t="s">
        <v>301</v>
      </c>
      <c r="DJ5" s="60" t="s">
        <v>339</v>
      </c>
      <c r="DK5" s="59">
        <v>0</v>
      </c>
      <c r="DL5" s="60"/>
      <c r="DM5" s="60"/>
      <c r="DN5" s="60" t="s">
        <v>324</v>
      </c>
      <c r="DO5" s="98" t="s">
        <v>324</v>
      </c>
      <c r="DP5" s="97">
        <f>IF(DO5=DN5,1,"")</f>
        <v>1</v>
      </c>
      <c r="DQ5" s="60" t="s">
        <v>287</v>
      </c>
      <c r="DR5" s="59">
        <v>0</v>
      </c>
      <c r="DS5" s="60"/>
      <c r="DT5" s="60"/>
      <c r="DU5" s="59">
        <v>1</v>
      </c>
      <c r="DV5" s="60" t="s">
        <v>361</v>
      </c>
      <c r="DW5" s="60" t="s">
        <v>299</v>
      </c>
      <c r="DX5" s="59">
        <v>1</v>
      </c>
      <c r="DY5" s="60" t="s">
        <v>362</v>
      </c>
      <c r="DZ5" s="60"/>
      <c r="EA5" s="60" t="s">
        <v>303</v>
      </c>
      <c r="EB5" s="60" t="s">
        <v>331</v>
      </c>
      <c r="EC5" s="59">
        <v>0</v>
      </c>
      <c r="ED5" s="60"/>
      <c r="EE5" s="60"/>
      <c r="EF5" s="60" t="s">
        <v>298</v>
      </c>
      <c r="EG5" s="98" t="s">
        <v>305</v>
      </c>
      <c r="EH5" s="97" t="str">
        <f>IF(EG5=EF5,1,"")</f>
        <v/>
      </c>
      <c r="EI5" s="60" t="s">
        <v>331</v>
      </c>
      <c r="EJ5" s="59">
        <v>0</v>
      </c>
      <c r="EK5" s="60"/>
      <c r="EL5" s="60"/>
      <c r="EM5" s="60"/>
      <c r="EN5" s="60"/>
      <c r="EO5" s="60" t="s">
        <v>299</v>
      </c>
      <c r="EP5" s="59">
        <v>0</v>
      </c>
      <c r="EQ5" s="60"/>
      <c r="ER5" s="60" t="s">
        <v>294</v>
      </c>
      <c r="ES5" s="60" t="s">
        <v>331</v>
      </c>
      <c r="ET5" s="59">
        <v>0</v>
      </c>
      <c r="EU5" s="60"/>
      <c r="EV5" s="60"/>
      <c r="EW5" s="60" t="s">
        <v>298</v>
      </c>
      <c r="EX5" s="98" t="s">
        <v>305</v>
      </c>
      <c r="EY5" s="97" t="str">
        <f>IF(EX5=EW5,1,"")</f>
        <v/>
      </c>
      <c r="EZ5" s="59">
        <v>0</v>
      </c>
      <c r="FA5" s="60"/>
      <c r="FB5" s="60"/>
      <c r="FC5" s="60"/>
      <c r="FD5" s="59">
        <v>0</v>
      </c>
      <c r="FE5" s="60"/>
      <c r="FF5" s="60" t="s">
        <v>299</v>
      </c>
      <c r="FG5" s="59">
        <v>0</v>
      </c>
      <c r="FH5" s="60"/>
      <c r="FI5" s="60"/>
      <c r="FJ5" s="60"/>
      <c r="FK5" s="60"/>
      <c r="FL5" s="60"/>
      <c r="FM5" s="60"/>
      <c r="FN5" s="60"/>
      <c r="FO5" s="60"/>
      <c r="FP5" s="59">
        <v>1</v>
      </c>
      <c r="FQ5" s="60" t="s">
        <v>363</v>
      </c>
      <c r="FR5" s="60"/>
      <c r="FS5" s="60"/>
      <c r="FT5" s="62"/>
      <c r="FU5" s="60" t="s">
        <v>317</v>
      </c>
      <c r="FV5" s="60" t="s">
        <v>364</v>
      </c>
      <c r="FW5" s="60"/>
      <c r="FX5" s="59">
        <v>-1</v>
      </c>
      <c r="FY5" s="59">
        <v>-1</v>
      </c>
      <c r="FZ5" s="59">
        <v>-1</v>
      </c>
      <c r="GA5" s="59">
        <v>-1</v>
      </c>
      <c r="GB5" s="59">
        <v>-1</v>
      </c>
      <c r="GC5" s="59">
        <v>-1</v>
      </c>
      <c r="GD5" s="59">
        <v>-1</v>
      </c>
      <c r="GE5" s="59">
        <v>-1</v>
      </c>
      <c r="GF5" s="59">
        <v>-1</v>
      </c>
      <c r="GG5" s="59">
        <v>-1</v>
      </c>
      <c r="GH5" s="59">
        <v>-1</v>
      </c>
      <c r="GI5" s="59">
        <v>-1</v>
      </c>
      <c r="GJ5" s="59">
        <v>-1</v>
      </c>
      <c r="GK5" s="59">
        <v>-1</v>
      </c>
      <c r="GL5" s="59">
        <v>-1</v>
      </c>
      <c r="GM5" s="59">
        <v>-15</v>
      </c>
      <c r="GN5" s="63"/>
      <c r="GO5" s="63"/>
      <c r="GP5" s="60"/>
      <c r="GQ5" s="60" t="s">
        <v>320</v>
      </c>
      <c r="GR5" s="60" t="s">
        <v>277</v>
      </c>
      <c r="GS5" s="59">
        <v>15</v>
      </c>
      <c r="GT5" s="59">
        <v>15</v>
      </c>
      <c r="GU5" s="59">
        <v>51</v>
      </c>
      <c r="GV5" s="59">
        <v>28</v>
      </c>
      <c r="GW5" s="64"/>
    </row>
    <row r="6" spans="1:205" x14ac:dyDescent="0.25">
      <c r="A6" s="65">
        <v>131</v>
      </c>
      <c r="B6" s="61" t="s">
        <v>321</v>
      </c>
      <c r="C6" s="61">
        <v>22</v>
      </c>
      <c r="D6" s="61" t="s">
        <v>279</v>
      </c>
      <c r="E6" s="61" t="s">
        <v>348</v>
      </c>
      <c r="F6" s="61" t="s">
        <v>281</v>
      </c>
      <c r="G6" s="61" t="s">
        <v>281</v>
      </c>
      <c r="H6" s="61" t="s">
        <v>282</v>
      </c>
      <c r="I6" s="61" t="s">
        <v>282</v>
      </c>
      <c r="J6" s="61" t="s">
        <v>282</v>
      </c>
      <c r="K6" s="61" t="s">
        <v>281</v>
      </c>
      <c r="L6" s="61" t="s">
        <v>281</v>
      </c>
      <c r="M6" s="61" t="s">
        <v>281</v>
      </c>
      <c r="N6" s="61" t="s">
        <v>282</v>
      </c>
      <c r="O6" s="65">
        <v>0</v>
      </c>
      <c r="P6" s="61"/>
      <c r="Q6" s="61"/>
      <c r="R6" s="61" t="s">
        <v>355</v>
      </c>
      <c r="S6" s="61"/>
      <c r="T6" s="61"/>
      <c r="U6" s="61" t="s">
        <v>322</v>
      </c>
      <c r="V6" s="61"/>
      <c r="W6" s="61"/>
      <c r="X6" s="61" t="s">
        <v>316</v>
      </c>
      <c r="Y6" s="65">
        <v>1</v>
      </c>
      <c r="Z6" s="61" t="s">
        <v>365</v>
      </c>
      <c r="AA6" s="61"/>
      <c r="AB6" s="61" t="s">
        <v>294</v>
      </c>
      <c r="AC6" s="61" t="s">
        <v>302</v>
      </c>
      <c r="AD6" s="65">
        <v>0</v>
      </c>
      <c r="AE6" s="61"/>
      <c r="AF6" s="61"/>
      <c r="AG6" s="61" t="s">
        <v>298</v>
      </c>
      <c r="AH6" s="98" t="s">
        <v>305</v>
      </c>
      <c r="AI6" s="97" t="str">
        <f t="shared" si="0"/>
        <v/>
      </c>
      <c r="AJ6" s="61" t="s">
        <v>302</v>
      </c>
      <c r="AK6" s="65">
        <v>0</v>
      </c>
      <c r="AL6" s="61"/>
      <c r="AM6" s="61"/>
      <c r="AN6" s="65">
        <v>0</v>
      </c>
      <c r="AO6" s="61"/>
      <c r="AP6" s="61"/>
      <c r="AQ6" s="61" t="s">
        <v>366</v>
      </c>
      <c r="AR6" s="65">
        <v>1</v>
      </c>
      <c r="AS6" s="61" t="s">
        <v>367</v>
      </c>
      <c r="AT6" s="61"/>
      <c r="AU6" s="61" t="s">
        <v>301</v>
      </c>
      <c r="AV6" s="61" t="s">
        <v>287</v>
      </c>
      <c r="AW6" s="65">
        <v>0</v>
      </c>
      <c r="AX6" s="61"/>
      <c r="AY6" s="61"/>
      <c r="AZ6" s="61" t="s">
        <v>324</v>
      </c>
      <c r="BA6" s="98" t="s">
        <v>324</v>
      </c>
      <c r="BB6" s="97">
        <f>IF(BA6=AZ6,1,"")</f>
        <v>1</v>
      </c>
      <c r="BC6" s="61" t="s">
        <v>297</v>
      </c>
      <c r="BD6" s="65">
        <v>0</v>
      </c>
      <c r="BE6" s="61"/>
      <c r="BF6" s="61"/>
      <c r="BG6" s="65">
        <v>1</v>
      </c>
      <c r="BH6" s="61" t="s">
        <v>368</v>
      </c>
      <c r="BI6" s="61" t="s">
        <v>296</v>
      </c>
      <c r="BJ6" s="61"/>
      <c r="BK6" s="61"/>
      <c r="BL6" s="65">
        <v>0</v>
      </c>
      <c r="BM6" s="61"/>
      <c r="BN6" s="61"/>
      <c r="BO6" s="61"/>
      <c r="BP6" s="61"/>
      <c r="BQ6" s="65">
        <v>0</v>
      </c>
      <c r="BR6" s="61"/>
      <c r="BS6" s="61"/>
      <c r="BT6" s="65">
        <v>0</v>
      </c>
      <c r="BU6" s="61"/>
      <c r="BV6" s="61"/>
      <c r="BW6" s="65">
        <v>1</v>
      </c>
      <c r="BX6" s="61" t="s">
        <v>369</v>
      </c>
      <c r="BY6" s="61" t="s">
        <v>301</v>
      </c>
      <c r="BZ6" s="61" t="s">
        <v>297</v>
      </c>
      <c r="CA6" s="65">
        <v>0</v>
      </c>
      <c r="CB6" s="61"/>
      <c r="CC6" s="61"/>
      <c r="CD6" s="61" t="s">
        <v>288</v>
      </c>
      <c r="CE6" s="97" t="s">
        <v>288</v>
      </c>
      <c r="CF6" s="97">
        <f>IF(CE6=CD6,1,"")</f>
        <v>1</v>
      </c>
      <c r="CG6" s="61" t="s">
        <v>297</v>
      </c>
      <c r="CH6" s="65">
        <v>0</v>
      </c>
      <c r="CI6" s="61"/>
      <c r="CJ6" s="61"/>
      <c r="CK6" s="65">
        <v>0</v>
      </c>
      <c r="CL6" s="61"/>
      <c r="CM6" s="61" t="s">
        <v>328</v>
      </c>
      <c r="CN6" s="65">
        <v>1</v>
      </c>
      <c r="CO6" s="61" t="s">
        <v>370</v>
      </c>
      <c r="CP6" s="61"/>
      <c r="CQ6" s="61" t="s">
        <v>301</v>
      </c>
      <c r="CR6" s="61" t="s">
        <v>302</v>
      </c>
      <c r="CS6" s="65">
        <v>0</v>
      </c>
      <c r="CT6" s="61"/>
      <c r="CU6" s="61"/>
      <c r="CV6" s="61" t="s">
        <v>305</v>
      </c>
      <c r="CW6" s="98" t="s">
        <v>305</v>
      </c>
      <c r="CX6" s="97">
        <f>IF(CW6=CV6,1,"")</f>
        <v>1</v>
      </c>
      <c r="CY6" s="61" t="s">
        <v>302</v>
      </c>
      <c r="CZ6" s="65">
        <v>0</v>
      </c>
      <c r="DA6" s="61"/>
      <c r="DB6" s="61"/>
      <c r="DC6" s="65">
        <v>0</v>
      </c>
      <c r="DD6" s="61"/>
      <c r="DE6" s="61" t="s">
        <v>328</v>
      </c>
      <c r="DF6" s="65">
        <v>2</v>
      </c>
      <c r="DG6" s="61" t="s">
        <v>371</v>
      </c>
      <c r="DH6" s="61" t="s">
        <v>372</v>
      </c>
      <c r="DI6" s="61" t="s">
        <v>294</v>
      </c>
      <c r="DJ6" s="61" t="s">
        <v>302</v>
      </c>
      <c r="DK6" s="65">
        <v>0</v>
      </c>
      <c r="DL6" s="61"/>
      <c r="DM6" s="61"/>
      <c r="DN6" s="61" t="s">
        <v>298</v>
      </c>
      <c r="DO6" s="98" t="s">
        <v>298</v>
      </c>
      <c r="DP6" s="97">
        <f>IF(DO6=DN6,1,"")</f>
        <v>1</v>
      </c>
      <c r="DQ6" s="61" t="s">
        <v>297</v>
      </c>
      <c r="DR6" s="65">
        <v>0</v>
      </c>
      <c r="DS6" s="61"/>
      <c r="DT6" s="61"/>
      <c r="DU6" s="65">
        <v>0</v>
      </c>
      <c r="DV6" s="61"/>
      <c r="DW6" s="61" t="s">
        <v>296</v>
      </c>
      <c r="DX6" s="65">
        <v>1</v>
      </c>
      <c r="DY6" s="61" t="s">
        <v>373</v>
      </c>
      <c r="DZ6" s="61"/>
      <c r="EA6" s="61" t="s">
        <v>294</v>
      </c>
      <c r="EB6" s="61" t="s">
        <v>331</v>
      </c>
      <c r="EC6" s="65">
        <v>0</v>
      </c>
      <c r="ED6" s="61"/>
      <c r="EE6" s="61"/>
      <c r="EF6" s="61" t="s">
        <v>298</v>
      </c>
      <c r="EG6" s="98" t="s">
        <v>298</v>
      </c>
      <c r="EH6" s="97">
        <f>IF(EG6=EF6,1,"")</f>
        <v>1</v>
      </c>
      <c r="EI6" s="61" t="s">
        <v>331</v>
      </c>
      <c r="EJ6" s="65">
        <v>0</v>
      </c>
      <c r="EK6" s="61"/>
      <c r="EL6" s="61"/>
      <c r="EM6" s="61"/>
      <c r="EN6" s="61"/>
      <c r="EO6" s="61" t="s">
        <v>296</v>
      </c>
      <c r="EP6" s="65">
        <v>1</v>
      </c>
      <c r="EQ6" s="61" t="s">
        <v>374</v>
      </c>
      <c r="ER6" s="61" t="s">
        <v>294</v>
      </c>
      <c r="ES6" s="61" t="s">
        <v>331</v>
      </c>
      <c r="ET6" s="65">
        <v>1</v>
      </c>
      <c r="EU6" s="61" t="s">
        <v>302</v>
      </c>
      <c r="EV6" s="61"/>
      <c r="EW6" s="61" t="s">
        <v>305</v>
      </c>
      <c r="EX6" s="98" t="s">
        <v>305</v>
      </c>
      <c r="EY6" s="97">
        <f>IF(EX6=EW6,1,"")</f>
        <v>1</v>
      </c>
      <c r="EZ6" s="65">
        <v>0</v>
      </c>
      <c r="FA6" s="61"/>
      <c r="FB6" s="61"/>
      <c r="FC6" s="61"/>
      <c r="FD6" s="65">
        <v>0</v>
      </c>
      <c r="FE6" s="61"/>
      <c r="FF6" s="61" t="s">
        <v>296</v>
      </c>
      <c r="FG6" s="65">
        <v>0</v>
      </c>
      <c r="FH6" s="61"/>
      <c r="FI6" s="61"/>
      <c r="FJ6" s="61"/>
      <c r="FK6" s="61"/>
      <c r="FL6" s="61"/>
      <c r="FM6" s="61"/>
      <c r="FN6" s="61"/>
      <c r="FO6" s="61"/>
      <c r="FP6" s="65">
        <v>0</v>
      </c>
      <c r="FQ6" s="61"/>
      <c r="FR6" s="61"/>
      <c r="FS6" s="61"/>
      <c r="FT6" s="49"/>
      <c r="FU6" s="61" t="s">
        <v>335</v>
      </c>
      <c r="FV6" s="61" t="s">
        <v>375</v>
      </c>
      <c r="FW6" s="61"/>
      <c r="FX6" s="65">
        <v>-1</v>
      </c>
      <c r="FY6" s="65">
        <v>-1</v>
      </c>
      <c r="FZ6" s="65">
        <v>-1</v>
      </c>
      <c r="GA6" s="65">
        <v>-1</v>
      </c>
      <c r="GB6" s="65">
        <v>-1</v>
      </c>
      <c r="GC6" s="65">
        <v>-1</v>
      </c>
      <c r="GD6" s="65">
        <v>-1</v>
      </c>
      <c r="GE6" s="65">
        <v>-1</v>
      </c>
      <c r="GF6" s="65">
        <v>-1</v>
      </c>
      <c r="GG6" s="65">
        <v>-1</v>
      </c>
      <c r="GH6" s="65">
        <v>-1</v>
      </c>
      <c r="GI6" s="65">
        <v>-1</v>
      </c>
      <c r="GJ6" s="65">
        <v>-1</v>
      </c>
      <c r="GK6" s="65">
        <v>-1</v>
      </c>
      <c r="GL6" s="65">
        <v>-1</v>
      </c>
      <c r="GM6" s="65">
        <v>-15</v>
      </c>
      <c r="GN6" s="66"/>
      <c r="GO6" s="66"/>
      <c r="GP6" s="61" t="s">
        <v>319</v>
      </c>
      <c r="GQ6" s="61" t="s">
        <v>320</v>
      </c>
      <c r="GR6" s="61" t="s">
        <v>277</v>
      </c>
      <c r="GS6" s="65">
        <v>15</v>
      </c>
      <c r="GT6" s="65">
        <v>15</v>
      </c>
      <c r="GU6" s="65">
        <v>41</v>
      </c>
      <c r="GV6" s="65">
        <v>16</v>
      </c>
      <c r="GW6" s="67"/>
    </row>
    <row r="7" spans="1:205" s="62" customFormat="1" ht="13.8" thickBot="1" x14ac:dyDescent="0.3">
      <c r="A7" s="59">
        <v>137</v>
      </c>
      <c r="B7" s="60" t="s">
        <v>321</v>
      </c>
      <c r="C7" s="60">
        <v>22</v>
      </c>
      <c r="D7" s="60" t="s">
        <v>279</v>
      </c>
      <c r="E7" s="60" t="s">
        <v>280</v>
      </c>
      <c r="F7" s="60" t="s">
        <v>281</v>
      </c>
      <c r="G7" s="60" t="s">
        <v>281</v>
      </c>
      <c r="H7" s="60" t="s">
        <v>282</v>
      </c>
      <c r="I7" s="60" t="s">
        <v>282</v>
      </c>
      <c r="J7" s="60" t="s">
        <v>282</v>
      </c>
      <c r="K7" s="60" t="s">
        <v>281</v>
      </c>
      <c r="L7" s="60" t="s">
        <v>281</v>
      </c>
      <c r="M7" s="60" t="s">
        <v>282</v>
      </c>
      <c r="N7" s="60" t="s">
        <v>282</v>
      </c>
      <c r="O7" s="59">
        <v>0</v>
      </c>
      <c r="P7" s="60"/>
      <c r="Q7" s="60"/>
      <c r="R7" s="60" t="s">
        <v>355</v>
      </c>
      <c r="S7" s="60"/>
      <c r="T7" s="60"/>
      <c r="U7" s="60" t="s">
        <v>284</v>
      </c>
      <c r="V7" s="60"/>
      <c r="W7" s="60"/>
      <c r="X7" s="60" t="s">
        <v>393</v>
      </c>
      <c r="Y7" s="59">
        <v>1</v>
      </c>
      <c r="Z7" s="60" t="s">
        <v>386</v>
      </c>
      <c r="AA7" s="60"/>
      <c r="AB7" s="60" t="s">
        <v>294</v>
      </c>
      <c r="AC7" s="60" t="s">
        <v>287</v>
      </c>
      <c r="AD7" s="59">
        <v>1</v>
      </c>
      <c r="AE7" s="60" t="s">
        <v>297</v>
      </c>
      <c r="AF7" s="60"/>
      <c r="AG7" s="60" t="s">
        <v>324</v>
      </c>
      <c r="AH7" s="98" t="s">
        <v>305</v>
      </c>
      <c r="AI7" s="97" t="str">
        <f t="shared" si="0"/>
        <v/>
      </c>
      <c r="AJ7" s="60" t="s">
        <v>302</v>
      </c>
      <c r="AK7" s="59">
        <v>1</v>
      </c>
      <c r="AL7" s="60" t="s">
        <v>387</v>
      </c>
      <c r="AM7" s="60"/>
      <c r="AN7" s="59">
        <v>1</v>
      </c>
      <c r="AO7" s="60" t="s">
        <v>388</v>
      </c>
      <c r="AP7" s="60"/>
      <c r="AQ7" s="60" t="s">
        <v>328</v>
      </c>
      <c r="AR7" s="59">
        <v>1</v>
      </c>
      <c r="AS7" s="60" t="s">
        <v>386</v>
      </c>
      <c r="AT7" s="60"/>
      <c r="AU7" s="60" t="s">
        <v>294</v>
      </c>
      <c r="AV7" s="60" t="s">
        <v>287</v>
      </c>
      <c r="AW7" s="59">
        <v>1</v>
      </c>
      <c r="AX7" s="60" t="s">
        <v>297</v>
      </c>
      <c r="AY7" s="60"/>
      <c r="AZ7" s="60" t="s">
        <v>324</v>
      </c>
      <c r="BA7" s="98" t="s">
        <v>840</v>
      </c>
      <c r="BB7" s="97">
        <v>1</v>
      </c>
      <c r="BC7" s="60" t="s">
        <v>302</v>
      </c>
      <c r="BD7" s="59">
        <v>1</v>
      </c>
      <c r="BE7" s="60" t="s">
        <v>387</v>
      </c>
      <c r="BF7" s="60"/>
      <c r="BG7" s="59">
        <v>1</v>
      </c>
      <c r="BH7" s="60" t="s">
        <v>389</v>
      </c>
      <c r="BI7" s="60" t="s">
        <v>328</v>
      </c>
      <c r="BJ7" s="60"/>
      <c r="BK7" s="60"/>
      <c r="BL7" s="59">
        <v>0</v>
      </c>
      <c r="BM7" s="60"/>
      <c r="BN7" s="60"/>
      <c r="BO7" s="60"/>
      <c r="BP7" s="60"/>
      <c r="BQ7" s="59">
        <v>0</v>
      </c>
      <c r="BR7" s="60"/>
      <c r="BS7" s="60"/>
      <c r="BT7" s="59">
        <v>0</v>
      </c>
      <c r="BU7" s="60"/>
      <c r="BV7" s="60"/>
      <c r="BW7" s="59">
        <v>0</v>
      </c>
      <c r="BX7" s="60"/>
      <c r="BY7" s="60"/>
      <c r="BZ7" s="60"/>
      <c r="CA7" s="59">
        <v>0</v>
      </c>
      <c r="CB7" s="60"/>
      <c r="CC7" s="60"/>
      <c r="CD7" s="60"/>
      <c r="CE7" s="97"/>
      <c r="CF7" s="97"/>
      <c r="CG7" s="60"/>
      <c r="CH7" s="59">
        <v>0</v>
      </c>
      <c r="CI7" s="60"/>
      <c r="CJ7" s="60"/>
      <c r="CK7" s="59">
        <v>0</v>
      </c>
      <c r="CL7" s="60"/>
      <c r="CM7" s="60"/>
      <c r="CN7" s="59">
        <v>0</v>
      </c>
      <c r="CO7" s="60"/>
      <c r="CP7" s="60"/>
      <c r="CQ7" s="60"/>
      <c r="CR7" s="60"/>
      <c r="CS7" s="59">
        <v>0</v>
      </c>
      <c r="CT7" s="60"/>
      <c r="CU7" s="60"/>
      <c r="CV7" s="60"/>
      <c r="CW7" s="98"/>
      <c r="CX7" s="97"/>
      <c r="CY7" s="60"/>
      <c r="CZ7" s="59">
        <v>0</v>
      </c>
      <c r="DA7" s="60"/>
      <c r="DB7" s="60"/>
      <c r="DC7" s="59">
        <v>0</v>
      </c>
      <c r="DD7" s="60"/>
      <c r="DE7" s="60"/>
      <c r="DF7" s="59">
        <v>0</v>
      </c>
      <c r="DG7" s="60"/>
      <c r="DH7" s="60"/>
      <c r="DI7" s="60"/>
      <c r="DJ7" s="60"/>
      <c r="DK7" s="59">
        <v>0</v>
      </c>
      <c r="DL7" s="60"/>
      <c r="DM7" s="60"/>
      <c r="DN7" s="60"/>
      <c r="DO7" s="98"/>
      <c r="DP7" s="97"/>
      <c r="DQ7" s="60"/>
      <c r="DR7" s="59">
        <v>0</v>
      </c>
      <c r="DS7" s="60"/>
      <c r="DT7" s="60"/>
      <c r="DU7" s="59">
        <v>0</v>
      </c>
      <c r="DV7" s="60"/>
      <c r="DW7" s="60"/>
      <c r="DX7" s="59">
        <v>0</v>
      </c>
      <c r="DY7" s="60"/>
      <c r="DZ7" s="60"/>
      <c r="EA7" s="60"/>
      <c r="EB7" s="60"/>
      <c r="EC7" s="59">
        <v>0</v>
      </c>
      <c r="ED7" s="60"/>
      <c r="EE7" s="60"/>
      <c r="EF7" s="60"/>
      <c r="EG7" s="98"/>
      <c r="EH7" s="97"/>
      <c r="EI7" s="60"/>
      <c r="EJ7" s="59">
        <v>0</v>
      </c>
      <c r="EK7" s="60"/>
      <c r="EL7" s="60"/>
      <c r="EM7" s="60"/>
      <c r="EN7" s="60"/>
      <c r="EO7" s="60"/>
      <c r="EP7" s="59">
        <v>0</v>
      </c>
      <c r="EQ7" s="60"/>
      <c r="ER7" s="60"/>
      <c r="ES7" s="60"/>
      <c r="ET7" s="59">
        <v>0</v>
      </c>
      <c r="EU7" s="60"/>
      <c r="EV7" s="60"/>
      <c r="EW7" s="60"/>
      <c r="EX7" s="98"/>
      <c r="EY7" s="97"/>
      <c r="EZ7" s="59">
        <v>0</v>
      </c>
      <c r="FA7" s="60"/>
      <c r="FB7" s="60"/>
      <c r="FC7" s="60"/>
      <c r="FD7" s="59">
        <v>0</v>
      </c>
      <c r="FE7" s="60"/>
      <c r="FF7" s="60"/>
      <c r="FG7" s="59">
        <v>3</v>
      </c>
      <c r="FH7" s="60" t="s">
        <v>390</v>
      </c>
      <c r="FI7" s="60" t="s">
        <v>391</v>
      </c>
      <c r="FJ7" s="60" t="s">
        <v>329</v>
      </c>
      <c r="FK7" s="60"/>
      <c r="FL7" s="60"/>
      <c r="FM7" s="60"/>
      <c r="FN7" s="60"/>
      <c r="FO7" s="60"/>
      <c r="FP7" s="59">
        <v>1</v>
      </c>
      <c r="FQ7" s="60" t="s">
        <v>392</v>
      </c>
      <c r="FR7" s="60"/>
      <c r="FS7" s="60"/>
      <c r="FU7" s="60" t="s">
        <v>351</v>
      </c>
      <c r="FV7" s="60"/>
      <c r="FW7" s="60"/>
      <c r="FX7" s="59">
        <v>-1</v>
      </c>
      <c r="FY7" s="59">
        <v>-1</v>
      </c>
      <c r="FZ7" s="59">
        <v>-1</v>
      </c>
      <c r="GA7" s="59">
        <v>-1</v>
      </c>
      <c r="GB7" s="59">
        <v>-1</v>
      </c>
      <c r="GC7" s="59">
        <v>-1</v>
      </c>
      <c r="GD7" s="59">
        <v>-1</v>
      </c>
      <c r="GE7" s="59">
        <v>-1</v>
      </c>
      <c r="GF7" s="59">
        <v>-1</v>
      </c>
      <c r="GG7" s="59">
        <v>-1</v>
      </c>
      <c r="GH7" s="59">
        <v>-1</v>
      </c>
      <c r="GI7" s="59">
        <v>-1</v>
      </c>
      <c r="GJ7" s="59">
        <v>-1</v>
      </c>
      <c r="GK7" s="59">
        <v>-1</v>
      </c>
      <c r="GL7" s="59">
        <v>-1</v>
      </c>
      <c r="GM7" s="59">
        <v>-15</v>
      </c>
      <c r="GN7" s="63"/>
      <c r="GO7" s="63"/>
      <c r="GP7" s="60"/>
      <c r="GQ7" s="60" t="s">
        <v>320</v>
      </c>
      <c r="GR7" s="60" t="s">
        <v>277</v>
      </c>
      <c r="GS7" s="59">
        <v>15</v>
      </c>
      <c r="GT7" s="59">
        <v>15</v>
      </c>
      <c r="GU7" s="59">
        <v>70</v>
      </c>
      <c r="GV7" s="59">
        <v>62</v>
      </c>
      <c r="GW7" s="64"/>
    </row>
    <row r="8" spans="1:205" s="49" customFormat="1" x14ac:dyDescent="0.25">
      <c r="A8" s="1">
        <v>138</v>
      </c>
      <c r="B8" s="19" t="s">
        <v>321</v>
      </c>
      <c r="C8" s="19">
        <v>22</v>
      </c>
      <c r="D8" s="2" t="s">
        <v>279</v>
      </c>
      <c r="E8" s="2" t="s">
        <v>320</v>
      </c>
      <c r="F8" s="2" t="s">
        <v>282</v>
      </c>
      <c r="G8" s="2" t="s">
        <v>282</v>
      </c>
      <c r="H8" s="2" t="s">
        <v>282</v>
      </c>
      <c r="I8" s="2" t="s">
        <v>282</v>
      </c>
      <c r="J8" s="2" t="s">
        <v>281</v>
      </c>
      <c r="K8" s="2" t="s">
        <v>282</v>
      </c>
      <c r="L8" s="2" t="s">
        <v>282</v>
      </c>
      <c r="M8" s="2" t="s">
        <v>282</v>
      </c>
      <c r="N8" s="2" t="s">
        <v>282</v>
      </c>
      <c r="O8" s="1">
        <v>0</v>
      </c>
      <c r="P8" s="2"/>
      <c r="Q8" s="2"/>
      <c r="R8" s="2" t="s">
        <v>355</v>
      </c>
      <c r="S8" s="2"/>
      <c r="T8" s="2"/>
      <c r="U8" s="2" t="s">
        <v>394</v>
      </c>
      <c r="V8" s="2"/>
      <c r="W8" s="2"/>
      <c r="X8" s="2" t="s">
        <v>346</v>
      </c>
      <c r="Y8" s="1">
        <v>0</v>
      </c>
      <c r="Z8" s="2"/>
      <c r="AA8" s="2"/>
      <c r="AB8" s="2" t="s">
        <v>303</v>
      </c>
      <c r="AC8" s="2" t="s">
        <v>302</v>
      </c>
      <c r="AD8" s="1">
        <v>0</v>
      </c>
      <c r="AE8" s="2"/>
      <c r="AF8" s="2"/>
      <c r="AG8" s="2" t="s">
        <v>298</v>
      </c>
      <c r="AH8" s="98" t="s">
        <v>305</v>
      </c>
      <c r="AI8" s="97" t="str">
        <f t="shared" si="0"/>
        <v/>
      </c>
      <c r="AJ8" s="2" t="s">
        <v>302</v>
      </c>
      <c r="AK8" s="1">
        <v>0</v>
      </c>
      <c r="AL8" s="2"/>
      <c r="AM8" s="2"/>
      <c r="AN8" s="1">
        <v>0</v>
      </c>
      <c r="AO8" s="2"/>
      <c r="AP8" s="2"/>
      <c r="AQ8" s="2" t="s">
        <v>299</v>
      </c>
      <c r="AR8" s="1"/>
      <c r="AS8" s="2"/>
      <c r="AT8" s="2"/>
      <c r="AU8" s="2"/>
      <c r="AV8" s="2"/>
      <c r="AW8" s="1"/>
      <c r="AX8" s="2"/>
      <c r="AY8" s="2"/>
      <c r="AZ8" s="2"/>
      <c r="BA8" s="98"/>
      <c r="BB8" s="97"/>
      <c r="BC8" s="2"/>
      <c r="BD8" s="1"/>
      <c r="BE8" s="2"/>
      <c r="BF8" s="2"/>
      <c r="BG8" s="1"/>
      <c r="BH8" s="2"/>
      <c r="BI8" s="2"/>
      <c r="BJ8" s="2"/>
      <c r="BK8" s="2"/>
      <c r="BL8" s="1"/>
      <c r="BM8" s="2"/>
      <c r="BN8" s="2"/>
      <c r="BO8" s="2"/>
      <c r="BP8" s="2"/>
      <c r="BQ8" s="1"/>
      <c r="BR8" s="2"/>
      <c r="BS8" s="2"/>
      <c r="BT8" s="1"/>
      <c r="BU8" s="2"/>
      <c r="BV8" s="2"/>
      <c r="BW8" s="1"/>
      <c r="BX8" s="2"/>
      <c r="BY8" s="2"/>
      <c r="BZ8" s="2"/>
      <c r="CA8" s="1"/>
      <c r="CB8" s="2"/>
      <c r="CC8" s="2"/>
      <c r="CD8" s="2"/>
      <c r="CE8" s="97"/>
      <c r="CF8" s="97"/>
      <c r="CG8" s="2"/>
      <c r="CH8" s="1"/>
      <c r="CI8" s="2"/>
      <c r="CJ8" s="2"/>
      <c r="CK8" s="1"/>
      <c r="CL8" s="2"/>
      <c r="CM8" s="2"/>
      <c r="CN8" s="1"/>
      <c r="CO8" s="2"/>
      <c r="CP8" s="2"/>
      <c r="CQ8" s="2"/>
      <c r="CR8" s="2"/>
      <c r="CS8" s="1"/>
      <c r="CT8" s="2"/>
      <c r="CU8" s="2"/>
      <c r="CV8" s="2"/>
      <c r="CW8" s="98"/>
      <c r="CX8" s="97"/>
      <c r="CY8" s="2"/>
      <c r="CZ8" s="1"/>
      <c r="DA8" s="2"/>
      <c r="DB8" s="2"/>
      <c r="DC8" s="1"/>
      <c r="DD8" s="2"/>
      <c r="DE8" s="2"/>
      <c r="DF8" s="1"/>
      <c r="DG8" s="2"/>
      <c r="DH8" s="2"/>
      <c r="DI8" s="2"/>
      <c r="DJ8" s="2"/>
      <c r="DK8" s="1"/>
      <c r="DL8" s="2"/>
      <c r="DM8" s="2"/>
      <c r="DN8" s="2"/>
      <c r="DO8" s="98"/>
      <c r="DP8" s="97"/>
      <c r="DQ8" s="2"/>
      <c r="DR8" s="1"/>
      <c r="DS8" s="2"/>
      <c r="DT8" s="2"/>
      <c r="DU8" s="1"/>
      <c r="DV8" s="2"/>
      <c r="DW8" s="2"/>
      <c r="DX8" s="1"/>
      <c r="DY8" s="2"/>
      <c r="DZ8" s="2"/>
      <c r="EA8" s="2"/>
      <c r="EB8" s="2"/>
      <c r="EC8" s="1"/>
      <c r="ED8" s="2"/>
      <c r="EE8" s="2"/>
      <c r="EF8" s="2"/>
      <c r="EG8" s="98"/>
      <c r="EH8" s="97"/>
      <c r="EI8" s="2"/>
      <c r="EJ8" s="1"/>
      <c r="EK8" s="2"/>
      <c r="EL8" s="2"/>
      <c r="EM8" s="2"/>
      <c r="EN8" s="2"/>
      <c r="EO8" s="2"/>
      <c r="EP8" s="1"/>
      <c r="EQ8" s="2"/>
      <c r="ER8" s="2"/>
      <c r="ES8" s="2"/>
      <c r="ET8" s="1"/>
      <c r="EU8" s="2"/>
      <c r="EV8" s="2"/>
      <c r="EW8" s="2"/>
      <c r="EX8" s="98"/>
      <c r="EY8" s="97"/>
      <c r="EZ8" s="1"/>
      <c r="FA8" s="2"/>
      <c r="FB8" s="2"/>
      <c r="FC8" s="2"/>
      <c r="FD8" s="1"/>
      <c r="FE8" s="2"/>
      <c r="FF8" s="2"/>
      <c r="FG8" s="1"/>
      <c r="FH8" s="2"/>
      <c r="FI8" s="2"/>
      <c r="FJ8" s="2"/>
      <c r="FK8" s="2"/>
      <c r="FL8" s="2"/>
      <c r="FM8" s="2"/>
      <c r="FN8" s="2"/>
      <c r="FO8" s="2"/>
      <c r="FP8" s="1"/>
      <c r="FQ8" s="2"/>
      <c r="FR8" s="2"/>
      <c r="FS8" s="2"/>
      <c r="FT8"/>
      <c r="FU8" s="2"/>
      <c r="FV8" s="2"/>
      <c r="FW8" s="2"/>
      <c r="FX8" s="1">
        <v>-1</v>
      </c>
      <c r="FY8" s="1">
        <v>-1</v>
      </c>
      <c r="FZ8" s="1">
        <v>-1</v>
      </c>
      <c r="GA8" s="1">
        <v>-1</v>
      </c>
      <c r="GB8" s="1">
        <v>-1</v>
      </c>
      <c r="GC8" s="1">
        <v>-1</v>
      </c>
      <c r="GD8" s="1">
        <v>-1</v>
      </c>
      <c r="GE8" s="1"/>
      <c r="GF8" s="1"/>
      <c r="GG8" s="1"/>
      <c r="GH8" s="1"/>
      <c r="GI8" s="1"/>
      <c r="GJ8" s="1"/>
      <c r="GK8" s="1"/>
      <c r="GL8" s="1"/>
      <c r="GM8" s="1">
        <v>-7</v>
      </c>
      <c r="GN8" s="3"/>
      <c r="GO8" s="3"/>
      <c r="GP8" s="2"/>
      <c r="GQ8" s="2" t="s">
        <v>277</v>
      </c>
      <c r="GR8" s="2" t="s">
        <v>277</v>
      </c>
      <c r="GS8" s="1">
        <v>7</v>
      </c>
      <c r="GT8" s="1">
        <v>7</v>
      </c>
      <c r="GU8" s="1">
        <v>35</v>
      </c>
      <c r="GV8" s="1">
        <v>11</v>
      </c>
      <c r="GW8" s="4"/>
    </row>
    <row r="9" spans="1:205" s="40" customFormat="1" x14ac:dyDescent="0.25">
      <c r="A9" s="65">
        <v>161</v>
      </c>
      <c r="B9" s="61" t="s">
        <v>321</v>
      </c>
      <c r="C9" s="61">
        <v>22</v>
      </c>
      <c r="D9" s="61" t="s">
        <v>353</v>
      </c>
      <c r="E9" s="61" t="s">
        <v>377</v>
      </c>
      <c r="F9" s="61" t="s">
        <v>281</v>
      </c>
      <c r="G9" s="61" t="s">
        <v>281</v>
      </c>
      <c r="H9" s="61" t="s">
        <v>282</v>
      </c>
      <c r="I9" s="61" t="s">
        <v>282</v>
      </c>
      <c r="J9" s="61" t="s">
        <v>282</v>
      </c>
      <c r="K9" s="61" t="s">
        <v>281</v>
      </c>
      <c r="L9" s="61" t="s">
        <v>282</v>
      </c>
      <c r="M9" s="61" t="s">
        <v>282</v>
      </c>
      <c r="N9" s="61" t="s">
        <v>282</v>
      </c>
      <c r="O9" s="65">
        <v>0</v>
      </c>
      <c r="P9" s="61"/>
      <c r="Q9" s="61"/>
      <c r="R9" s="61" t="s">
        <v>355</v>
      </c>
      <c r="S9" s="61"/>
      <c r="T9" s="61"/>
      <c r="U9" s="61" t="s">
        <v>322</v>
      </c>
      <c r="V9" s="61"/>
      <c r="W9" s="61"/>
      <c r="X9" s="61" t="s">
        <v>346</v>
      </c>
      <c r="Y9" s="65">
        <v>0</v>
      </c>
      <c r="Z9" s="61"/>
      <c r="AA9" s="61"/>
      <c r="AB9" s="61"/>
      <c r="AC9" s="61"/>
      <c r="AD9" s="65">
        <v>0</v>
      </c>
      <c r="AE9" s="61"/>
      <c r="AF9" s="61"/>
      <c r="AG9" s="61"/>
      <c r="AH9" s="98" t="s">
        <v>305</v>
      </c>
      <c r="AI9" s="97" t="str">
        <f t="shared" si="0"/>
        <v/>
      </c>
      <c r="AJ9" s="61"/>
      <c r="AK9" s="65">
        <v>0</v>
      </c>
      <c r="AL9" s="61"/>
      <c r="AM9" s="61"/>
      <c r="AN9" s="65">
        <v>0</v>
      </c>
      <c r="AO9" s="61"/>
      <c r="AP9" s="61"/>
      <c r="AQ9" s="61"/>
      <c r="AR9" s="65"/>
      <c r="AS9" s="61"/>
      <c r="AT9" s="61"/>
      <c r="AU9" s="61"/>
      <c r="AV9" s="61"/>
      <c r="AW9" s="65"/>
      <c r="AX9" s="61"/>
      <c r="AY9" s="61"/>
      <c r="AZ9" s="61"/>
      <c r="BA9" s="98"/>
      <c r="BB9" s="97"/>
      <c r="BC9" s="61"/>
      <c r="BD9" s="65"/>
      <c r="BE9" s="61"/>
      <c r="BF9" s="61"/>
      <c r="BG9" s="65"/>
      <c r="BH9" s="61"/>
      <c r="BI9" s="61"/>
      <c r="BJ9" s="61"/>
      <c r="BK9" s="61"/>
      <c r="BL9" s="65"/>
      <c r="BM9" s="61"/>
      <c r="BN9" s="61"/>
      <c r="BO9" s="61"/>
      <c r="BP9" s="61"/>
      <c r="BQ9" s="65"/>
      <c r="BR9" s="61"/>
      <c r="BS9" s="61"/>
      <c r="BT9" s="65"/>
      <c r="BU9" s="61"/>
      <c r="BV9" s="61"/>
      <c r="BW9" s="65"/>
      <c r="BX9" s="61"/>
      <c r="BY9" s="61"/>
      <c r="BZ9" s="61"/>
      <c r="CA9" s="65"/>
      <c r="CB9" s="61"/>
      <c r="CC9" s="61"/>
      <c r="CD9" s="61"/>
      <c r="CE9" s="97"/>
      <c r="CF9" s="97"/>
      <c r="CG9" s="61"/>
      <c r="CH9" s="65"/>
      <c r="CI9" s="61"/>
      <c r="CJ9" s="61"/>
      <c r="CK9" s="65"/>
      <c r="CL9" s="61"/>
      <c r="CM9" s="61"/>
      <c r="CN9" s="65"/>
      <c r="CO9" s="61"/>
      <c r="CP9" s="61"/>
      <c r="CQ9" s="61"/>
      <c r="CR9" s="61"/>
      <c r="CS9" s="65"/>
      <c r="CT9" s="61"/>
      <c r="CU9" s="61"/>
      <c r="CV9" s="61"/>
      <c r="CW9" s="98"/>
      <c r="CX9" s="97"/>
      <c r="CY9" s="61"/>
      <c r="CZ9" s="65"/>
      <c r="DA9" s="61"/>
      <c r="DB9" s="61"/>
      <c r="DC9" s="65"/>
      <c r="DD9" s="61"/>
      <c r="DE9" s="61"/>
      <c r="DF9" s="65"/>
      <c r="DG9" s="61"/>
      <c r="DH9" s="61"/>
      <c r="DI9" s="61"/>
      <c r="DJ9" s="61"/>
      <c r="DK9" s="65"/>
      <c r="DL9" s="61"/>
      <c r="DM9" s="61"/>
      <c r="DN9" s="61"/>
      <c r="DO9" s="98"/>
      <c r="DP9" s="97"/>
      <c r="DQ9" s="61"/>
      <c r="DR9" s="65"/>
      <c r="DS9" s="61"/>
      <c r="DT9" s="61"/>
      <c r="DU9" s="65"/>
      <c r="DV9" s="61"/>
      <c r="DW9" s="61"/>
      <c r="DX9" s="65"/>
      <c r="DY9" s="61"/>
      <c r="DZ9" s="61"/>
      <c r="EA9" s="61"/>
      <c r="EB9" s="61"/>
      <c r="EC9" s="65"/>
      <c r="ED9" s="61"/>
      <c r="EE9" s="61"/>
      <c r="EF9" s="61"/>
      <c r="EG9" s="98"/>
      <c r="EH9" s="97"/>
      <c r="EI9" s="61"/>
      <c r="EJ9" s="65"/>
      <c r="EK9" s="61"/>
      <c r="EL9" s="61"/>
      <c r="EM9" s="61"/>
      <c r="EN9" s="61"/>
      <c r="EO9" s="61"/>
      <c r="EP9" s="65"/>
      <c r="EQ9" s="61"/>
      <c r="ER9" s="61"/>
      <c r="ES9" s="61"/>
      <c r="ET9" s="65"/>
      <c r="EU9" s="61"/>
      <c r="EV9" s="61"/>
      <c r="EW9" s="61"/>
      <c r="EX9" s="98"/>
      <c r="EY9" s="97"/>
      <c r="EZ9" s="65"/>
      <c r="FA9" s="61"/>
      <c r="FB9" s="61"/>
      <c r="FC9" s="61"/>
      <c r="FD9" s="65"/>
      <c r="FE9" s="61"/>
      <c r="FF9" s="61"/>
      <c r="FG9" s="65"/>
      <c r="FH9" s="61"/>
      <c r="FI9" s="61"/>
      <c r="FJ9" s="61"/>
      <c r="FK9" s="61"/>
      <c r="FL9" s="61"/>
      <c r="FM9" s="61"/>
      <c r="FN9" s="61"/>
      <c r="FO9" s="61"/>
      <c r="FP9" s="65"/>
      <c r="FQ9" s="61"/>
      <c r="FR9" s="61"/>
      <c r="FS9" s="61"/>
      <c r="FT9" s="49"/>
      <c r="FU9" s="61"/>
      <c r="FV9" s="61"/>
      <c r="FW9" s="61"/>
      <c r="FX9" s="65">
        <v>-1</v>
      </c>
      <c r="FY9" s="65">
        <v>-1</v>
      </c>
      <c r="FZ9" s="65">
        <v>-1</v>
      </c>
      <c r="GA9" s="65">
        <v>-1</v>
      </c>
      <c r="GB9" s="65">
        <v>-1</v>
      </c>
      <c r="GC9" s="65">
        <v>-1</v>
      </c>
      <c r="GD9" s="65"/>
      <c r="GE9" s="65"/>
      <c r="GF9" s="65"/>
      <c r="GG9" s="65"/>
      <c r="GH9" s="65"/>
      <c r="GI9" s="65"/>
      <c r="GJ9" s="65"/>
      <c r="GK9" s="65"/>
      <c r="GL9" s="65"/>
      <c r="GM9" s="65">
        <v>-6</v>
      </c>
      <c r="GN9" s="66"/>
      <c r="GO9" s="66"/>
      <c r="GP9" s="61"/>
      <c r="GQ9" s="61" t="s">
        <v>277</v>
      </c>
      <c r="GR9" s="61" t="s">
        <v>277</v>
      </c>
      <c r="GS9" s="65">
        <v>6</v>
      </c>
      <c r="GT9" s="65">
        <v>6</v>
      </c>
      <c r="GU9" s="65">
        <v>65</v>
      </c>
      <c r="GV9" s="65">
        <v>50</v>
      </c>
      <c r="GW9" s="67"/>
    </row>
    <row r="10" spans="1:205" customFormat="1" x14ac:dyDescent="0.25">
      <c r="A10" s="65">
        <v>242</v>
      </c>
      <c r="B10" s="61" t="s">
        <v>321</v>
      </c>
      <c r="C10" s="61">
        <v>22</v>
      </c>
      <c r="D10" s="61" t="s">
        <v>353</v>
      </c>
      <c r="E10" s="61" t="s">
        <v>377</v>
      </c>
      <c r="F10" s="61" t="s">
        <v>281</v>
      </c>
      <c r="G10" s="61" t="s">
        <v>281</v>
      </c>
      <c r="H10" s="61" t="s">
        <v>282</v>
      </c>
      <c r="I10" s="61" t="s">
        <v>282</v>
      </c>
      <c r="J10" s="61" t="s">
        <v>282</v>
      </c>
      <c r="K10" s="61" t="s">
        <v>281</v>
      </c>
      <c r="L10" s="61" t="s">
        <v>282</v>
      </c>
      <c r="M10" s="61" t="s">
        <v>282</v>
      </c>
      <c r="N10" s="61" t="s">
        <v>282</v>
      </c>
      <c r="O10" s="65">
        <v>0</v>
      </c>
      <c r="P10" s="61"/>
      <c r="Q10" s="61"/>
      <c r="R10" s="61" t="s">
        <v>355</v>
      </c>
      <c r="S10" s="61"/>
      <c r="T10" s="61"/>
      <c r="U10" s="61" t="s">
        <v>322</v>
      </c>
      <c r="V10" s="61"/>
      <c r="W10" s="61"/>
      <c r="X10" s="61" t="s">
        <v>346</v>
      </c>
      <c r="Y10" s="65">
        <v>1</v>
      </c>
      <c r="Z10" s="61" t="s">
        <v>453</v>
      </c>
      <c r="AA10" s="61"/>
      <c r="AB10" s="61" t="s">
        <v>303</v>
      </c>
      <c r="AC10" s="61" t="s">
        <v>331</v>
      </c>
      <c r="AD10" s="65">
        <v>0</v>
      </c>
      <c r="AE10" s="61"/>
      <c r="AF10" s="61"/>
      <c r="AG10" s="61" t="s">
        <v>305</v>
      </c>
      <c r="AH10" s="98" t="s">
        <v>305</v>
      </c>
      <c r="AI10" s="97">
        <f t="shared" si="0"/>
        <v>1</v>
      </c>
      <c r="AJ10" s="61" t="s">
        <v>331</v>
      </c>
      <c r="AK10" s="65">
        <v>0</v>
      </c>
      <c r="AL10" s="49"/>
      <c r="AM10" s="61"/>
      <c r="AN10" s="65">
        <v>0</v>
      </c>
      <c r="AO10" s="61"/>
      <c r="AP10" s="61"/>
      <c r="AQ10" s="61" t="s">
        <v>292</v>
      </c>
      <c r="AR10" s="65">
        <v>1</v>
      </c>
      <c r="AS10" s="61" t="s">
        <v>722</v>
      </c>
      <c r="AT10" s="61"/>
      <c r="AU10" s="61" t="s">
        <v>301</v>
      </c>
      <c r="AV10" s="61" t="s">
        <v>287</v>
      </c>
      <c r="AW10" s="65">
        <v>0</v>
      </c>
      <c r="AX10" s="61"/>
      <c r="AY10" s="61"/>
      <c r="AZ10" s="61" t="s">
        <v>324</v>
      </c>
      <c r="BA10" s="98" t="s">
        <v>840</v>
      </c>
      <c r="BB10" s="97">
        <v>1</v>
      </c>
      <c r="BC10" s="61" t="s">
        <v>302</v>
      </c>
      <c r="BD10" s="65">
        <v>0</v>
      </c>
      <c r="BE10" s="61"/>
      <c r="BF10" s="61"/>
      <c r="BG10" s="65">
        <v>1</v>
      </c>
      <c r="BH10" s="61" t="s">
        <v>723</v>
      </c>
      <c r="BI10" s="61" t="s">
        <v>292</v>
      </c>
      <c r="BJ10" s="61" t="s">
        <v>294</v>
      </c>
      <c r="BK10" s="61" t="s">
        <v>297</v>
      </c>
      <c r="BL10" s="65">
        <v>0</v>
      </c>
      <c r="BM10" s="61"/>
      <c r="BN10" s="61"/>
      <c r="BO10" s="61" t="s">
        <v>324</v>
      </c>
      <c r="BP10" s="61" t="s">
        <v>302</v>
      </c>
      <c r="BQ10" s="65">
        <v>0</v>
      </c>
      <c r="BR10" s="61"/>
      <c r="BS10" s="61"/>
      <c r="BT10" s="65">
        <v>0</v>
      </c>
      <c r="BU10" s="61"/>
      <c r="BV10" s="61" t="s">
        <v>296</v>
      </c>
      <c r="BW10" s="65">
        <v>1</v>
      </c>
      <c r="BX10" s="61" t="s">
        <v>588</v>
      </c>
      <c r="BY10" s="61" t="s">
        <v>294</v>
      </c>
      <c r="BZ10" s="61" t="s">
        <v>297</v>
      </c>
      <c r="CA10" s="65">
        <v>0</v>
      </c>
      <c r="CB10" s="61"/>
      <c r="CC10" s="61"/>
      <c r="CD10" s="61" t="s">
        <v>288</v>
      </c>
      <c r="CE10" s="97" t="s">
        <v>288</v>
      </c>
      <c r="CF10" s="97">
        <f>IF(CE10=CD10,1,"")</f>
        <v>1</v>
      </c>
      <c r="CG10" s="61" t="s">
        <v>297</v>
      </c>
      <c r="CH10" s="65">
        <v>0</v>
      </c>
      <c r="CI10" s="61"/>
      <c r="CJ10" s="61"/>
      <c r="CK10" s="65">
        <v>0</v>
      </c>
      <c r="CL10" s="61"/>
      <c r="CM10" s="61" t="s">
        <v>299</v>
      </c>
      <c r="CN10" s="65">
        <v>1</v>
      </c>
      <c r="CO10" s="61" t="s">
        <v>359</v>
      </c>
      <c r="CP10" s="61"/>
      <c r="CQ10" s="61" t="s">
        <v>303</v>
      </c>
      <c r="CR10" s="61" t="s">
        <v>297</v>
      </c>
      <c r="CS10" s="65">
        <v>0</v>
      </c>
      <c r="CT10" s="61"/>
      <c r="CU10" s="61"/>
      <c r="CV10" s="61" t="s">
        <v>305</v>
      </c>
      <c r="CW10" s="98" t="s">
        <v>305</v>
      </c>
      <c r="CX10" s="97">
        <f>IF(CW10=CV10,1,"")</f>
        <v>1</v>
      </c>
      <c r="CY10" s="61" t="s">
        <v>297</v>
      </c>
      <c r="CZ10" s="65">
        <v>0</v>
      </c>
      <c r="DA10" s="61"/>
      <c r="DB10" s="61"/>
      <c r="DC10" s="65">
        <v>0</v>
      </c>
      <c r="DD10" s="61"/>
      <c r="DE10" s="61" t="s">
        <v>299</v>
      </c>
      <c r="DF10" s="65">
        <v>1</v>
      </c>
      <c r="DG10" s="61" t="s">
        <v>372</v>
      </c>
      <c r="DH10" s="61"/>
      <c r="DI10" s="61" t="s">
        <v>303</v>
      </c>
      <c r="DJ10" s="61" t="s">
        <v>302</v>
      </c>
      <c r="DK10" s="65">
        <v>0</v>
      </c>
      <c r="DL10" s="61"/>
      <c r="DM10" s="61"/>
      <c r="DN10" s="61" t="s">
        <v>288</v>
      </c>
      <c r="DO10" s="98" t="s">
        <v>288</v>
      </c>
      <c r="DP10" s="97">
        <f>IF(DO10=DN10,1,"")</f>
        <v>1</v>
      </c>
      <c r="DQ10" s="61" t="s">
        <v>302</v>
      </c>
      <c r="DR10" s="65">
        <v>0</v>
      </c>
      <c r="DS10" s="61"/>
      <c r="DT10" s="61"/>
      <c r="DU10" s="65">
        <v>0</v>
      </c>
      <c r="DV10" s="61"/>
      <c r="DW10" s="61" t="s">
        <v>299</v>
      </c>
      <c r="DX10" s="65">
        <v>1</v>
      </c>
      <c r="DY10" s="61" t="s">
        <v>724</v>
      </c>
      <c r="DZ10" s="61"/>
      <c r="EA10" s="61" t="s">
        <v>303</v>
      </c>
      <c r="EB10" s="61" t="s">
        <v>331</v>
      </c>
      <c r="EC10" s="65">
        <v>0</v>
      </c>
      <c r="ED10" s="61"/>
      <c r="EE10" s="61"/>
      <c r="EF10" s="61" t="s">
        <v>298</v>
      </c>
      <c r="EG10" s="98" t="s">
        <v>305</v>
      </c>
      <c r="EH10" s="97" t="str">
        <f>IF(EG10=EF10,1,"")</f>
        <v/>
      </c>
      <c r="EI10" s="61" t="s">
        <v>331</v>
      </c>
      <c r="EJ10" s="65">
        <v>0</v>
      </c>
      <c r="EK10" s="61"/>
      <c r="EL10" s="61"/>
      <c r="EM10" s="61" t="s">
        <v>725</v>
      </c>
      <c r="EN10" s="61"/>
      <c r="EO10" s="61" t="s">
        <v>328</v>
      </c>
      <c r="EP10" s="65">
        <v>1</v>
      </c>
      <c r="EQ10" s="61" t="s">
        <v>726</v>
      </c>
      <c r="ER10" s="61" t="s">
        <v>303</v>
      </c>
      <c r="ES10" s="61" t="s">
        <v>331</v>
      </c>
      <c r="ET10" s="65">
        <v>0</v>
      </c>
      <c r="EU10" s="61"/>
      <c r="EV10" s="61"/>
      <c r="EW10" s="61" t="s">
        <v>305</v>
      </c>
      <c r="EX10" s="98" t="s">
        <v>305</v>
      </c>
      <c r="EY10" s="97">
        <f>IF(EX10=EW10,1,"")</f>
        <v>1</v>
      </c>
      <c r="EZ10" s="65">
        <v>0</v>
      </c>
      <c r="FA10" s="61"/>
      <c r="FB10" s="61"/>
      <c r="FC10" s="61" t="s">
        <v>727</v>
      </c>
      <c r="FD10" s="65">
        <v>0</v>
      </c>
      <c r="FE10" s="61"/>
      <c r="FF10" s="61" t="s">
        <v>328</v>
      </c>
      <c r="FG10" s="65">
        <v>0</v>
      </c>
      <c r="FH10" s="61"/>
      <c r="FI10" s="61"/>
      <c r="FJ10" s="61"/>
      <c r="FK10" s="61"/>
      <c r="FL10" s="61" t="s">
        <v>358</v>
      </c>
      <c r="FM10" s="61" t="s">
        <v>728</v>
      </c>
      <c r="FN10" s="61" t="s">
        <v>729</v>
      </c>
      <c r="FO10" s="61" t="s">
        <v>730</v>
      </c>
      <c r="FP10" s="65">
        <v>2</v>
      </c>
      <c r="FQ10" s="61" t="s">
        <v>731</v>
      </c>
      <c r="FR10" s="61" t="s">
        <v>732</v>
      </c>
      <c r="FS10" s="61"/>
      <c r="FT10" s="49"/>
      <c r="FU10" s="61" t="s">
        <v>317</v>
      </c>
      <c r="FV10" s="61" t="s">
        <v>733</v>
      </c>
      <c r="FW10" s="61"/>
      <c r="FX10" s="65">
        <v>-1</v>
      </c>
      <c r="FY10" s="65">
        <v>-1</v>
      </c>
      <c r="FZ10" s="65">
        <v>-1</v>
      </c>
      <c r="GA10" s="65">
        <v>-1</v>
      </c>
      <c r="GB10" s="65">
        <v>-1</v>
      </c>
      <c r="GC10" s="65">
        <v>-1</v>
      </c>
      <c r="GD10" s="65">
        <v>-1</v>
      </c>
      <c r="GE10" s="65">
        <v>-1</v>
      </c>
      <c r="GF10" s="65">
        <v>-1</v>
      </c>
      <c r="GG10" s="65">
        <v>-1</v>
      </c>
      <c r="GH10" s="65">
        <v>-1</v>
      </c>
      <c r="GI10" s="65">
        <v>-1</v>
      </c>
      <c r="GJ10" s="65">
        <v>-1</v>
      </c>
      <c r="GK10" s="65">
        <v>-1</v>
      </c>
      <c r="GL10" s="65">
        <v>-1</v>
      </c>
      <c r="GM10" s="65">
        <v>-15</v>
      </c>
      <c r="GN10" s="66"/>
      <c r="GO10" s="66"/>
      <c r="GP10" s="61" t="s">
        <v>319</v>
      </c>
      <c r="GQ10" s="61" t="s">
        <v>320</v>
      </c>
      <c r="GR10" s="61" t="s">
        <v>277</v>
      </c>
      <c r="GS10" s="65">
        <v>15</v>
      </c>
      <c r="GT10" s="65">
        <v>15</v>
      </c>
      <c r="GU10" s="65">
        <v>29</v>
      </c>
      <c r="GV10" s="65">
        <v>6</v>
      </c>
      <c r="GW10" s="67"/>
    </row>
    <row r="11" spans="1:205" s="45" customFormat="1" ht="13.8" thickBot="1" x14ac:dyDescent="0.3">
      <c r="A11" s="59">
        <v>246</v>
      </c>
      <c r="B11" s="60" t="s">
        <v>321</v>
      </c>
      <c r="C11" s="60">
        <v>22</v>
      </c>
      <c r="D11" s="60" t="s">
        <v>279</v>
      </c>
      <c r="E11" s="60" t="s">
        <v>377</v>
      </c>
      <c r="F11" s="60" t="s">
        <v>281</v>
      </c>
      <c r="G11" s="60" t="s">
        <v>281</v>
      </c>
      <c r="H11" s="60" t="s">
        <v>282</v>
      </c>
      <c r="I11" s="60" t="s">
        <v>282</v>
      </c>
      <c r="J11" s="60" t="s">
        <v>282</v>
      </c>
      <c r="K11" s="60" t="s">
        <v>281</v>
      </c>
      <c r="L11" s="60" t="s">
        <v>282</v>
      </c>
      <c r="M11" s="60" t="s">
        <v>282</v>
      </c>
      <c r="N11" s="60" t="s">
        <v>282</v>
      </c>
      <c r="O11" s="59">
        <v>0</v>
      </c>
      <c r="P11" s="60"/>
      <c r="Q11" s="60"/>
      <c r="R11" s="60" t="s">
        <v>355</v>
      </c>
      <c r="S11" s="60"/>
      <c r="T11" s="60"/>
      <c r="U11" s="60" t="s">
        <v>322</v>
      </c>
      <c r="V11" s="60"/>
      <c r="W11" s="60"/>
      <c r="X11" s="60" t="s">
        <v>346</v>
      </c>
      <c r="Y11" s="59">
        <v>1</v>
      </c>
      <c r="Z11" s="60" t="s">
        <v>734</v>
      </c>
      <c r="AA11" s="60"/>
      <c r="AB11" s="60" t="s">
        <v>303</v>
      </c>
      <c r="AC11" s="60" t="s">
        <v>331</v>
      </c>
      <c r="AD11" s="59">
        <v>0</v>
      </c>
      <c r="AE11" s="60"/>
      <c r="AF11" s="60"/>
      <c r="AG11" s="60" t="s">
        <v>298</v>
      </c>
      <c r="AH11" s="98" t="s">
        <v>305</v>
      </c>
      <c r="AI11" s="97" t="str">
        <f t="shared" si="0"/>
        <v/>
      </c>
      <c r="AJ11" s="60" t="s">
        <v>331</v>
      </c>
      <c r="AK11" s="59">
        <v>0</v>
      </c>
      <c r="AL11" s="60"/>
      <c r="AM11" s="60"/>
      <c r="AN11" s="59">
        <v>0</v>
      </c>
      <c r="AO11" s="60"/>
      <c r="AP11" s="60"/>
      <c r="AQ11" s="60" t="s">
        <v>299</v>
      </c>
      <c r="AR11" s="59">
        <v>1</v>
      </c>
      <c r="AS11" s="60" t="s">
        <v>385</v>
      </c>
      <c r="AT11" s="60"/>
      <c r="AU11" s="60" t="s">
        <v>294</v>
      </c>
      <c r="AV11" s="60" t="s">
        <v>287</v>
      </c>
      <c r="AW11" s="59">
        <v>0</v>
      </c>
      <c r="AX11" s="60"/>
      <c r="AY11" s="60"/>
      <c r="AZ11" s="60" t="s">
        <v>288</v>
      </c>
      <c r="BA11" s="98" t="s">
        <v>840</v>
      </c>
      <c r="BB11" s="97">
        <v>1</v>
      </c>
      <c r="BC11" s="60" t="s">
        <v>302</v>
      </c>
      <c r="BD11" s="59">
        <v>0</v>
      </c>
      <c r="BE11" s="60"/>
      <c r="BF11" s="60"/>
      <c r="BG11" s="59">
        <v>0</v>
      </c>
      <c r="BH11" s="60"/>
      <c r="BI11" s="60" t="s">
        <v>299</v>
      </c>
      <c r="BJ11" s="60" t="s">
        <v>294</v>
      </c>
      <c r="BK11" s="60" t="s">
        <v>297</v>
      </c>
      <c r="BL11" s="59">
        <v>0</v>
      </c>
      <c r="BM11" s="60"/>
      <c r="BN11" s="60"/>
      <c r="BO11" s="60" t="s">
        <v>288</v>
      </c>
      <c r="BP11" s="60" t="s">
        <v>302</v>
      </c>
      <c r="BQ11" s="59">
        <v>0</v>
      </c>
      <c r="BR11" s="60"/>
      <c r="BS11" s="60"/>
      <c r="BT11" s="59">
        <v>0</v>
      </c>
      <c r="BU11" s="60"/>
      <c r="BV11" s="60" t="s">
        <v>299</v>
      </c>
      <c r="BW11" s="59">
        <v>1</v>
      </c>
      <c r="BX11" s="60" t="s">
        <v>369</v>
      </c>
      <c r="BY11" s="60" t="s">
        <v>294</v>
      </c>
      <c r="BZ11" s="60" t="s">
        <v>297</v>
      </c>
      <c r="CA11" s="59">
        <v>0</v>
      </c>
      <c r="CB11" s="60"/>
      <c r="CC11" s="60"/>
      <c r="CD11" s="60" t="s">
        <v>288</v>
      </c>
      <c r="CE11" s="97" t="s">
        <v>288</v>
      </c>
      <c r="CF11" s="97">
        <f>IF(CE11=CD11,1,"")</f>
        <v>1</v>
      </c>
      <c r="CG11" s="60" t="s">
        <v>302</v>
      </c>
      <c r="CH11" s="59">
        <v>0</v>
      </c>
      <c r="CI11" s="60"/>
      <c r="CJ11" s="60"/>
      <c r="CK11" s="59">
        <v>0</v>
      </c>
      <c r="CL11" s="60"/>
      <c r="CM11" s="60" t="s">
        <v>299</v>
      </c>
      <c r="CN11" s="59">
        <v>1</v>
      </c>
      <c r="CO11" s="60" t="s">
        <v>359</v>
      </c>
      <c r="CP11" s="60"/>
      <c r="CQ11" s="60" t="s">
        <v>294</v>
      </c>
      <c r="CR11" s="60" t="s">
        <v>297</v>
      </c>
      <c r="CS11" s="59">
        <v>0</v>
      </c>
      <c r="CT11" s="60"/>
      <c r="CU11" s="60"/>
      <c r="CV11" s="60" t="s">
        <v>305</v>
      </c>
      <c r="CW11" s="98" t="s">
        <v>305</v>
      </c>
      <c r="CX11" s="97">
        <f>IF(CW11=CV11,1,"")</f>
        <v>1</v>
      </c>
      <c r="CY11" s="60" t="s">
        <v>302</v>
      </c>
      <c r="CZ11" s="59">
        <v>0</v>
      </c>
      <c r="DA11" s="60"/>
      <c r="DB11" s="60"/>
      <c r="DC11" s="59">
        <v>0</v>
      </c>
      <c r="DD11" s="60"/>
      <c r="DE11" s="60" t="s">
        <v>299</v>
      </c>
      <c r="DF11" s="59">
        <v>1</v>
      </c>
      <c r="DG11" s="60" t="s">
        <v>372</v>
      </c>
      <c r="DH11" s="60"/>
      <c r="DI11" s="60" t="s">
        <v>294</v>
      </c>
      <c r="DJ11" s="60" t="s">
        <v>302</v>
      </c>
      <c r="DK11" s="59">
        <v>0</v>
      </c>
      <c r="DL11" s="60"/>
      <c r="DM11" s="60"/>
      <c r="DN11" s="60" t="s">
        <v>288</v>
      </c>
      <c r="DO11" s="98" t="s">
        <v>288</v>
      </c>
      <c r="DP11" s="97">
        <f>IF(DO11=DN11,1,"")</f>
        <v>1</v>
      </c>
      <c r="DQ11" s="60" t="s">
        <v>302</v>
      </c>
      <c r="DR11" s="59">
        <v>0</v>
      </c>
      <c r="DS11" s="60"/>
      <c r="DT11" s="60"/>
      <c r="DU11" s="59">
        <v>0</v>
      </c>
      <c r="DV11" s="60"/>
      <c r="DW11" s="60" t="s">
        <v>299</v>
      </c>
      <c r="DX11" s="59">
        <v>1</v>
      </c>
      <c r="DY11" s="60" t="s">
        <v>308</v>
      </c>
      <c r="DZ11" s="60"/>
      <c r="EA11" s="60" t="s">
        <v>303</v>
      </c>
      <c r="EB11" s="60" t="s">
        <v>331</v>
      </c>
      <c r="EC11" s="59">
        <v>0</v>
      </c>
      <c r="ED11" s="60"/>
      <c r="EE11" s="60"/>
      <c r="EF11" s="60" t="s">
        <v>298</v>
      </c>
      <c r="EG11" s="98" t="s">
        <v>305</v>
      </c>
      <c r="EH11" s="97" t="str">
        <f>IF(EG11=EF11,1,"")</f>
        <v/>
      </c>
      <c r="EI11" s="60" t="s">
        <v>331</v>
      </c>
      <c r="EJ11" s="59">
        <v>0</v>
      </c>
      <c r="EK11" s="60"/>
      <c r="EL11" s="60"/>
      <c r="EM11" s="60" t="s">
        <v>735</v>
      </c>
      <c r="EN11" s="60"/>
      <c r="EO11" s="60" t="s">
        <v>299</v>
      </c>
      <c r="EP11" s="59">
        <v>1</v>
      </c>
      <c r="EQ11" s="60" t="s">
        <v>705</v>
      </c>
      <c r="ER11" s="60" t="s">
        <v>303</v>
      </c>
      <c r="ES11" s="60" t="s">
        <v>331</v>
      </c>
      <c r="ET11" s="59">
        <v>0</v>
      </c>
      <c r="EU11" s="60"/>
      <c r="EV11" s="60"/>
      <c r="EW11" s="60" t="s">
        <v>298</v>
      </c>
      <c r="EX11" s="98" t="s">
        <v>305</v>
      </c>
      <c r="EY11" s="97" t="str">
        <f>IF(EX11=EW11,1,"")</f>
        <v/>
      </c>
      <c r="EZ11" s="59">
        <v>0</v>
      </c>
      <c r="FA11" s="60"/>
      <c r="FB11" s="60"/>
      <c r="FC11" s="60" t="s">
        <v>736</v>
      </c>
      <c r="FD11" s="59">
        <v>0</v>
      </c>
      <c r="FE11" s="60"/>
      <c r="FF11" s="60" t="s">
        <v>299</v>
      </c>
      <c r="FG11" s="59">
        <v>0</v>
      </c>
      <c r="FH11" s="60"/>
      <c r="FI11" s="60"/>
      <c r="FJ11" s="60"/>
      <c r="FK11" s="60"/>
      <c r="FL11" s="60" t="s">
        <v>370</v>
      </c>
      <c r="FM11" s="60" t="s">
        <v>737</v>
      </c>
      <c r="FN11" s="60"/>
      <c r="FO11" s="60"/>
      <c r="FP11" s="59">
        <v>0</v>
      </c>
      <c r="FQ11" s="60"/>
      <c r="FR11" s="60"/>
      <c r="FS11" s="60"/>
      <c r="FT11" s="62"/>
      <c r="FU11" s="60" t="s">
        <v>317</v>
      </c>
      <c r="FV11" s="60"/>
      <c r="FW11" s="60"/>
      <c r="FX11" s="59">
        <v>-1</v>
      </c>
      <c r="FY11" s="59">
        <v>-1</v>
      </c>
      <c r="FZ11" s="59">
        <v>-1</v>
      </c>
      <c r="GA11" s="59">
        <v>-1</v>
      </c>
      <c r="GB11" s="59">
        <v>-1</v>
      </c>
      <c r="GC11" s="59">
        <v>-1</v>
      </c>
      <c r="GD11" s="59">
        <v>-1</v>
      </c>
      <c r="GE11" s="59">
        <v>-1</v>
      </c>
      <c r="GF11" s="59">
        <v>-1</v>
      </c>
      <c r="GG11" s="59">
        <v>-1</v>
      </c>
      <c r="GH11" s="59">
        <v>-1</v>
      </c>
      <c r="GI11" s="59">
        <v>-1</v>
      </c>
      <c r="GJ11" s="59">
        <v>-1</v>
      </c>
      <c r="GK11" s="59">
        <v>-1</v>
      </c>
      <c r="GL11" s="59">
        <v>-1</v>
      </c>
      <c r="GM11" s="59">
        <v>-15</v>
      </c>
      <c r="GN11" s="63"/>
      <c r="GO11" s="63"/>
      <c r="GP11" s="60" t="s">
        <v>319</v>
      </c>
      <c r="GQ11" s="60" t="s">
        <v>320</v>
      </c>
      <c r="GR11" s="60" t="s">
        <v>277</v>
      </c>
      <c r="GS11" s="59">
        <v>15</v>
      </c>
      <c r="GT11" s="59">
        <v>15</v>
      </c>
      <c r="GU11" s="59">
        <v>35</v>
      </c>
      <c r="GV11" s="59">
        <v>9</v>
      </c>
      <c r="GW11" s="64"/>
    </row>
    <row r="12" spans="1:205" s="50" customFormat="1" x14ac:dyDescent="0.25">
      <c r="A12" s="38">
        <v>173</v>
      </c>
      <c r="B12" s="39" t="s">
        <v>321</v>
      </c>
      <c r="C12" s="39">
        <v>22</v>
      </c>
      <c r="D12" s="39" t="s">
        <v>353</v>
      </c>
      <c r="E12" s="39" t="s">
        <v>320</v>
      </c>
      <c r="F12" s="39" t="s">
        <v>282</v>
      </c>
      <c r="G12" s="39" t="s">
        <v>282</v>
      </c>
      <c r="H12" s="39" t="s">
        <v>282</v>
      </c>
      <c r="I12" s="39" t="s">
        <v>282</v>
      </c>
      <c r="J12" s="39" t="s">
        <v>282</v>
      </c>
      <c r="K12" s="39" t="s">
        <v>281</v>
      </c>
      <c r="L12" s="39" t="s">
        <v>282</v>
      </c>
      <c r="M12" s="39" t="s">
        <v>282</v>
      </c>
      <c r="N12" s="39" t="s">
        <v>282</v>
      </c>
      <c r="O12" s="38">
        <v>0</v>
      </c>
      <c r="P12" s="39"/>
      <c r="Q12" s="39"/>
      <c r="R12" s="39" t="s">
        <v>423</v>
      </c>
      <c r="S12" s="39"/>
      <c r="T12" s="39"/>
      <c r="U12" s="39"/>
      <c r="V12" s="39" t="s">
        <v>422</v>
      </c>
      <c r="W12" s="40" t="s">
        <v>424</v>
      </c>
      <c r="X12" s="39" t="s">
        <v>346</v>
      </c>
      <c r="Y12" s="38">
        <v>0</v>
      </c>
      <c r="Z12" s="39"/>
      <c r="AA12" s="39"/>
      <c r="AB12" s="39" t="s">
        <v>294</v>
      </c>
      <c r="AC12" s="39" t="s">
        <v>297</v>
      </c>
      <c r="AD12" s="38">
        <v>0</v>
      </c>
      <c r="AE12" s="39"/>
      <c r="AF12" s="39"/>
      <c r="AG12" s="39" t="s">
        <v>305</v>
      </c>
      <c r="AH12" s="98"/>
      <c r="AI12" s="97" t="str">
        <f t="shared" si="0"/>
        <v/>
      </c>
      <c r="AJ12" s="39" t="s">
        <v>331</v>
      </c>
      <c r="AK12" s="38">
        <v>0</v>
      </c>
      <c r="AL12" s="39"/>
      <c r="AM12" s="39"/>
      <c r="AN12" s="38">
        <v>0</v>
      </c>
      <c r="AO12" s="39"/>
      <c r="AP12" s="39"/>
      <c r="AQ12" s="39" t="s">
        <v>299</v>
      </c>
      <c r="AR12" s="38"/>
      <c r="AS12" s="39"/>
      <c r="AT12" s="39"/>
      <c r="AU12" s="39"/>
      <c r="AV12" s="39"/>
      <c r="AW12" s="38"/>
      <c r="AX12" s="39"/>
      <c r="AY12" s="39"/>
      <c r="AZ12" s="39"/>
      <c r="BA12" s="98"/>
      <c r="BB12" s="97"/>
      <c r="BC12" s="39"/>
      <c r="BD12" s="38"/>
      <c r="BE12" s="39"/>
      <c r="BF12" s="39"/>
      <c r="BG12" s="38"/>
      <c r="BH12" s="39"/>
      <c r="BI12" s="39"/>
      <c r="BJ12" s="39"/>
      <c r="BK12" s="39"/>
      <c r="BL12" s="38"/>
      <c r="BM12" s="39"/>
      <c r="BN12" s="39"/>
      <c r="BO12" s="39"/>
      <c r="BP12" s="39"/>
      <c r="BQ12" s="38"/>
      <c r="BR12" s="39"/>
      <c r="BS12" s="39"/>
      <c r="BT12" s="38"/>
      <c r="BU12" s="39"/>
      <c r="BV12" s="39"/>
      <c r="BW12" s="38"/>
      <c r="BX12" s="39"/>
      <c r="BY12" s="39"/>
      <c r="BZ12" s="39"/>
      <c r="CA12" s="38"/>
      <c r="CB12" s="39"/>
      <c r="CC12" s="39"/>
      <c r="CD12" s="39"/>
      <c r="CE12" s="97"/>
      <c r="CF12" s="97"/>
      <c r="CG12" s="39"/>
      <c r="CH12" s="38"/>
      <c r="CI12" s="39"/>
      <c r="CJ12" s="39"/>
      <c r="CK12" s="38"/>
      <c r="CL12" s="39"/>
      <c r="CM12" s="39"/>
      <c r="CN12" s="38"/>
      <c r="CO12" s="39"/>
      <c r="CP12" s="39"/>
      <c r="CQ12" s="39"/>
      <c r="CR12" s="39"/>
      <c r="CS12" s="38"/>
      <c r="CT12" s="39"/>
      <c r="CU12" s="39"/>
      <c r="CV12" s="39"/>
      <c r="CW12" s="98"/>
      <c r="CX12" s="97"/>
      <c r="CY12" s="39"/>
      <c r="CZ12" s="38"/>
      <c r="DA12" s="39"/>
      <c r="DB12" s="39"/>
      <c r="DC12" s="38"/>
      <c r="DD12" s="39"/>
      <c r="DE12" s="39"/>
      <c r="DF12" s="38"/>
      <c r="DG12" s="39"/>
      <c r="DH12" s="39"/>
      <c r="DI12" s="39"/>
      <c r="DJ12" s="39"/>
      <c r="DK12" s="38"/>
      <c r="DL12" s="39"/>
      <c r="DM12" s="39"/>
      <c r="DN12" s="39"/>
      <c r="DO12" s="98"/>
      <c r="DP12" s="97"/>
      <c r="DQ12" s="39"/>
      <c r="DR12" s="38"/>
      <c r="DS12" s="39"/>
      <c r="DT12" s="39"/>
      <c r="DU12" s="38"/>
      <c r="DV12" s="39"/>
      <c r="DW12" s="39"/>
      <c r="DX12" s="38"/>
      <c r="DY12" s="39"/>
      <c r="DZ12" s="39"/>
      <c r="EA12" s="39"/>
      <c r="EB12" s="39"/>
      <c r="EC12" s="38"/>
      <c r="ED12" s="39"/>
      <c r="EE12" s="39"/>
      <c r="EF12" s="39"/>
      <c r="EG12" s="98"/>
      <c r="EH12" s="97"/>
      <c r="EI12" s="39"/>
      <c r="EJ12" s="38"/>
      <c r="EK12" s="39"/>
      <c r="EL12" s="39"/>
      <c r="EM12" s="39"/>
      <c r="EN12" s="39"/>
      <c r="EO12" s="39"/>
      <c r="EP12" s="38"/>
      <c r="EQ12" s="39"/>
      <c r="ER12" s="39"/>
      <c r="ES12" s="39"/>
      <c r="ET12" s="38"/>
      <c r="EU12" s="39"/>
      <c r="EV12" s="39"/>
      <c r="EW12" s="39"/>
      <c r="EX12" s="98"/>
      <c r="EY12" s="97"/>
      <c r="EZ12" s="38"/>
      <c r="FA12" s="39"/>
      <c r="FB12" s="39"/>
      <c r="FC12" s="39"/>
      <c r="FD12" s="38"/>
      <c r="FE12" s="39"/>
      <c r="FF12" s="39"/>
      <c r="FG12" s="38"/>
      <c r="FH12" s="39"/>
      <c r="FI12" s="39"/>
      <c r="FJ12" s="39"/>
      <c r="FK12" s="39"/>
      <c r="FL12" s="39"/>
      <c r="FM12" s="39"/>
      <c r="FN12" s="39"/>
      <c r="FO12" s="39"/>
      <c r="FP12" s="38"/>
      <c r="FQ12" s="39"/>
      <c r="FR12" s="39"/>
      <c r="FS12" s="39"/>
      <c r="FT12" s="40"/>
      <c r="FU12" s="39"/>
      <c r="FV12" s="39"/>
      <c r="FW12" s="39"/>
      <c r="FX12" s="38">
        <v>-1</v>
      </c>
      <c r="FY12" s="38">
        <v>-1</v>
      </c>
      <c r="FZ12" s="38">
        <v>-1</v>
      </c>
      <c r="GA12" s="38">
        <v>-1</v>
      </c>
      <c r="GB12" s="38">
        <v>-1</v>
      </c>
      <c r="GC12" s="38">
        <v>-1</v>
      </c>
      <c r="GD12" s="38"/>
      <c r="GE12" s="38"/>
      <c r="GF12" s="38"/>
      <c r="GG12" s="38"/>
      <c r="GH12" s="38"/>
      <c r="GI12" s="38"/>
      <c r="GJ12" s="38"/>
      <c r="GK12" s="38"/>
      <c r="GL12" s="38"/>
      <c r="GM12" s="38">
        <v>-6</v>
      </c>
      <c r="GN12" s="41"/>
      <c r="GO12" s="41"/>
      <c r="GP12" s="39"/>
      <c r="GQ12" s="39" t="s">
        <v>277</v>
      </c>
      <c r="GR12" s="39" t="s">
        <v>277</v>
      </c>
      <c r="GS12" s="38">
        <v>6</v>
      </c>
      <c r="GT12" s="38">
        <v>6</v>
      </c>
      <c r="GU12" s="38">
        <v>35</v>
      </c>
      <c r="GV12" s="38">
        <v>11</v>
      </c>
      <c r="GW12" s="42"/>
    </row>
    <row r="13" spans="1:205" x14ac:dyDescent="0.25">
      <c r="A13" s="38">
        <v>175</v>
      </c>
      <c r="B13" s="39" t="s">
        <v>321</v>
      </c>
      <c r="C13" s="39">
        <v>22</v>
      </c>
      <c r="D13" s="39" t="s">
        <v>279</v>
      </c>
      <c r="E13" s="39" t="s">
        <v>377</v>
      </c>
      <c r="F13" s="39" t="s">
        <v>281</v>
      </c>
      <c r="G13" s="39" t="s">
        <v>281</v>
      </c>
      <c r="H13" s="39" t="s">
        <v>282</v>
      </c>
      <c r="I13" s="39" t="s">
        <v>282</v>
      </c>
      <c r="J13" s="39" t="s">
        <v>282</v>
      </c>
      <c r="K13" s="39" t="s">
        <v>281</v>
      </c>
      <c r="L13" s="39" t="s">
        <v>282</v>
      </c>
      <c r="M13" s="39" t="s">
        <v>282</v>
      </c>
      <c r="N13" s="39" t="s">
        <v>282</v>
      </c>
      <c r="O13" s="38">
        <v>0</v>
      </c>
      <c r="P13" s="39"/>
      <c r="Q13" s="39"/>
      <c r="R13" s="39" t="s">
        <v>423</v>
      </c>
      <c r="S13" s="39"/>
      <c r="T13" s="39"/>
      <c r="U13" s="39"/>
      <c r="V13" s="39"/>
      <c r="W13" s="40" t="s">
        <v>464</v>
      </c>
      <c r="X13" s="39" t="s">
        <v>350</v>
      </c>
      <c r="Y13" s="38">
        <v>0</v>
      </c>
      <c r="Z13" s="39"/>
      <c r="AA13" s="39"/>
      <c r="AB13" s="39" t="s">
        <v>294</v>
      </c>
      <c r="AC13" s="39" t="s">
        <v>297</v>
      </c>
      <c r="AD13" s="38">
        <v>0</v>
      </c>
      <c r="AE13" s="39"/>
      <c r="AF13" s="39"/>
      <c r="AG13" s="39" t="s">
        <v>305</v>
      </c>
      <c r="AH13" s="98"/>
      <c r="AI13" s="97" t="str">
        <f t="shared" si="0"/>
        <v/>
      </c>
      <c r="AJ13" s="39" t="s">
        <v>287</v>
      </c>
      <c r="AK13" s="38">
        <v>0</v>
      </c>
      <c r="AL13" s="39"/>
      <c r="AM13" s="39"/>
      <c r="AN13" s="38">
        <v>0</v>
      </c>
      <c r="AO13" s="39"/>
      <c r="AP13" s="39"/>
      <c r="AQ13" s="39" t="s">
        <v>299</v>
      </c>
      <c r="AR13" s="38">
        <v>0</v>
      </c>
      <c r="AS13" s="39"/>
      <c r="AT13" s="39"/>
      <c r="AU13" s="39" t="s">
        <v>294</v>
      </c>
      <c r="AV13" s="39" t="s">
        <v>287</v>
      </c>
      <c r="AW13" s="38">
        <v>0</v>
      </c>
      <c r="AX13" s="39"/>
      <c r="AY13" s="39"/>
      <c r="AZ13" s="39" t="s">
        <v>288</v>
      </c>
      <c r="BA13" s="98"/>
      <c r="BB13" s="97" t="str">
        <f>IF(BA13=AZ13,1,"")</f>
        <v/>
      </c>
      <c r="BC13" s="39" t="s">
        <v>287</v>
      </c>
      <c r="BD13" s="38">
        <v>0</v>
      </c>
      <c r="BE13" s="39"/>
      <c r="BF13" s="39"/>
      <c r="BG13" s="38">
        <v>0</v>
      </c>
      <c r="BH13" s="39"/>
      <c r="BI13" s="39" t="s">
        <v>299</v>
      </c>
      <c r="BJ13" s="39" t="s">
        <v>301</v>
      </c>
      <c r="BK13" s="39" t="s">
        <v>297</v>
      </c>
      <c r="BL13" s="38">
        <v>0</v>
      </c>
      <c r="BM13" s="39"/>
      <c r="BN13" s="39"/>
      <c r="BO13" s="39" t="s">
        <v>324</v>
      </c>
      <c r="BP13" s="39" t="s">
        <v>297</v>
      </c>
      <c r="BQ13" s="38">
        <v>0</v>
      </c>
      <c r="BR13" s="39"/>
      <c r="BS13" s="39"/>
      <c r="BT13" s="38">
        <v>0</v>
      </c>
      <c r="BU13" s="39"/>
      <c r="BV13" s="39" t="s">
        <v>299</v>
      </c>
      <c r="BW13" s="38">
        <v>0</v>
      </c>
      <c r="BX13" s="39"/>
      <c r="BY13" s="39" t="s">
        <v>294</v>
      </c>
      <c r="BZ13" s="39" t="s">
        <v>297</v>
      </c>
      <c r="CA13" s="38">
        <v>0</v>
      </c>
      <c r="CB13" s="39"/>
      <c r="CC13" s="39"/>
      <c r="CD13" s="39" t="s">
        <v>298</v>
      </c>
      <c r="CE13" s="97"/>
      <c r="CF13" s="97" t="str">
        <f>IF(CE13=CD13,1,"")</f>
        <v/>
      </c>
      <c r="CG13" s="39" t="s">
        <v>297</v>
      </c>
      <c r="CH13" s="38">
        <v>0</v>
      </c>
      <c r="CI13" s="39"/>
      <c r="CJ13" s="39"/>
      <c r="CK13" s="38">
        <v>0</v>
      </c>
      <c r="CL13" s="39"/>
      <c r="CM13" s="39" t="s">
        <v>299</v>
      </c>
      <c r="CN13" s="38">
        <v>0</v>
      </c>
      <c r="CO13" s="39"/>
      <c r="CP13" s="39"/>
      <c r="CQ13" s="39" t="s">
        <v>294</v>
      </c>
      <c r="CR13" s="39" t="s">
        <v>297</v>
      </c>
      <c r="CS13" s="38">
        <v>0</v>
      </c>
      <c r="CT13" s="39"/>
      <c r="CU13" s="39"/>
      <c r="CV13" s="39" t="s">
        <v>305</v>
      </c>
      <c r="CW13" s="98"/>
      <c r="CX13" s="97" t="str">
        <f>IF(CW13=CV13,1,"")</f>
        <v/>
      </c>
      <c r="CY13" s="39" t="s">
        <v>297</v>
      </c>
      <c r="CZ13" s="38">
        <v>0</v>
      </c>
      <c r="DA13" s="39"/>
      <c r="DB13" s="39"/>
      <c r="DC13" s="38">
        <v>0</v>
      </c>
      <c r="DD13" s="39"/>
      <c r="DE13" s="39" t="s">
        <v>299</v>
      </c>
      <c r="DF13" s="38">
        <v>0</v>
      </c>
      <c r="DG13" s="39"/>
      <c r="DH13" s="39"/>
      <c r="DI13" s="39" t="s">
        <v>301</v>
      </c>
      <c r="DJ13" s="39" t="s">
        <v>297</v>
      </c>
      <c r="DK13" s="38">
        <v>0</v>
      </c>
      <c r="DL13" s="39"/>
      <c r="DM13" s="39"/>
      <c r="DN13" s="39" t="s">
        <v>324</v>
      </c>
      <c r="DO13" s="98"/>
      <c r="DP13" s="97" t="str">
        <f>IF(DO13=DN13,1,"")</f>
        <v/>
      </c>
      <c r="DQ13" s="39" t="s">
        <v>297</v>
      </c>
      <c r="DR13" s="38">
        <v>0</v>
      </c>
      <c r="DS13" s="39"/>
      <c r="DT13" s="39"/>
      <c r="DU13" s="38">
        <v>0</v>
      </c>
      <c r="DV13" s="39"/>
      <c r="DW13" s="39" t="s">
        <v>299</v>
      </c>
      <c r="DX13" s="38">
        <v>0</v>
      </c>
      <c r="DY13" s="39"/>
      <c r="DZ13" s="39"/>
      <c r="EA13" s="39" t="s">
        <v>303</v>
      </c>
      <c r="EB13" s="39" t="s">
        <v>331</v>
      </c>
      <c r="EC13" s="38">
        <v>0</v>
      </c>
      <c r="ED13" s="39"/>
      <c r="EE13" s="39"/>
      <c r="EF13" s="39" t="s">
        <v>298</v>
      </c>
      <c r="EG13" s="98"/>
      <c r="EH13" s="97" t="str">
        <f>IF(EG13=EF13,1,"")</f>
        <v/>
      </c>
      <c r="EI13" s="39" t="s">
        <v>331</v>
      </c>
      <c r="EJ13" s="38">
        <v>0</v>
      </c>
      <c r="EK13" s="39"/>
      <c r="EL13" s="39"/>
      <c r="EM13" s="39"/>
      <c r="EN13" s="39"/>
      <c r="EO13" s="39" t="s">
        <v>299</v>
      </c>
      <c r="EP13" s="38">
        <v>0</v>
      </c>
      <c r="EQ13" s="39"/>
      <c r="ER13" s="39" t="s">
        <v>294</v>
      </c>
      <c r="ES13" s="39" t="s">
        <v>297</v>
      </c>
      <c r="ET13" s="38">
        <v>0</v>
      </c>
      <c r="EU13" s="39"/>
      <c r="EV13" s="39"/>
      <c r="EW13" s="39" t="s">
        <v>298</v>
      </c>
      <c r="EX13" s="98" t="s">
        <v>298</v>
      </c>
      <c r="EY13" s="97">
        <f>IF(EX13=EW13,1,"")</f>
        <v>1</v>
      </c>
      <c r="EZ13" s="38">
        <v>0</v>
      </c>
      <c r="FA13" s="39"/>
      <c r="FB13" s="39"/>
      <c r="FC13" s="39"/>
      <c r="FD13" s="38">
        <v>0</v>
      </c>
      <c r="FE13" s="39"/>
      <c r="FF13" s="39" t="s">
        <v>299</v>
      </c>
      <c r="FG13" s="38">
        <v>0</v>
      </c>
      <c r="FH13" s="39"/>
      <c r="FI13" s="39"/>
      <c r="FJ13" s="39"/>
      <c r="FK13" s="39"/>
      <c r="FL13" s="39"/>
      <c r="FM13" s="39"/>
      <c r="FN13" s="39"/>
      <c r="FO13" s="39"/>
      <c r="FP13" s="38">
        <v>0</v>
      </c>
      <c r="FQ13" s="39"/>
      <c r="FR13" s="39"/>
      <c r="FS13" s="39"/>
      <c r="FT13" s="40"/>
      <c r="FU13" s="39" t="s">
        <v>335</v>
      </c>
      <c r="FV13" s="39"/>
      <c r="FW13" s="39"/>
      <c r="FX13" s="38">
        <v>-1</v>
      </c>
      <c r="FY13" s="38">
        <v>-1</v>
      </c>
      <c r="FZ13" s="38">
        <v>-1</v>
      </c>
      <c r="GA13" s="38">
        <v>-1</v>
      </c>
      <c r="GB13" s="38">
        <v>-1</v>
      </c>
      <c r="GC13" s="38">
        <v>-1</v>
      </c>
      <c r="GD13" s="38">
        <v>-1</v>
      </c>
      <c r="GE13" s="38">
        <v>-1</v>
      </c>
      <c r="GF13" s="38">
        <v>-1</v>
      </c>
      <c r="GG13" s="38">
        <v>-1</v>
      </c>
      <c r="GH13" s="38">
        <v>-1</v>
      </c>
      <c r="GI13" s="38">
        <v>-1</v>
      </c>
      <c r="GJ13" s="38">
        <v>-1</v>
      </c>
      <c r="GK13" s="38">
        <v>-1</v>
      </c>
      <c r="GL13" s="38">
        <v>-1</v>
      </c>
      <c r="GM13" s="38">
        <v>-15</v>
      </c>
      <c r="GN13" s="41"/>
      <c r="GO13" s="41"/>
      <c r="GP13" s="39"/>
      <c r="GQ13" s="39" t="s">
        <v>320</v>
      </c>
      <c r="GR13" s="39" t="s">
        <v>277</v>
      </c>
      <c r="GS13" s="38">
        <v>15</v>
      </c>
      <c r="GT13" s="38">
        <v>15</v>
      </c>
      <c r="GU13" s="38">
        <v>51</v>
      </c>
      <c r="GV13" s="38">
        <v>21</v>
      </c>
      <c r="GW13" s="42"/>
    </row>
    <row r="14" spans="1:205" s="70" customFormat="1" ht="13.8" thickBot="1" x14ac:dyDescent="0.3">
      <c r="A14" s="43">
        <v>176</v>
      </c>
      <c r="B14" s="44" t="s">
        <v>321</v>
      </c>
      <c r="C14" s="44">
        <v>22</v>
      </c>
      <c r="D14" s="44" t="s">
        <v>353</v>
      </c>
      <c r="E14" s="44" t="s">
        <v>422</v>
      </c>
      <c r="F14" s="44" t="s">
        <v>282</v>
      </c>
      <c r="G14" s="44" t="s">
        <v>282</v>
      </c>
      <c r="H14" s="44" t="s">
        <v>282</v>
      </c>
      <c r="I14" s="44" t="s">
        <v>282</v>
      </c>
      <c r="J14" s="44" t="s">
        <v>282</v>
      </c>
      <c r="K14" s="44" t="s">
        <v>281</v>
      </c>
      <c r="L14" s="44" t="s">
        <v>282</v>
      </c>
      <c r="M14" s="44" t="s">
        <v>282</v>
      </c>
      <c r="N14" s="44" t="s">
        <v>281</v>
      </c>
      <c r="O14" s="43">
        <v>0</v>
      </c>
      <c r="P14" s="44"/>
      <c r="Q14" s="44"/>
      <c r="R14" s="44" t="s">
        <v>423</v>
      </c>
      <c r="S14" s="44"/>
      <c r="T14" s="44"/>
      <c r="U14" s="44"/>
      <c r="V14" s="44"/>
      <c r="W14" s="45" t="s">
        <v>464</v>
      </c>
      <c r="X14" s="44" t="s">
        <v>316</v>
      </c>
      <c r="Y14" s="43"/>
      <c r="Z14" s="44"/>
      <c r="AA14" s="44"/>
      <c r="AB14" s="44"/>
      <c r="AC14" s="44"/>
      <c r="AD14" s="43"/>
      <c r="AE14" s="44"/>
      <c r="AF14" s="44"/>
      <c r="AG14" s="44"/>
      <c r="AH14" s="98"/>
      <c r="AI14" s="97"/>
      <c r="AJ14" s="44"/>
      <c r="AK14" s="43"/>
      <c r="AL14" s="44"/>
      <c r="AM14" s="44"/>
      <c r="AN14" s="43"/>
      <c r="AO14" s="44"/>
      <c r="AP14" s="44"/>
      <c r="AQ14" s="44"/>
      <c r="AR14" s="43"/>
      <c r="AS14" s="44"/>
      <c r="AT14" s="44"/>
      <c r="AU14" s="44"/>
      <c r="AV14" s="44"/>
      <c r="AW14" s="43"/>
      <c r="AX14" s="44"/>
      <c r="AY14" s="44"/>
      <c r="AZ14" s="44"/>
      <c r="BA14" s="98"/>
      <c r="BB14" s="97"/>
      <c r="BC14" s="44"/>
      <c r="BD14" s="43"/>
      <c r="BE14" s="44"/>
      <c r="BF14" s="44"/>
      <c r="BG14" s="43"/>
      <c r="BH14" s="44"/>
      <c r="BI14" s="44"/>
      <c r="BJ14" s="44"/>
      <c r="BK14" s="44"/>
      <c r="BL14" s="43"/>
      <c r="BM14" s="44"/>
      <c r="BN14" s="44"/>
      <c r="BO14" s="44"/>
      <c r="BP14" s="44"/>
      <c r="BQ14" s="43"/>
      <c r="BR14" s="44"/>
      <c r="BS14" s="44"/>
      <c r="BT14" s="43"/>
      <c r="BU14" s="44"/>
      <c r="BV14" s="44"/>
      <c r="BW14" s="43"/>
      <c r="BX14" s="44"/>
      <c r="BY14" s="44"/>
      <c r="BZ14" s="44"/>
      <c r="CA14" s="43"/>
      <c r="CB14" s="44"/>
      <c r="CC14" s="44"/>
      <c r="CD14" s="44"/>
      <c r="CE14" s="97"/>
      <c r="CF14" s="97"/>
      <c r="CG14" s="44"/>
      <c r="CH14" s="43"/>
      <c r="CI14" s="44"/>
      <c r="CJ14" s="44"/>
      <c r="CK14" s="43"/>
      <c r="CL14" s="44"/>
      <c r="CM14" s="44"/>
      <c r="CN14" s="43"/>
      <c r="CO14" s="44"/>
      <c r="CP14" s="44"/>
      <c r="CQ14" s="44"/>
      <c r="CR14" s="44"/>
      <c r="CS14" s="43"/>
      <c r="CT14" s="44"/>
      <c r="CU14" s="44"/>
      <c r="CV14" s="44"/>
      <c r="CW14" s="98"/>
      <c r="CX14" s="97"/>
      <c r="CY14" s="44"/>
      <c r="CZ14" s="43"/>
      <c r="DA14" s="44"/>
      <c r="DB14" s="44"/>
      <c r="DC14" s="43"/>
      <c r="DD14" s="44"/>
      <c r="DE14" s="44"/>
      <c r="DF14" s="43"/>
      <c r="DG14" s="44"/>
      <c r="DH14" s="44"/>
      <c r="DI14" s="44"/>
      <c r="DJ14" s="44"/>
      <c r="DK14" s="43"/>
      <c r="DL14" s="44"/>
      <c r="DM14" s="44"/>
      <c r="DN14" s="44"/>
      <c r="DO14" s="98"/>
      <c r="DP14" s="97"/>
      <c r="DQ14" s="44"/>
      <c r="DR14" s="43"/>
      <c r="DS14" s="44"/>
      <c r="DT14" s="44"/>
      <c r="DU14" s="43"/>
      <c r="DV14" s="44"/>
      <c r="DW14" s="44"/>
      <c r="DX14" s="43"/>
      <c r="DY14" s="44"/>
      <c r="DZ14" s="44"/>
      <c r="EA14" s="44"/>
      <c r="EB14" s="44"/>
      <c r="EC14" s="43"/>
      <c r="ED14" s="44"/>
      <c r="EE14" s="44"/>
      <c r="EF14" s="44"/>
      <c r="EG14" s="98"/>
      <c r="EH14" s="97"/>
      <c r="EI14" s="44"/>
      <c r="EJ14" s="43"/>
      <c r="EK14" s="44"/>
      <c r="EL14" s="44"/>
      <c r="EM14" s="44"/>
      <c r="EN14" s="44"/>
      <c r="EO14" s="44"/>
      <c r="EP14" s="43"/>
      <c r="EQ14" s="44"/>
      <c r="ER14" s="44"/>
      <c r="ES14" s="44"/>
      <c r="ET14" s="43"/>
      <c r="EU14" s="44"/>
      <c r="EV14" s="44"/>
      <c r="EW14" s="44"/>
      <c r="EX14" s="98"/>
      <c r="EY14" s="97"/>
      <c r="EZ14" s="43"/>
      <c r="FA14" s="44"/>
      <c r="FB14" s="44"/>
      <c r="FC14" s="44"/>
      <c r="FD14" s="43"/>
      <c r="FE14" s="44"/>
      <c r="FF14" s="44"/>
      <c r="FG14" s="43"/>
      <c r="FH14" s="44"/>
      <c r="FI14" s="44"/>
      <c r="FJ14" s="44"/>
      <c r="FK14" s="44"/>
      <c r="FL14" s="44"/>
      <c r="FM14" s="44"/>
      <c r="FN14" s="44"/>
      <c r="FO14" s="44"/>
      <c r="FP14" s="43"/>
      <c r="FQ14" s="44"/>
      <c r="FR14" s="44"/>
      <c r="FS14" s="44"/>
      <c r="FT14" s="45"/>
      <c r="FU14" s="44"/>
      <c r="FV14" s="44"/>
      <c r="FW14" s="44"/>
      <c r="FX14" s="43">
        <v>-1</v>
      </c>
      <c r="FY14" s="43">
        <v>-1</v>
      </c>
      <c r="FZ14" s="43">
        <v>-1</v>
      </c>
      <c r="GA14" s="43">
        <v>-1</v>
      </c>
      <c r="GB14" s="43">
        <v>-1</v>
      </c>
      <c r="GC14" s="43"/>
      <c r="GD14" s="43"/>
      <c r="GE14" s="43"/>
      <c r="GF14" s="43"/>
      <c r="GG14" s="43"/>
      <c r="GH14" s="43"/>
      <c r="GI14" s="43"/>
      <c r="GJ14" s="43"/>
      <c r="GK14" s="43"/>
      <c r="GL14" s="43"/>
      <c r="GM14" s="43">
        <v>-5</v>
      </c>
      <c r="GN14" s="46"/>
      <c r="GO14" s="46"/>
      <c r="GP14" s="44"/>
      <c r="GQ14" s="44" t="s">
        <v>277</v>
      </c>
      <c r="GR14" s="44" t="s">
        <v>277</v>
      </c>
      <c r="GS14" s="43">
        <v>5</v>
      </c>
      <c r="GT14" s="43">
        <v>5</v>
      </c>
      <c r="GU14" s="43">
        <v>14</v>
      </c>
      <c r="GV14" s="43">
        <v>1</v>
      </c>
      <c r="GW14" s="47"/>
    </row>
    <row r="15" spans="1:205" s="83" customFormat="1" ht="13.8" thickBot="1" x14ac:dyDescent="0.3">
      <c r="A15" s="84">
        <v>189</v>
      </c>
      <c r="B15" s="85" t="s">
        <v>321</v>
      </c>
      <c r="C15" s="85">
        <v>22</v>
      </c>
      <c r="D15" s="85" t="s">
        <v>353</v>
      </c>
      <c r="E15" s="85" t="s">
        <v>320</v>
      </c>
      <c r="F15" s="85" t="s">
        <v>282</v>
      </c>
      <c r="G15" s="85" t="s">
        <v>282</v>
      </c>
      <c r="H15" s="85" t="s">
        <v>282</v>
      </c>
      <c r="I15" s="85" t="s">
        <v>282</v>
      </c>
      <c r="J15" s="85" t="s">
        <v>282</v>
      </c>
      <c r="K15" s="85" t="s">
        <v>281</v>
      </c>
      <c r="L15" s="85" t="s">
        <v>282</v>
      </c>
      <c r="M15" s="85" t="s">
        <v>282</v>
      </c>
      <c r="N15" s="85" t="s">
        <v>282</v>
      </c>
      <c r="O15" s="84">
        <v>0</v>
      </c>
      <c r="P15" s="85"/>
      <c r="Q15" s="85"/>
      <c r="R15" s="85" t="s">
        <v>423</v>
      </c>
      <c r="S15" s="85"/>
      <c r="T15" s="85"/>
      <c r="U15" s="85"/>
      <c r="V15" s="85"/>
      <c r="W15" s="86" t="s">
        <v>424</v>
      </c>
      <c r="X15" s="85" t="s">
        <v>346</v>
      </c>
      <c r="Y15" s="84">
        <v>0</v>
      </c>
      <c r="Z15" s="85"/>
      <c r="AA15" s="85"/>
      <c r="AB15" s="85" t="s">
        <v>294</v>
      </c>
      <c r="AC15" s="85" t="s">
        <v>297</v>
      </c>
      <c r="AD15" s="84">
        <v>0</v>
      </c>
      <c r="AE15" s="85"/>
      <c r="AF15" s="85"/>
      <c r="AG15" s="85" t="s">
        <v>288</v>
      </c>
      <c r="AH15" s="97"/>
      <c r="AI15" s="97" t="str">
        <f t="shared" ref="AI15:AI21" si="1">IF(AH15=AG15,1,"")</f>
        <v/>
      </c>
      <c r="AJ15" s="85" t="s">
        <v>331</v>
      </c>
      <c r="AK15" s="84">
        <v>0</v>
      </c>
      <c r="AL15" s="85"/>
      <c r="AM15" s="85"/>
      <c r="AN15" s="84">
        <v>0</v>
      </c>
      <c r="AO15" s="85"/>
      <c r="AP15" s="85"/>
      <c r="AQ15" s="85" t="s">
        <v>299</v>
      </c>
      <c r="AR15" s="84">
        <v>0</v>
      </c>
      <c r="AS15" s="85"/>
      <c r="AT15" s="85"/>
      <c r="AU15" s="85" t="s">
        <v>301</v>
      </c>
      <c r="AV15" s="85" t="s">
        <v>297</v>
      </c>
      <c r="AW15" s="84">
        <v>0</v>
      </c>
      <c r="AX15" s="85"/>
      <c r="AY15" s="85"/>
      <c r="AZ15" s="85" t="s">
        <v>288</v>
      </c>
      <c r="BA15" s="100"/>
      <c r="BB15" s="97" t="str">
        <f>IF(BA15=AZ15,1,"")</f>
        <v/>
      </c>
      <c r="BC15" s="85" t="s">
        <v>331</v>
      </c>
      <c r="BD15" s="84">
        <v>0</v>
      </c>
      <c r="BE15" s="85"/>
      <c r="BF15" s="85"/>
      <c r="BG15" s="84">
        <v>0</v>
      </c>
      <c r="BH15" s="85"/>
      <c r="BI15" s="85" t="s">
        <v>299</v>
      </c>
      <c r="BJ15" s="85" t="s">
        <v>310</v>
      </c>
      <c r="BK15" s="85" t="s">
        <v>297</v>
      </c>
      <c r="BL15" s="84">
        <v>1</v>
      </c>
      <c r="BM15" s="85" t="s">
        <v>520</v>
      </c>
      <c r="BN15" s="85"/>
      <c r="BO15" s="85" t="s">
        <v>324</v>
      </c>
      <c r="BP15" s="85" t="s">
        <v>521</v>
      </c>
      <c r="BQ15" s="84">
        <v>0</v>
      </c>
      <c r="BR15" s="85"/>
      <c r="BS15" s="85"/>
      <c r="BT15" s="84">
        <v>0</v>
      </c>
      <c r="BU15" s="85"/>
      <c r="BV15" s="85" t="s">
        <v>299</v>
      </c>
      <c r="BW15" s="84">
        <v>1</v>
      </c>
      <c r="BX15" s="85" t="s">
        <v>522</v>
      </c>
      <c r="BY15" s="85" t="s">
        <v>303</v>
      </c>
      <c r="BZ15" s="85" t="s">
        <v>297</v>
      </c>
      <c r="CA15" s="84">
        <v>0</v>
      </c>
      <c r="CB15" s="85"/>
      <c r="CC15" s="85"/>
      <c r="CD15" s="85" t="s">
        <v>298</v>
      </c>
      <c r="CE15" s="97" t="s">
        <v>298</v>
      </c>
      <c r="CF15" s="97">
        <f>IF(CE15=CD15,1,"")</f>
        <v>1</v>
      </c>
      <c r="CG15" s="85" t="s">
        <v>331</v>
      </c>
      <c r="CH15" s="84">
        <v>0</v>
      </c>
      <c r="CI15" s="85"/>
      <c r="CJ15" s="85"/>
      <c r="CK15" s="84">
        <v>0</v>
      </c>
      <c r="CL15" s="85"/>
      <c r="CM15" s="85" t="s">
        <v>299</v>
      </c>
      <c r="CN15" s="84">
        <v>1</v>
      </c>
      <c r="CO15" s="85" t="s">
        <v>405</v>
      </c>
      <c r="CP15" s="85"/>
      <c r="CQ15" s="85" t="s">
        <v>294</v>
      </c>
      <c r="CR15" s="85" t="s">
        <v>297</v>
      </c>
      <c r="CS15" s="84">
        <v>0</v>
      </c>
      <c r="CT15" s="85"/>
      <c r="CU15" s="85"/>
      <c r="CV15" s="85" t="s">
        <v>288</v>
      </c>
      <c r="CW15" s="100" t="s">
        <v>837</v>
      </c>
      <c r="CX15" s="97">
        <f>IF(CW15=CV15,1,"")</f>
        <v>1</v>
      </c>
      <c r="CY15" s="85" t="s">
        <v>500</v>
      </c>
      <c r="CZ15" s="84">
        <v>0</v>
      </c>
      <c r="DA15" s="85"/>
      <c r="DB15" s="85"/>
      <c r="DC15" s="84">
        <v>0</v>
      </c>
      <c r="DD15" s="85"/>
      <c r="DE15" s="85" t="s">
        <v>299</v>
      </c>
      <c r="DF15" s="84">
        <v>1</v>
      </c>
      <c r="DG15" s="85" t="s">
        <v>523</v>
      </c>
      <c r="DH15" s="85"/>
      <c r="DI15" s="85" t="s">
        <v>303</v>
      </c>
      <c r="DJ15" s="85" t="s">
        <v>302</v>
      </c>
      <c r="DK15" s="84">
        <v>0</v>
      </c>
      <c r="DL15" s="85"/>
      <c r="DM15" s="85"/>
      <c r="DN15" s="85" t="s">
        <v>298</v>
      </c>
      <c r="DO15" s="98" t="s">
        <v>298</v>
      </c>
      <c r="DP15" s="97">
        <f>IF(DO15=DN15,1,"")</f>
        <v>1</v>
      </c>
      <c r="DQ15" s="85" t="s">
        <v>302</v>
      </c>
      <c r="DR15" s="84">
        <v>0</v>
      </c>
      <c r="DS15" s="85"/>
      <c r="DT15" s="85"/>
      <c r="DU15" s="84">
        <v>0</v>
      </c>
      <c r="DV15" s="85"/>
      <c r="DW15" s="85" t="s">
        <v>299</v>
      </c>
      <c r="DX15" s="84">
        <v>1</v>
      </c>
      <c r="DY15" s="85" t="s">
        <v>524</v>
      </c>
      <c r="DZ15" s="85"/>
      <c r="EA15" s="85" t="s">
        <v>303</v>
      </c>
      <c r="EB15" s="85" t="s">
        <v>331</v>
      </c>
      <c r="EC15" s="84">
        <v>0</v>
      </c>
      <c r="ED15" s="85"/>
      <c r="EE15" s="85"/>
      <c r="EF15" s="85" t="s">
        <v>298</v>
      </c>
      <c r="EG15" s="98" t="s">
        <v>298</v>
      </c>
      <c r="EH15" s="97">
        <f>IF(EG15=EF15,1,"")</f>
        <v>1</v>
      </c>
      <c r="EI15" s="85" t="s">
        <v>331</v>
      </c>
      <c r="EJ15" s="84">
        <v>0</v>
      </c>
      <c r="EK15" s="85"/>
      <c r="EL15" s="85"/>
      <c r="EM15" s="85" t="s">
        <v>525</v>
      </c>
      <c r="EN15" s="85"/>
      <c r="EO15" s="85" t="s">
        <v>328</v>
      </c>
      <c r="EP15" s="84">
        <v>1</v>
      </c>
      <c r="EQ15" s="85" t="s">
        <v>333</v>
      </c>
      <c r="ER15" s="85" t="s">
        <v>303</v>
      </c>
      <c r="ES15" s="85" t="s">
        <v>331</v>
      </c>
      <c r="ET15" s="84">
        <v>0</v>
      </c>
      <c r="EU15" s="85"/>
      <c r="EV15" s="85"/>
      <c r="EW15" s="85" t="s">
        <v>288</v>
      </c>
      <c r="EX15" s="98" t="s">
        <v>288</v>
      </c>
      <c r="EY15" s="97">
        <f>IF(EX15=EW15,1,"")</f>
        <v>1</v>
      </c>
      <c r="EZ15" s="84">
        <v>0</v>
      </c>
      <c r="FA15" s="85"/>
      <c r="FB15" s="85"/>
      <c r="FC15" s="85" t="s">
        <v>526</v>
      </c>
      <c r="FD15" s="84">
        <v>0</v>
      </c>
      <c r="FE15" s="85"/>
      <c r="FF15" s="85" t="s">
        <v>299</v>
      </c>
      <c r="FG15" s="84">
        <v>0</v>
      </c>
      <c r="FH15" s="85"/>
      <c r="FI15" s="85"/>
      <c r="FJ15" s="85"/>
      <c r="FK15" s="85"/>
      <c r="FL15" s="85"/>
      <c r="FM15" s="85"/>
      <c r="FN15" s="85"/>
      <c r="FO15" s="85"/>
      <c r="FP15" s="84">
        <v>2</v>
      </c>
      <c r="FQ15" s="85" t="s">
        <v>527</v>
      </c>
      <c r="FR15" s="85" t="s">
        <v>528</v>
      </c>
      <c r="FS15" s="85"/>
      <c r="FT15" s="86"/>
      <c r="FU15" s="85" t="s">
        <v>351</v>
      </c>
      <c r="FV15" s="85"/>
      <c r="FW15" s="85"/>
      <c r="FX15" s="84">
        <v>-1</v>
      </c>
      <c r="FY15" s="84">
        <v>-1</v>
      </c>
      <c r="FZ15" s="84">
        <v>-1</v>
      </c>
      <c r="GA15" s="84">
        <v>-1</v>
      </c>
      <c r="GB15" s="84">
        <v>-1</v>
      </c>
      <c r="GC15" s="84">
        <v>-1</v>
      </c>
      <c r="GD15" s="84">
        <v>-1</v>
      </c>
      <c r="GE15" s="84">
        <v>-1</v>
      </c>
      <c r="GF15" s="84">
        <v>-1</v>
      </c>
      <c r="GG15" s="84">
        <v>-1</v>
      </c>
      <c r="GH15" s="84">
        <v>-1</v>
      </c>
      <c r="GI15" s="84">
        <v>-1</v>
      </c>
      <c r="GJ15" s="84">
        <v>-1</v>
      </c>
      <c r="GK15" s="84">
        <v>-1</v>
      </c>
      <c r="GL15" s="84">
        <v>-1</v>
      </c>
      <c r="GM15" s="84">
        <v>-15</v>
      </c>
      <c r="GN15" s="87"/>
      <c r="GO15" s="87"/>
      <c r="GP15" s="85" t="s">
        <v>319</v>
      </c>
      <c r="GQ15" s="85" t="s">
        <v>320</v>
      </c>
      <c r="GR15" s="85" t="s">
        <v>277</v>
      </c>
      <c r="GS15" s="84">
        <v>15</v>
      </c>
      <c r="GT15" s="84">
        <v>15</v>
      </c>
      <c r="GU15" s="84">
        <v>38</v>
      </c>
      <c r="GV15" s="84">
        <v>11</v>
      </c>
      <c r="GW15" s="88"/>
    </row>
    <row r="16" spans="1:205" x14ac:dyDescent="0.25">
      <c r="A16" s="38">
        <v>213</v>
      </c>
      <c r="B16" s="39" t="s">
        <v>321</v>
      </c>
      <c r="C16" s="39">
        <v>22</v>
      </c>
      <c r="D16" s="39" t="s">
        <v>353</v>
      </c>
      <c r="E16" s="39" t="s">
        <v>320</v>
      </c>
      <c r="F16" s="39" t="s">
        <v>282</v>
      </c>
      <c r="G16" s="39" t="s">
        <v>282</v>
      </c>
      <c r="H16" s="39" t="s">
        <v>282</v>
      </c>
      <c r="I16" s="39" t="s">
        <v>282</v>
      </c>
      <c r="J16" s="39" t="s">
        <v>282</v>
      </c>
      <c r="K16" s="39" t="s">
        <v>281</v>
      </c>
      <c r="L16" s="39" t="s">
        <v>282</v>
      </c>
      <c r="M16" s="39" t="s">
        <v>282</v>
      </c>
      <c r="N16" s="39" t="s">
        <v>282</v>
      </c>
      <c r="O16" s="38">
        <v>0</v>
      </c>
      <c r="P16" s="39"/>
      <c r="Q16" s="39"/>
      <c r="R16" s="39" t="s">
        <v>423</v>
      </c>
      <c r="S16" s="39"/>
      <c r="T16" s="39"/>
      <c r="U16" s="39"/>
      <c r="V16" s="39"/>
      <c r="W16" s="40" t="s">
        <v>464</v>
      </c>
      <c r="X16" s="39" t="s">
        <v>316</v>
      </c>
      <c r="Y16" s="38">
        <v>1</v>
      </c>
      <c r="Z16" s="39" t="s">
        <v>640</v>
      </c>
      <c r="AA16" s="39"/>
      <c r="AB16" s="39" t="s">
        <v>301</v>
      </c>
      <c r="AC16" s="39" t="s">
        <v>297</v>
      </c>
      <c r="AD16" s="38">
        <v>0</v>
      </c>
      <c r="AE16" s="39"/>
      <c r="AF16" s="39"/>
      <c r="AG16" s="39" t="s">
        <v>305</v>
      </c>
      <c r="AH16" s="98" t="s">
        <v>305</v>
      </c>
      <c r="AI16" s="97">
        <f t="shared" si="1"/>
        <v>1</v>
      </c>
      <c r="AJ16" s="39" t="s">
        <v>287</v>
      </c>
      <c r="AK16" s="38">
        <v>0</v>
      </c>
      <c r="AL16" s="39"/>
      <c r="AM16" s="39"/>
      <c r="AN16" s="38">
        <v>0</v>
      </c>
      <c r="AO16" s="39"/>
      <c r="AP16" s="39"/>
      <c r="AQ16" s="39" t="s">
        <v>366</v>
      </c>
      <c r="AR16" s="38">
        <v>1</v>
      </c>
      <c r="AS16" s="39" t="s">
        <v>641</v>
      </c>
      <c r="AT16" s="39"/>
      <c r="AU16" s="39" t="s">
        <v>301</v>
      </c>
      <c r="AV16" s="39" t="s">
        <v>287</v>
      </c>
      <c r="AW16" s="38">
        <v>0</v>
      </c>
      <c r="AX16" s="39"/>
      <c r="AY16" s="39"/>
      <c r="AZ16" s="39" t="s">
        <v>288</v>
      </c>
      <c r="BA16" s="98" t="s">
        <v>324</v>
      </c>
      <c r="BB16" s="97" t="str">
        <f>IF(BA16=AZ16,1,"")</f>
        <v/>
      </c>
      <c r="BC16" s="39" t="s">
        <v>287</v>
      </c>
      <c r="BD16" s="38">
        <v>0</v>
      </c>
      <c r="BE16" s="39"/>
      <c r="BF16" s="39"/>
      <c r="BG16" s="38">
        <v>0</v>
      </c>
      <c r="BH16" s="39"/>
      <c r="BI16" s="39" t="s">
        <v>296</v>
      </c>
      <c r="BJ16" s="39" t="s">
        <v>301</v>
      </c>
      <c r="BK16" s="39" t="s">
        <v>297</v>
      </c>
      <c r="BL16" s="38">
        <v>0</v>
      </c>
      <c r="BM16" s="39"/>
      <c r="BN16" s="39"/>
      <c r="BO16" s="39" t="s">
        <v>288</v>
      </c>
      <c r="BP16" s="39"/>
      <c r="BQ16" s="38">
        <v>0</v>
      </c>
      <c r="BR16" s="39"/>
      <c r="BS16" s="39"/>
      <c r="BT16" s="38">
        <v>0</v>
      </c>
      <c r="BU16" s="39"/>
      <c r="BV16" s="39" t="s">
        <v>296</v>
      </c>
      <c r="BW16" s="38">
        <v>0</v>
      </c>
      <c r="BX16" s="39"/>
      <c r="BY16" s="39" t="s">
        <v>294</v>
      </c>
      <c r="BZ16" s="39" t="s">
        <v>297</v>
      </c>
      <c r="CA16" s="38">
        <v>0</v>
      </c>
      <c r="CB16" s="39"/>
      <c r="CC16" s="39"/>
      <c r="CD16" s="39" t="s">
        <v>324</v>
      </c>
      <c r="CE16" s="97"/>
      <c r="CF16" s="97" t="str">
        <f>IF(CE16=CD16,1,"")</f>
        <v/>
      </c>
      <c r="CG16" s="39" t="s">
        <v>302</v>
      </c>
      <c r="CH16" s="38">
        <v>0</v>
      </c>
      <c r="CI16" s="39"/>
      <c r="CJ16" s="39"/>
      <c r="CK16" s="38">
        <v>0</v>
      </c>
      <c r="CL16" s="39"/>
      <c r="CM16" s="39" t="s">
        <v>296</v>
      </c>
      <c r="CN16" s="38">
        <v>0</v>
      </c>
      <c r="CO16" s="39"/>
      <c r="CP16" s="39"/>
      <c r="CQ16" s="39" t="s">
        <v>303</v>
      </c>
      <c r="CR16" s="39" t="s">
        <v>297</v>
      </c>
      <c r="CS16" s="38">
        <v>0</v>
      </c>
      <c r="CT16" s="39"/>
      <c r="CU16" s="39"/>
      <c r="CV16" s="39" t="s">
        <v>305</v>
      </c>
      <c r="CW16" s="98"/>
      <c r="CX16" s="97" t="str">
        <f>IF(CW16=CV16,1,"")</f>
        <v/>
      </c>
      <c r="CY16" s="39" t="s">
        <v>302</v>
      </c>
      <c r="CZ16" s="38">
        <v>0</v>
      </c>
      <c r="DA16" s="39"/>
      <c r="DB16" s="39"/>
      <c r="DC16" s="38">
        <v>0</v>
      </c>
      <c r="DD16" s="39"/>
      <c r="DE16" s="39" t="s">
        <v>296</v>
      </c>
      <c r="DF16" s="38">
        <v>0</v>
      </c>
      <c r="DG16" s="39"/>
      <c r="DH16" s="39"/>
      <c r="DI16" s="39" t="s">
        <v>303</v>
      </c>
      <c r="DJ16" s="39" t="s">
        <v>302</v>
      </c>
      <c r="DK16" s="38">
        <v>0</v>
      </c>
      <c r="DL16" s="39"/>
      <c r="DM16" s="39"/>
      <c r="DN16" s="39" t="s">
        <v>305</v>
      </c>
      <c r="DO16" s="98"/>
      <c r="DP16" s="97" t="str">
        <f>IF(DO16=DN16,1,"")</f>
        <v/>
      </c>
      <c r="DQ16" s="39" t="s">
        <v>331</v>
      </c>
      <c r="DR16" s="38">
        <v>0</v>
      </c>
      <c r="DS16" s="39"/>
      <c r="DT16" s="39"/>
      <c r="DU16" s="38">
        <v>0</v>
      </c>
      <c r="DV16" s="39"/>
      <c r="DW16" s="39" t="s">
        <v>296</v>
      </c>
      <c r="DX16" s="38">
        <v>0</v>
      </c>
      <c r="DY16" s="39"/>
      <c r="DZ16" s="39"/>
      <c r="EA16" s="39" t="s">
        <v>303</v>
      </c>
      <c r="EB16" s="39" t="s">
        <v>331</v>
      </c>
      <c r="EC16" s="38">
        <v>0</v>
      </c>
      <c r="ED16" s="39"/>
      <c r="EE16" s="39"/>
      <c r="EF16" s="39" t="s">
        <v>298</v>
      </c>
      <c r="EG16" s="98"/>
      <c r="EH16" s="97" t="str">
        <f>IF(EG16=EF16,1,"")</f>
        <v/>
      </c>
      <c r="EI16" s="39" t="s">
        <v>331</v>
      </c>
      <c r="EJ16" s="38">
        <v>0</v>
      </c>
      <c r="EK16" s="39"/>
      <c r="EL16" s="39"/>
      <c r="EM16" s="39"/>
      <c r="EN16" s="39"/>
      <c r="EO16" s="39" t="s">
        <v>328</v>
      </c>
      <c r="EP16" s="38">
        <v>0</v>
      </c>
      <c r="EQ16" s="39"/>
      <c r="ER16" s="39" t="s">
        <v>294</v>
      </c>
      <c r="ES16" s="39" t="s">
        <v>331</v>
      </c>
      <c r="ET16" s="38">
        <v>0</v>
      </c>
      <c r="EU16" s="39"/>
      <c r="EV16" s="39"/>
      <c r="EW16" s="39" t="s">
        <v>288</v>
      </c>
      <c r="EX16" s="98" t="s">
        <v>288</v>
      </c>
      <c r="EY16" s="97">
        <f>IF(EX16=EW16,1,"")</f>
        <v>1</v>
      </c>
      <c r="EZ16" s="38">
        <v>0</v>
      </c>
      <c r="FA16" s="39"/>
      <c r="FB16" s="39"/>
      <c r="FC16" s="39"/>
      <c r="FD16" s="38">
        <v>0</v>
      </c>
      <c r="FE16" s="39"/>
      <c r="FF16" s="39" t="s">
        <v>299</v>
      </c>
      <c r="FG16" s="38">
        <v>0</v>
      </c>
      <c r="FH16" s="39"/>
      <c r="FI16" s="39"/>
      <c r="FJ16" s="39"/>
      <c r="FK16" s="39"/>
      <c r="FL16" s="39"/>
      <c r="FM16" s="39"/>
      <c r="FN16" s="39"/>
      <c r="FO16" s="39"/>
      <c r="FP16" s="38">
        <v>0</v>
      </c>
      <c r="FQ16" s="39"/>
      <c r="FR16" s="39"/>
      <c r="FS16" s="39"/>
      <c r="FT16" s="40"/>
      <c r="FU16" s="39" t="s">
        <v>335</v>
      </c>
      <c r="FV16" s="39" t="s">
        <v>642</v>
      </c>
      <c r="FW16" s="39"/>
      <c r="FX16" s="38">
        <v>-1</v>
      </c>
      <c r="FY16" s="38">
        <v>-1</v>
      </c>
      <c r="FZ16" s="38">
        <v>-1</v>
      </c>
      <c r="GA16" s="38">
        <v>-1</v>
      </c>
      <c r="GB16" s="38">
        <v>-1</v>
      </c>
      <c r="GC16" s="38">
        <v>-1</v>
      </c>
      <c r="GD16" s="38">
        <v>-1</v>
      </c>
      <c r="GE16" s="38">
        <v>-1</v>
      </c>
      <c r="GF16" s="38">
        <v>-1</v>
      </c>
      <c r="GG16" s="38">
        <v>-1</v>
      </c>
      <c r="GH16" s="38">
        <v>-1</v>
      </c>
      <c r="GI16" s="38">
        <v>-1</v>
      </c>
      <c r="GJ16" s="38">
        <v>-1</v>
      </c>
      <c r="GK16" s="38">
        <v>-1</v>
      </c>
      <c r="GL16" s="38">
        <v>-1</v>
      </c>
      <c r="GM16" s="38">
        <v>-15</v>
      </c>
      <c r="GN16" s="41"/>
      <c r="GO16" s="41"/>
      <c r="GP16" s="39" t="s">
        <v>319</v>
      </c>
      <c r="GQ16" s="39" t="s">
        <v>320</v>
      </c>
      <c r="GR16" s="39" t="s">
        <v>277</v>
      </c>
      <c r="GS16" s="38">
        <v>15</v>
      </c>
      <c r="GT16" s="38">
        <v>15</v>
      </c>
      <c r="GU16" s="38">
        <v>48</v>
      </c>
      <c r="GV16" s="38">
        <v>19</v>
      </c>
      <c r="GW16" s="42"/>
    </row>
    <row r="17" spans="1:205" customFormat="1" x14ac:dyDescent="0.25">
      <c r="A17" s="38">
        <v>240</v>
      </c>
      <c r="B17" s="39" t="s">
        <v>321</v>
      </c>
      <c r="C17" s="39">
        <v>22</v>
      </c>
      <c r="D17" s="39" t="s">
        <v>279</v>
      </c>
      <c r="E17" s="39" t="s">
        <v>422</v>
      </c>
      <c r="F17" s="39" t="s">
        <v>282</v>
      </c>
      <c r="G17" s="39" t="s">
        <v>281</v>
      </c>
      <c r="H17" s="39" t="s">
        <v>282</v>
      </c>
      <c r="I17" s="39" t="s">
        <v>282</v>
      </c>
      <c r="J17" s="39" t="s">
        <v>282</v>
      </c>
      <c r="K17" s="39" t="s">
        <v>281</v>
      </c>
      <c r="L17" s="39" t="s">
        <v>282</v>
      </c>
      <c r="M17" s="39" t="s">
        <v>282</v>
      </c>
      <c r="N17" s="39" t="s">
        <v>282</v>
      </c>
      <c r="O17" s="38">
        <v>0</v>
      </c>
      <c r="P17" s="39"/>
      <c r="Q17" s="39"/>
      <c r="R17" s="39" t="s">
        <v>423</v>
      </c>
      <c r="S17" s="39"/>
      <c r="T17" s="39"/>
      <c r="U17" s="39"/>
      <c r="V17" s="39"/>
      <c r="W17" s="40" t="s">
        <v>424</v>
      </c>
      <c r="X17" s="39" t="s">
        <v>437</v>
      </c>
      <c r="Y17" s="38">
        <v>1</v>
      </c>
      <c r="Z17" s="39" t="s">
        <v>702</v>
      </c>
      <c r="AA17" s="39"/>
      <c r="AB17" s="39" t="s">
        <v>294</v>
      </c>
      <c r="AC17" s="39" t="s">
        <v>297</v>
      </c>
      <c r="AD17" s="38">
        <v>0</v>
      </c>
      <c r="AE17" s="39"/>
      <c r="AF17" s="39"/>
      <c r="AG17" s="39" t="s">
        <v>305</v>
      </c>
      <c r="AH17" s="98" t="s">
        <v>305</v>
      </c>
      <c r="AI17" s="97">
        <f t="shared" si="1"/>
        <v>1</v>
      </c>
      <c r="AJ17" s="39" t="s">
        <v>302</v>
      </c>
      <c r="AK17" s="38">
        <v>0</v>
      </c>
      <c r="AL17" s="39"/>
      <c r="AM17" s="39"/>
      <c r="AN17" s="38">
        <v>1</v>
      </c>
      <c r="AO17" s="39" t="s">
        <v>703</v>
      </c>
      <c r="AP17" s="39"/>
      <c r="AQ17" s="39" t="s">
        <v>299</v>
      </c>
      <c r="AR17" s="38">
        <v>1</v>
      </c>
      <c r="AS17" s="39" t="s">
        <v>405</v>
      </c>
      <c r="AT17" s="39"/>
      <c r="AU17" s="39" t="s">
        <v>294</v>
      </c>
      <c r="AV17" s="39" t="s">
        <v>287</v>
      </c>
      <c r="AW17" s="38">
        <v>0</v>
      </c>
      <c r="AX17" s="39"/>
      <c r="AY17" s="39"/>
      <c r="AZ17" s="39" t="s">
        <v>288</v>
      </c>
      <c r="BA17" s="98" t="s">
        <v>324</v>
      </c>
      <c r="BB17" s="97" t="str">
        <f>IF(BA17=AZ17,1,"")</f>
        <v/>
      </c>
      <c r="BC17" s="39" t="s">
        <v>302</v>
      </c>
      <c r="BD17" s="38">
        <v>0</v>
      </c>
      <c r="BE17" s="39"/>
      <c r="BF17" s="39"/>
      <c r="BG17" s="38">
        <v>0</v>
      </c>
      <c r="BH17" s="39"/>
      <c r="BI17" s="39" t="s">
        <v>328</v>
      </c>
      <c r="BJ17" s="39" t="s">
        <v>294</v>
      </c>
      <c r="BK17" s="39" t="s">
        <v>297</v>
      </c>
      <c r="BL17" s="38">
        <v>0</v>
      </c>
      <c r="BM17" s="39"/>
      <c r="BN17" s="39"/>
      <c r="BO17" s="39" t="s">
        <v>288</v>
      </c>
      <c r="BP17" s="39" t="s">
        <v>302</v>
      </c>
      <c r="BQ17" s="38">
        <v>0</v>
      </c>
      <c r="BR17" s="39"/>
      <c r="BS17" s="39"/>
      <c r="BT17" s="38">
        <v>0</v>
      </c>
      <c r="BU17" s="39"/>
      <c r="BV17" s="39" t="s">
        <v>299</v>
      </c>
      <c r="BW17" s="38">
        <v>1</v>
      </c>
      <c r="BX17" s="39" t="s">
        <v>588</v>
      </c>
      <c r="BY17" s="39" t="s">
        <v>294</v>
      </c>
      <c r="BZ17" s="39" t="s">
        <v>297</v>
      </c>
      <c r="CA17" s="38">
        <v>0</v>
      </c>
      <c r="CB17" s="39"/>
      <c r="CC17" s="39"/>
      <c r="CD17" s="39" t="s">
        <v>288</v>
      </c>
      <c r="CE17" s="97" t="s">
        <v>288</v>
      </c>
      <c r="CF17" s="97">
        <f>IF(CE17=CD17,1,"")</f>
        <v>1</v>
      </c>
      <c r="CG17" s="39" t="s">
        <v>302</v>
      </c>
      <c r="CH17" s="38">
        <v>0</v>
      </c>
      <c r="CI17" s="39"/>
      <c r="CJ17" s="39"/>
      <c r="CK17" s="38">
        <v>0</v>
      </c>
      <c r="CL17" s="39"/>
      <c r="CM17" s="39" t="s">
        <v>299</v>
      </c>
      <c r="CN17" s="38">
        <v>1</v>
      </c>
      <c r="CO17" s="39" t="s">
        <v>359</v>
      </c>
      <c r="CP17" s="39"/>
      <c r="CQ17" s="39" t="s">
        <v>303</v>
      </c>
      <c r="CR17" s="39" t="s">
        <v>297</v>
      </c>
      <c r="CS17" s="38">
        <v>0</v>
      </c>
      <c r="CT17" s="39"/>
      <c r="CU17" s="39"/>
      <c r="CV17" s="39" t="s">
        <v>305</v>
      </c>
      <c r="CW17" s="98" t="s">
        <v>305</v>
      </c>
      <c r="CX17" s="97">
        <f>IF(CW17=CV17,1,"")</f>
        <v>1</v>
      </c>
      <c r="CY17" s="39" t="s">
        <v>302</v>
      </c>
      <c r="CZ17" s="38">
        <v>0</v>
      </c>
      <c r="DA17" s="39"/>
      <c r="DB17" s="39"/>
      <c r="DC17" s="38">
        <v>0</v>
      </c>
      <c r="DD17" s="39"/>
      <c r="DE17" s="39" t="s">
        <v>328</v>
      </c>
      <c r="DF17" s="38">
        <v>1</v>
      </c>
      <c r="DG17" s="39" t="s">
        <v>372</v>
      </c>
      <c r="DH17" s="39"/>
      <c r="DI17" s="39" t="s">
        <v>294</v>
      </c>
      <c r="DJ17" s="39" t="s">
        <v>302</v>
      </c>
      <c r="DK17" s="38">
        <v>0</v>
      </c>
      <c r="DL17" s="39"/>
      <c r="DM17" s="39"/>
      <c r="DN17" s="39" t="s">
        <v>288</v>
      </c>
      <c r="DO17" s="98" t="s">
        <v>288</v>
      </c>
      <c r="DP17" s="97">
        <f>IF(DO17=DN17,1,"")</f>
        <v>1</v>
      </c>
      <c r="DQ17" s="39" t="s">
        <v>302</v>
      </c>
      <c r="DR17" s="38">
        <v>0</v>
      </c>
      <c r="DS17" s="39"/>
      <c r="DT17" s="39"/>
      <c r="DU17" s="38">
        <v>0</v>
      </c>
      <c r="DV17" s="39"/>
      <c r="DW17" s="39" t="s">
        <v>328</v>
      </c>
      <c r="DX17" s="38">
        <v>1</v>
      </c>
      <c r="DY17" s="39" t="s">
        <v>696</v>
      </c>
      <c r="DZ17" s="39"/>
      <c r="EA17" s="39" t="s">
        <v>303</v>
      </c>
      <c r="EB17" s="39" t="s">
        <v>331</v>
      </c>
      <c r="EC17" s="38">
        <v>0</v>
      </c>
      <c r="ED17" s="39"/>
      <c r="EE17" s="39"/>
      <c r="EF17" s="39" t="s">
        <v>298</v>
      </c>
      <c r="EG17" s="98" t="s">
        <v>298</v>
      </c>
      <c r="EH17" s="97">
        <f>IF(EG17=EF17,1,"")</f>
        <v>1</v>
      </c>
      <c r="EI17" s="39" t="s">
        <v>331</v>
      </c>
      <c r="EJ17" s="38">
        <v>0</v>
      </c>
      <c r="EK17" s="39"/>
      <c r="EL17" s="39"/>
      <c r="EM17" s="39" t="s">
        <v>704</v>
      </c>
      <c r="EN17" s="39"/>
      <c r="EO17" s="39" t="s">
        <v>299</v>
      </c>
      <c r="EP17" s="38">
        <v>1</v>
      </c>
      <c r="EQ17" s="39" t="s">
        <v>705</v>
      </c>
      <c r="ER17" s="39" t="s">
        <v>294</v>
      </c>
      <c r="ES17" s="39" t="s">
        <v>331</v>
      </c>
      <c r="ET17" s="38">
        <v>0</v>
      </c>
      <c r="EU17" s="39"/>
      <c r="EV17" s="39"/>
      <c r="EW17" s="39" t="s">
        <v>305</v>
      </c>
      <c r="EX17" s="98" t="s">
        <v>288</v>
      </c>
      <c r="EY17" s="97" t="str">
        <f>IF(EX17=EW17,1,"")</f>
        <v/>
      </c>
      <c r="EZ17" s="38">
        <v>0</v>
      </c>
      <c r="FA17" s="39"/>
      <c r="FB17" s="39"/>
      <c r="FC17" s="39"/>
      <c r="FD17" s="38">
        <v>1</v>
      </c>
      <c r="FE17" s="39" t="s">
        <v>703</v>
      </c>
      <c r="FF17" s="39" t="s">
        <v>328</v>
      </c>
      <c r="FG17" s="38">
        <v>0</v>
      </c>
      <c r="FH17" s="39"/>
      <c r="FI17" s="39"/>
      <c r="FJ17" s="39"/>
      <c r="FK17" s="39"/>
      <c r="FL17" s="39" t="s">
        <v>358</v>
      </c>
      <c r="FM17" s="39" t="s">
        <v>706</v>
      </c>
      <c r="FN17" s="39" t="s">
        <v>707</v>
      </c>
      <c r="FO17" s="39" t="s">
        <v>708</v>
      </c>
      <c r="FP17" s="38">
        <v>0</v>
      </c>
      <c r="FQ17" s="39"/>
      <c r="FR17" s="39"/>
      <c r="FS17" s="39"/>
      <c r="FT17" s="40"/>
      <c r="FU17" s="39" t="s">
        <v>317</v>
      </c>
      <c r="FV17" s="39" t="s">
        <v>709</v>
      </c>
      <c r="FW17" s="39"/>
      <c r="FX17" s="38">
        <v>-1</v>
      </c>
      <c r="FY17" s="38">
        <v>-1</v>
      </c>
      <c r="FZ17" s="38">
        <v>-1</v>
      </c>
      <c r="GA17" s="38">
        <v>-1</v>
      </c>
      <c r="GB17" s="38">
        <v>-1</v>
      </c>
      <c r="GC17" s="38">
        <v>-1</v>
      </c>
      <c r="GD17" s="38">
        <v>-1</v>
      </c>
      <c r="GE17" s="38">
        <v>-1</v>
      </c>
      <c r="GF17" s="38">
        <v>-1</v>
      </c>
      <c r="GG17" s="38">
        <v>-1</v>
      </c>
      <c r="GH17" s="38">
        <v>-1</v>
      </c>
      <c r="GI17" s="38">
        <v>-1</v>
      </c>
      <c r="GJ17" s="38">
        <v>-1</v>
      </c>
      <c r="GK17" s="38">
        <v>-1</v>
      </c>
      <c r="GL17" s="38">
        <v>-1</v>
      </c>
      <c r="GM17" s="38">
        <v>-15</v>
      </c>
      <c r="GN17" s="41"/>
      <c r="GO17" s="41"/>
      <c r="GP17" s="39" t="s">
        <v>319</v>
      </c>
      <c r="GQ17" s="39" t="s">
        <v>320</v>
      </c>
      <c r="GR17" s="39" t="s">
        <v>277</v>
      </c>
      <c r="GS17" s="38">
        <v>15</v>
      </c>
      <c r="GT17" s="38">
        <v>15</v>
      </c>
      <c r="GU17" s="38">
        <v>30</v>
      </c>
      <c r="GV17" s="38">
        <v>7</v>
      </c>
      <c r="GW17" s="42"/>
    </row>
    <row r="18" spans="1:205" x14ac:dyDescent="0.25">
      <c r="A18" s="51">
        <v>119</v>
      </c>
      <c r="B18" s="52" t="s">
        <v>321</v>
      </c>
      <c r="C18" s="52">
        <v>22</v>
      </c>
      <c r="D18" s="52" t="s">
        <v>279</v>
      </c>
      <c r="E18" s="52" t="s">
        <v>280</v>
      </c>
      <c r="F18" s="52" t="s">
        <v>281</v>
      </c>
      <c r="G18" s="52" t="s">
        <v>281</v>
      </c>
      <c r="H18" s="52" t="s">
        <v>282</v>
      </c>
      <c r="I18" s="52" t="s">
        <v>282</v>
      </c>
      <c r="J18" s="52" t="s">
        <v>282</v>
      </c>
      <c r="K18" s="52" t="s">
        <v>282</v>
      </c>
      <c r="L18" s="52" t="s">
        <v>281</v>
      </c>
      <c r="M18" s="52" t="s">
        <v>281</v>
      </c>
      <c r="N18" s="52" t="s">
        <v>282</v>
      </c>
      <c r="O18" s="51">
        <v>0</v>
      </c>
      <c r="P18" s="52"/>
      <c r="Q18" s="52"/>
      <c r="R18" s="52" t="s">
        <v>283</v>
      </c>
      <c r="S18" s="52" t="s">
        <v>322</v>
      </c>
      <c r="T18" s="52"/>
      <c r="U18" s="52"/>
      <c r="V18" s="52" t="s">
        <v>422</v>
      </c>
      <c r="W18" s="52"/>
      <c r="X18" s="52" t="s">
        <v>316</v>
      </c>
      <c r="Y18" s="51">
        <v>0</v>
      </c>
      <c r="Z18" s="52"/>
      <c r="AA18" s="52"/>
      <c r="AB18" s="52" t="s">
        <v>303</v>
      </c>
      <c r="AC18" s="52" t="s">
        <v>302</v>
      </c>
      <c r="AD18" s="51">
        <v>0</v>
      </c>
      <c r="AE18" s="52"/>
      <c r="AF18" s="52"/>
      <c r="AG18" s="52" t="s">
        <v>305</v>
      </c>
      <c r="AH18" s="98" t="s">
        <v>298</v>
      </c>
      <c r="AI18" s="97" t="str">
        <f t="shared" si="1"/>
        <v/>
      </c>
      <c r="AJ18" s="52" t="s">
        <v>302</v>
      </c>
      <c r="AK18" s="51">
        <v>0</v>
      </c>
      <c r="AL18" s="52"/>
      <c r="AM18" s="52"/>
      <c r="AN18" s="51">
        <v>0</v>
      </c>
      <c r="AO18" s="52"/>
      <c r="AP18" s="52"/>
      <c r="AQ18" s="52" t="s">
        <v>299</v>
      </c>
      <c r="AR18" s="51">
        <v>1</v>
      </c>
      <c r="AS18" s="52" t="s">
        <v>323</v>
      </c>
      <c r="AT18" s="52"/>
      <c r="AU18" s="52" t="s">
        <v>301</v>
      </c>
      <c r="AV18" s="52" t="s">
        <v>287</v>
      </c>
      <c r="AW18" s="51">
        <v>0</v>
      </c>
      <c r="AX18" s="52"/>
      <c r="AY18" s="52"/>
      <c r="AZ18" s="52" t="s">
        <v>324</v>
      </c>
      <c r="BA18" s="98" t="s">
        <v>840</v>
      </c>
      <c r="BB18" s="97">
        <v>1</v>
      </c>
      <c r="BC18" s="52" t="s">
        <v>287</v>
      </c>
      <c r="BD18" s="51">
        <v>0</v>
      </c>
      <c r="BE18" s="52"/>
      <c r="BF18" s="52"/>
      <c r="BG18" s="51">
        <v>1</v>
      </c>
      <c r="BH18" s="52" t="s">
        <v>325</v>
      </c>
      <c r="BI18" s="52" t="s">
        <v>299</v>
      </c>
      <c r="BJ18" s="52"/>
      <c r="BK18" s="52"/>
      <c r="BL18" s="51">
        <v>0</v>
      </c>
      <c r="BM18" s="52"/>
      <c r="BN18" s="52"/>
      <c r="BO18" s="52"/>
      <c r="BP18" s="52"/>
      <c r="BQ18" s="51">
        <v>0</v>
      </c>
      <c r="BR18" s="52"/>
      <c r="BS18" s="52"/>
      <c r="BT18" s="51">
        <v>0</v>
      </c>
      <c r="BU18" s="52"/>
      <c r="BV18" s="52"/>
      <c r="BW18" s="51">
        <v>0</v>
      </c>
      <c r="BX18" s="52"/>
      <c r="BY18" s="52"/>
      <c r="BZ18" s="52"/>
      <c r="CA18" s="51">
        <v>0</v>
      </c>
      <c r="CB18" s="52"/>
      <c r="CC18" s="52"/>
      <c r="CD18" s="52"/>
      <c r="CE18" s="97"/>
      <c r="CG18" s="52"/>
      <c r="CH18" s="51">
        <v>0</v>
      </c>
      <c r="CI18" s="52"/>
      <c r="CJ18" s="52"/>
      <c r="CK18" s="51">
        <v>0</v>
      </c>
      <c r="CL18" s="52"/>
      <c r="CM18" s="52"/>
      <c r="CN18" s="51">
        <v>1</v>
      </c>
      <c r="CO18" s="52" t="s">
        <v>326</v>
      </c>
      <c r="CP18" s="52"/>
      <c r="CQ18" s="52" t="s">
        <v>303</v>
      </c>
      <c r="CR18" s="52" t="s">
        <v>302</v>
      </c>
      <c r="CS18" s="51">
        <v>0</v>
      </c>
      <c r="CT18" s="52"/>
      <c r="CU18" s="52"/>
      <c r="CV18" s="52" t="s">
        <v>305</v>
      </c>
      <c r="CW18" s="98" t="s">
        <v>305</v>
      </c>
      <c r="CX18" s="97">
        <f>IF(CW18=CV18,1,"")</f>
        <v>1</v>
      </c>
      <c r="CY18" s="52" t="s">
        <v>302</v>
      </c>
      <c r="CZ18" s="51">
        <v>0</v>
      </c>
      <c r="DA18" s="52"/>
      <c r="DB18" s="52"/>
      <c r="DC18" s="51">
        <v>1</v>
      </c>
      <c r="DD18" s="52" t="s">
        <v>327</v>
      </c>
      <c r="DE18" s="52" t="s">
        <v>328</v>
      </c>
      <c r="DF18" s="51">
        <v>1</v>
      </c>
      <c r="DG18" s="52" t="s">
        <v>329</v>
      </c>
      <c r="DH18" s="52"/>
      <c r="DI18" s="52" t="s">
        <v>294</v>
      </c>
      <c r="DJ18" s="52" t="s">
        <v>302</v>
      </c>
      <c r="DK18" s="51">
        <v>0</v>
      </c>
      <c r="DL18" s="52"/>
      <c r="DM18" s="52"/>
      <c r="DN18" s="52" t="s">
        <v>305</v>
      </c>
      <c r="DO18" s="98" t="s">
        <v>298</v>
      </c>
      <c r="DP18" s="97" t="str">
        <f>IF(DO18=DN18,1,"")</f>
        <v/>
      </c>
      <c r="DQ18" s="52" t="s">
        <v>302</v>
      </c>
      <c r="DR18" s="51">
        <v>0</v>
      </c>
      <c r="DS18" s="52"/>
      <c r="DT18" s="52"/>
      <c r="DU18" s="51">
        <v>1</v>
      </c>
      <c r="DV18" s="52" t="s">
        <v>330</v>
      </c>
      <c r="DW18" s="52" t="s">
        <v>299</v>
      </c>
      <c r="DX18" s="51">
        <v>1</v>
      </c>
      <c r="DY18" s="52" t="s">
        <v>308</v>
      </c>
      <c r="DZ18" s="52"/>
      <c r="EA18" s="52" t="s">
        <v>294</v>
      </c>
      <c r="EB18" s="52" t="s">
        <v>331</v>
      </c>
      <c r="EC18" s="51">
        <v>0</v>
      </c>
      <c r="ED18" s="52"/>
      <c r="EE18" s="52"/>
      <c r="EF18" s="52" t="s">
        <v>298</v>
      </c>
      <c r="EG18" s="98" t="s">
        <v>298</v>
      </c>
      <c r="EH18" s="97">
        <f>IF(EG18=EF18,1,"")</f>
        <v>1</v>
      </c>
      <c r="EI18" s="52" t="s">
        <v>331</v>
      </c>
      <c r="EJ18" s="51">
        <v>0</v>
      </c>
      <c r="EK18" s="52"/>
      <c r="EL18" s="52"/>
      <c r="EM18" s="52" t="s">
        <v>332</v>
      </c>
      <c r="EN18" s="52"/>
      <c r="EO18" s="52" t="s">
        <v>299</v>
      </c>
      <c r="EP18" s="51">
        <v>1</v>
      </c>
      <c r="EQ18" s="52" t="s">
        <v>333</v>
      </c>
      <c r="ER18" s="52" t="s">
        <v>294</v>
      </c>
      <c r="ES18" s="52" t="s">
        <v>331</v>
      </c>
      <c r="ET18" s="51">
        <v>0</v>
      </c>
      <c r="EU18" s="52"/>
      <c r="EV18" s="52"/>
      <c r="EW18" s="52" t="s">
        <v>305</v>
      </c>
      <c r="EX18" s="98" t="s">
        <v>305</v>
      </c>
      <c r="EY18" s="97">
        <f>IF(EX18=EW18,1,"")</f>
        <v>1</v>
      </c>
      <c r="EZ18" s="51">
        <v>0</v>
      </c>
      <c r="FA18" s="52"/>
      <c r="FB18" s="52"/>
      <c r="FC18" s="52" t="s">
        <v>334</v>
      </c>
      <c r="FD18" s="51">
        <v>0</v>
      </c>
      <c r="FE18" s="52"/>
      <c r="FF18" s="52" t="s">
        <v>299</v>
      </c>
      <c r="FG18" s="51">
        <v>0</v>
      </c>
      <c r="FH18" s="52"/>
      <c r="FI18" s="52"/>
      <c r="FJ18" s="52"/>
      <c r="FK18" s="52"/>
      <c r="FL18" s="52"/>
      <c r="FM18" s="52"/>
      <c r="FN18" s="52"/>
      <c r="FO18" s="52"/>
      <c r="FP18" s="51">
        <v>0</v>
      </c>
      <c r="FQ18" s="52"/>
      <c r="FR18" s="52"/>
      <c r="FS18" s="52"/>
      <c r="FT18" s="48"/>
      <c r="FU18" s="52" t="s">
        <v>335</v>
      </c>
      <c r="FV18" s="52" t="s">
        <v>336</v>
      </c>
      <c r="FW18" s="52"/>
      <c r="FX18" s="51">
        <v>-1</v>
      </c>
      <c r="FY18" s="51">
        <v>-1</v>
      </c>
      <c r="FZ18" s="51">
        <v>-1</v>
      </c>
      <c r="GA18" s="51">
        <v>-1</v>
      </c>
      <c r="GB18" s="51">
        <v>-1</v>
      </c>
      <c r="GC18" s="51">
        <v>-1</v>
      </c>
      <c r="GD18" s="51">
        <v>-1</v>
      </c>
      <c r="GE18" s="51">
        <v>-1</v>
      </c>
      <c r="GF18" s="51">
        <v>-1</v>
      </c>
      <c r="GG18" s="51">
        <v>-1</v>
      </c>
      <c r="GH18" s="51">
        <v>-1</v>
      </c>
      <c r="GI18" s="51">
        <v>-1</v>
      </c>
      <c r="GJ18" s="51">
        <v>-1</v>
      </c>
      <c r="GK18" s="51">
        <v>-1</v>
      </c>
      <c r="GL18" s="51">
        <v>-1</v>
      </c>
      <c r="GM18" s="51">
        <v>-15</v>
      </c>
      <c r="GN18" s="53"/>
      <c r="GO18" s="53"/>
      <c r="GP18" s="52" t="s">
        <v>319</v>
      </c>
      <c r="GQ18" s="52" t="s">
        <v>320</v>
      </c>
      <c r="GR18" s="52" t="s">
        <v>277</v>
      </c>
      <c r="GS18" s="51">
        <v>15</v>
      </c>
      <c r="GT18" s="51">
        <v>15</v>
      </c>
      <c r="GU18" s="51">
        <v>47</v>
      </c>
      <c r="GV18" s="51">
        <v>25</v>
      </c>
      <c r="GW18" s="54"/>
    </row>
    <row r="19" spans="1:205" s="49" customFormat="1" x14ac:dyDescent="0.25">
      <c r="A19" s="51">
        <v>135</v>
      </c>
      <c r="B19" s="52" t="s">
        <v>321</v>
      </c>
      <c r="C19" s="52">
        <v>22</v>
      </c>
      <c r="D19" s="52" t="s">
        <v>279</v>
      </c>
      <c r="E19" s="52" t="s">
        <v>377</v>
      </c>
      <c r="F19" s="52" t="s">
        <v>281</v>
      </c>
      <c r="G19" s="52" t="s">
        <v>282</v>
      </c>
      <c r="H19" s="52" t="s">
        <v>282</v>
      </c>
      <c r="I19" s="52" t="s">
        <v>282</v>
      </c>
      <c r="J19" s="52" t="s">
        <v>282</v>
      </c>
      <c r="K19" s="52" t="s">
        <v>281</v>
      </c>
      <c r="L19" s="52" t="s">
        <v>282</v>
      </c>
      <c r="M19" s="52" t="s">
        <v>281</v>
      </c>
      <c r="N19" s="52" t="s">
        <v>282</v>
      </c>
      <c r="O19" s="51">
        <v>0</v>
      </c>
      <c r="P19" s="52"/>
      <c r="Q19" s="52"/>
      <c r="R19" s="52" t="s">
        <v>283</v>
      </c>
      <c r="S19" s="52" t="s">
        <v>378</v>
      </c>
      <c r="T19" s="52"/>
      <c r="U19" s="52"/>
      <c r="V19" s="52"/>
      <c r="W19" s="52"/>
      <c r="X19" s="52" t="s">
        <v>346</v>
      </c>
      <c r="Y19" s="51">
        <v>1</v>
      </c>
      <c r="Z19" s="52" t="s">
        <v>379</v>
      </c>
      <c r="AA19" s="52"/>
      <c r="AB19" s="52" t="s">
        <v>303</v>
      </c>
      <c r="AC19" s="52" t="s">
        <v>331</v>
      </c>
      <c r="AD19" s="51">
        <v>0</v>
      </c>
      <c r="AE19" s="52"/>
      <c r="AF19" s="52"/>
      <c r="AG19" s="52" t="s">
        <v>305</v>
      </c>
      <c r="AH19" s="98" t="s">
        <v>288</v>
      </c>
      <c r="AI19" s="97" t="str">
        <f t="shared" si="1"/>
        <v/>
      </c>
      <c r="AJ19" s="52" t="s">
        <v>297</v>
      </c>
      <c r="AK19" s="51">
        <v>1</v>
      </c>
      <c r="AL19" s="52" t="s">
        <v>380</v>
      </c>
      <c r="AM19" s="52"/>
      <c r="AN19" s="51">
        <v>0</v>
      </c>
      <c r="AO19" s="52"/>
      <c r="AP19" s="52"/>
      <c r="AQ19" s="52" t="s">
        <v>299</v>
      </c>
      <c r="AR19" s="51">
        <v>0</v>
      </c>
      <c r="AS19" s="52"/>
      <c r="AT19" s="52"/>
      <c r="AU19" s="52" t="s">
        <v>301</v>
      </c>
      <c r="AV19" s="52" t="s">
        <v>287</v>
      </c>
      <c r="AW19" s="51">
        <v>1</v>
      </c>
      <c r="AX19" s="52"/>
      <c r="AY19" s="52" t="s">
        <v>381</v>
      </c>
      <c r="AZ19" s="52" t="s">
        <v>288</v>
      </c>
      <c r="BA19" s="98"/>
      <c r="BB19" s="97" t="str">
        <f>IF(BA19=AZ19,1,"")</f>
        <v/>
      </c>
      <c r="BC19" s="52" t="s">
        <v>339</v>
      </c>
      <c r="BD19" s="51">
        <v>0</v>
      </c>
      <c r="BE19" s="52"/>
      <c r="BF19" s="52"/>
      <c r="BG19" s="51">
        <v>1</v>
      </c>
      <c r="BH19" s="52" t="s">
        <v>382</v>
      </c>
      <c r="BI19" s="52" t="s">
        <v>328</v>
      </c>
      <c r="BJ19" s="52" t="s">
        <v>301</v>
      </c>
      <c r="BK19" s="52" t="s">
        <v>297</v>
      </c>
      <c r="BL19" s="51">
        <v>1</v>
      </c>
      <c r="BM19" s="52" t="s">
        <v>339</v>
      </c>
      <c r="BN19" s="52"/>
      <c r="BO19" s="52" t="s">
        <v>324</v>
      </c>
      <c r="BP19" s="52" t="s">
        <v>297</v>
      </c>
      <c r="BQ19" s="51">
        <v>0</v>
      </c>
      <c r="BR19" s="52"/>
      <c r="BS19" s="52"/>
      <c r="BT19" s="51">
        <v>0</v>
      </c>
      <c r="BU19" s="52"/>
      <c r="BV19" s="52" t="s">
        <v>296</v>
      </c>
      <c r="BW19" s="51">
        <v>0</v>
      </c>
      <c r="BX19" s="52"/>
      <c r="BY19" s="52" t="s">
        <v>303</v>
      </c>
      <c r="BZ19" s="52" t="s">
        <v>297</v>
      </c>
      <c r="CA19" s="51">
        <v>0</v>
      </c>
      <c r="CB19" s="52"/>
      <c r="CC19" s="52"/>
      <c r="CD19" s="52" t="s">
        <v>305</v>
      </c>
      <c r="CE19" s="97"/>
      <c r="CF19" s="97" t="str">
        <f>IF(CE19=CD19,1,"")</f>
        <v/>
      </c>
      <c r="CG19" s="52" t="s">
        <v>297</v>
      </c>
      <c r="CH19" s="51">
        <v>0</v>
      </c>
      <c r="CI19" s="52"/>
      <c r="CJ19" s="52"/>
      <c r="CK19" s="51">
        <v>0</v>
      </c>
      <c r="CL19" s="52"/>
      <c r="CM19" s="52" t="s">
        <v>328</v>
      </c>
      <c r="CN19" s="51">
        <v>0</v>
      </c>
      <c r="CO19" s="52"/>
      <c r="CP19" s="52"/>
      <c r="CQ19" s="52" t="s">
        <v>303</v>
      </c>
      <c r="CR19" s="52" t="s">
        <v>297</v>
      </c>
      <c r="CS19" s="51">
        <v>0</v>
      </c>
      <c r="CT19" s="52"/>
      <c r="CU19" s="52"/>
      <c r="CV19" s="52" t="s">
        <v>298</v>
      </c>
      <c r="CW19" s="98"/>
      <c r="CX19" s="97" t="str">
        <f>IF(CW19=CV19,1,"")</f>
        <v/>
      </c>
      <c r="CY19" s="52" t="s">
        <v>297</v>
      </c>
      <c r="CZ19" s="51">
        <v>0</v>
      </c>
      <c r="DA19" s="52"/>
      <c r="DB19" s="52"/>
      <c r="DC19" s="51">
        <v>0</v>
      </c>
      <c r="DD19" s="52"/>
      <c r="DE19" s="52" t="s">
        <v>328</v>
      </c>
      <c r="DF19" s="51">
        <v>0</v>
      </c>
      <c r="DG19" s="52"/>
      <c r="DH19" s="52"/>
      <c r="DI19" s="52" t="s">
        <v>286</v>
      </c>
      <c r="DJ19" s="52" t="s">
        <v>297</v>
      </c>
      <c r="DK19" s="51">
        <v>0</v>
      </c>
      <c r="DL19" s="52"/>
      <c r="DM19" s="52"/>
      <c r="DN19" s="52" t="s">
        <v>324</v>
      </c>
      <c r="DO19" s="98"/>
      <c r="DP19" s="97" t="str">
        <f>IF(DO19=DN19,1,"")</f>
        <v/>
      </c>
      <c r="DQ19" s="52" t="s">
        <v>297</v>
      </c>
      <c r="DR19" s="51">
        <v>0</v>
      </c>
      <c r="DS19" s="52"/>
      <c r="DT19" s="52"/>
      <c r="DU19" s="51">
        <v>0</v>
      </c>
      <c r="DV19" s="52"/>
      <c r="DW19" s="52" t="s">
        <v>296</v>
      </c>
      <c r="DX19" s="51">
        <v>0</v>
      </c>
      <c r="DY19" s="52"/>
      <c r="DZ19" s="52"/>
      <c r="EA19" s="52" t="s">
        <v>303</v>
      </c>
      <c r="EB19" s="52" t="s">
        <v>331</v>
      </c>
      <c r="EC19" s="51">
        <v>0</v>
      </c>
      <c r="ED19" s="52"/>
      <c r="EE19" s="52"/>
      <c r="EF19" s="52" t="s">
        <v>305</v>
      </c>
      <c r="EG19" s="98"/>
      <c r="EH19" s="97" t="str">
        <f>IF(EG19=EF19,1,"")</f>
        <v/>
      </c>
      <c r="EI19" s="52" t="s">
        <v>297</v>
      </c>
      <c r="EJ19" s="51">
        <v>0</v>
      </c>
      <c r="EK19" s="52"/>
      <c r="EL19" s="52"/>
      <c r="EM19" s="52"/>
      <c r="EN19" s="52" t="s">
        <v>380</v>
      </c>
      <c r="EO19" s="52" t="s">
        <v>292</v>
      </c>
      <c r="EP19" s="51">
        <v>1</v>
      </c>
      <c r="EQ19" s="52" t="s">
        <v>333</v>
      </c>
      <c r="ER19" s="52" t="s">
        <v>301</v>
      </c>
      <c r="ES19" s="52" t="s">
        <v>331</v>
      </c>
      <c r="ET19" s="51">
        <v>0</v>
      </c>
      <c r="EU19" s="52"/>
      <c r="EV19" s="52"/>
      <c r="EW19" s="52" t="s">
        <v>288</v>
      </c>
      <c r="EX19" s="98" t="s">
        <v>288</v>
      </c>
      <c r="EY19" s="97">
        <f>IF(EX19=EW19,1,"")</f>
        <v>1</v>
      </c>
      <c r="EZ19" s="51">
        <v>0</v>
      </c>
      <c r="FA19" s="52"/>
      <c r="FB19" s="52"/>
      <c r="FC19" s="52"/>
      <c r="FD19" s="51">
        <v>0</v>
      </c>
      <c r="FE19" s="52"/>
      <c r="FF19" s="52" t="s">
        <v>328</v>
      </c>
      <c r="FG19" s="51">
        <v>4</v>
      </c>
      <c r="FH19" s="52" t="s">
        <v>383</v>
      </c>
      <c r="FI19" s="52" t="s">
        <v>341</v>
      </c>
      <c r="FJ19" s="52" t="s">
        <v>384</v>
      </c>
      <c r="FK19" s="52" t="s">
        <v>385</v>
      </c>
      <c r="FL19" s="52"/>
      <c r="FM19" s="52"/>
      <c r="FN19" s="52"/>
      <c r="FO19" s="52"/>
      <c r="FP19" s="51">
        <v>0</v>
      </c>
      <c r="FQ19" s="52"/>
      <c r="FR19" s="52"/>
      <c r="FS19" s="52"/>
      <c r="FT19" s="48"/>
      <c r="FU19" s="52" t="s">
        <v>351</v>
      </c>
      <c r="FV19" s="52"/>
      <c r="FW19" s="52"/>
      <c r="FX19" s="51">
        <v>-1</v>
      </c>
      <c r="FY19" s="51">
        <v>-1</v>
      </c>
      <c r="FZ19" s="51">
        <v>-1</v>
      </c>
      <c r="GA19" s="51">
        <v>-1</v>
      </c>
      <c r="GB19" s="51">
        <v>-1</v>
      </c>
      <c r="GC19" s="51">
        <v>-1</v>
      </c>
      <c r="GD19" s="51">
        <v>-1</v>
      </c>
      <c r="GE19" s="51">
        <v>-1</v>
      </c>
      <c r="GF19" s="51">
        <v>-1</v>
      </c>
      <c r="GG19" s="51">
        <v>-1</v>
      </c>
      <c r="GH19" s="51">
        <v>-1</v>
      </c>
      <c r="GI19" s="51">
        <v>-1</v>
      </c>
      <c r="GJ19" s="51">
        <v>-1</v>
      </c>
      <c r="GK19" s="51">
        <v>-1</v>
      </c>
      <c r="GL19" s="51">
        <v>-1</v>
      </c>
      <c r="GM19" s="51">
        <v>-15</v>
      </c>
      <c r="GN19" s="53"/>
      <c r="GO19" s="53"/>
      <c r="GP19" s="52" t="s">
        <v>319</v>
      </c>
      <c r="GQ19" s="52" t="s">
        <v>320</v>
      </c>
      <c r="GR19" s="52" t="s">
        <v>277</v>
      </c>
      <c r="GS19" s="51">
        <v>15</v>
      </c>
      <c r="GT19" s="51">
        <v>15</v>
      </c>
      <c r="GU19" s="51">
        <v>41</v>
      </c>
      <c r="GV19" s="51">
        <v>15</v>
      </c>
      <c r="GW19" s="54"/>
    </row>
    <row r="20" spans="1:205" s="49" customFormat="1" x14ac:dyDescent="0.25">
      <c r="A20" s="1">
        <v>160</v>
      </c>
      <c r="B20" s="18" t="s">
        <v>321</v>
      </c>
      <c r="C20" s="18">
        <v>22</v>
      </c>
      <c r="D20" s="2" t="s">
        <v>353</v>
      </c>
      <c r="E20" s="2" t="s">
        <v>422</v>
      </c>
      <c r="F20" s="2" t="s">
        <v>281</v>
      </c>
      <c r="G20" s="2" t="s">
        <v>282</v>
      </c>
      <c r="H20" s="2" t="s">
        <v>282</v>
      </c>
      <c r="I20" s="2" t="s">
        <v>282</v>
      </c>
      <c r="J20" s="2" t="s">
        <v>282</v>
      </c>
      <c r="K20" s="2" t="s">
        <v>281</v>
      </c>
      <c r="L20" s="2" t="s">
        <v>282</v>
      </c>
      <c r="M20" s="2" t="s">
        <v>282</v>
      </c>
      <c r="N20" s="2" t="s">
        <v>282</v>
      </c>
      <c r="O20" s="1">
        <v>0</v>
      </c>
      <c r="P20" s="2"/>
      <c r="Q20" s="2"/>
      <c r="R20" s="2" t="s">
        <v>283</v>
      </c>
      <c r="S20" s="2" t="s">
        <v>449</v>
      </c>
      <c r="T20" s="2"/>
      <c r="U20" s="2"/>
      <c r="V20" s="2"/>
      <c r="W20" s="2"/>
      <c r="X20" s="2" t="s">
        <v>346</v>
      </c>
      <c r="Y20" s="1">
        <v>0</v>
      </c>
      <c r="Z20" s="2"/>
      <c r="AA20" s="2"/>
      <c r="AB20" s="2" t="s">
        <v>303</v>
      </c>
      <c r="AC20" s="2" t="s">
        <v>302</v>
      </c>
      <c r="AD20" s="1">
        <v>0</v>
      </c>
      <c r="AE20" s="2"/>
      <c r="AF20" s="2"/>
      <c r="AG20" s="2" t="s">
        <v>288</v>
      </c>
      <c r="AH20" s="98" t="s">
        <v>298</v>
      </c>
      <c r="AI20" s="97" t="str">
        <f t="shared" si="1"/>
        <v/>
      </c>
      <c r="AJ20" s="2" t="s">
        <v>331</v>
      </c>
      <c r="AK20" s="1">
        <v>0</v>
      </c>
      <c r="AL20" s="2"/>
      <c r="AM20" s="2"/>
      <c r="AN20" s="1">
        <v>1</v>
      </c>
      <c r="AO20" s="2" t="s">
        <v>450</v>
      </c>
      <c r="AP20" s="2"/>
      <c r="AQ20" s="2" t="s">
        <v>292</v>
      </c>
      <c r="AR20" s="1">
        <v>0</v>
      </c>
      <c r="AS20" s="2"/>
      <c r="AT20" s="2"/>
      <c r="AU20" s="2" t="s">
        <v>294</v>
      </c>
      <c r="AV20" s="2" t="s">
        <v>287</v>
      </c>
      <c r="AW20" s="1">
        <v>1</v>
      </c>
      <c r="AX20" s="2"/>
      <c r="AY20" s="2" t="s">
        <v>451</v>
      </c>
      <c r="AZ20" s="2" t="s">
        <v>288</v>
      </c>
      <c r="BA20" s="98"/>
      <c r="BB20" s="97" t="str">
        <f>IF(BA20=AZ20,1,"")</f>
        <v/>
      </c>
      <c r="BC20" s="2" t="s">
        <v>287</v>
      </c>
      <c r="BD20" s="1">
        <v>0</v>
      </c>
      <c r="BE20" s="2"/>
      <c r="BF20" s="2"/>
      <c r="BG20" s="1">
        <v>1</v>
      </c>
      <c r="BH20" s="2" t="s">
        <v>452</v>
      </c>
      <c r="BI20" s="2" t="s">
        <v>296</v>
      </c>
      <c r="BJ20" s="2" t="s">
        <v>294</v>
      </c>
      <c r="BK20" s="2" t="s">
        <v>297</v>
      </c>
      <c r="BL20" s="1">
        <v>0</v>
      </c>
      <c r="BM20" s="2"/>
      <c r="BN20" s="2"/>
      <c r="BO20" s="2" t="s">
        <v>324</v>
      </c>
      <c r="BP20" s="2" t="s">
        <v>297</v>
      </c>
      <c r="BQ20" s="1">
        <v>0</v>
      </c>
      <c r="BR20" s="2"/>
      <c r="BS20" s="2"/>
      <c r="BT20" s="1">
        <v>0</v>
      </c>
      <c r="BU20" s="2"/>
      <c r="BV20" s="2" t="s">
        <v>296</v>
      </c>
      <c r="BW20" s="1"/>
      <c r="BX20" s="2"/>
      <c r="BY20" s="2"/>
      <c r="BZ20" s="2"/>
      <c r="CA20" s="1"/>
      <c r="CB20" s="2"/>
      <c r="CC20" s="2"/>
      <c r="CD20" s="2"/>
      <c r="CE20" s="97"/>
      <c r="CF20" s="97"/>
      <c r="CG20" s="2"/>
      <c r="CH20" s="1"/>
      <c r="CI20" s="2"/>
      <c r="CJ20" s="2"/>
      <c r="CK20" s="1"/>
      <c r="CL20" s="2"/>
      <c r="CM20" s="2"/>
      <c r="CN20" s="1"/>
      <c r="CO20" s="2"/>
      <c r="CP20" s="2"/>
      <c r="CQ20" s="2"/>
      <c r="CR20" s="2"/>
      <c r="CS20" s="1"/>
      <c r="CT20" s="2"/>
      <c r="CU20" s="2"/>
      <c r="CV20" s="2"/>
      <c r="CW20" s="98"/>
      <c r="CX20" s="97"/>
      <c r="CY20" s="2"/>
      <c r="CZ20" s="1"/>
      <c r="DA20" s="2"/>
      <c r="DB20" s="2"/>
      <c r="DC20" s="1"/>
      <c r="DD20" s="2"/>
      <c r="DE20" s="2"/>
      <c r="DF20" s="1"/>
      <c r="DG20" s="2"/>
      <c r="DH20" s="2"/>
      <c r="DI20" s="2"/>
      <c r="DJ20" s="2"/>
      <c r="DK20" s="1"/>
      <c r="DL20" s="2"/>
      <c r="DM20" s="2"/>
      <c r="DN20" s="2"/>
      <c r="DO20" s="98"/>
      <c r="DP20" s="97"/>
      <c r="DQ20" s="2"/>
      <c r="DR20" s="1"/>
      <c r="DS20" s="2"/>
      <c r="DT20" s="2"/>
      <c r="DU20" s="1"/>
      <c r="DV20" s="2"/>
      <c r="DW20" s="2"/>
      <c r="DX20" s="1"/>
      <c r="DY20" s="2"/>
      <c r="DZ20" s="2"/>
      <c r="EA20" s="2"/>
      <c r="EB20" s="2"/>
      <c r="EC20" s="1"/>
      <c r="ED20" s="2"/>
      <c r="EE20" s="2"/>
      <c r="EF20" s="2"/>
      <c r="EG20" s="98"/>
      <c r="EH20" s="97"/>
      <c r="EI20" s="2"/>
      <c r="EJ20" s="1"/>
      <c r="EK20" s="2"/>
      <c r="EL20" s="2"/>
      <c r="EM20" s="2"/>
      <c r="EN20" s="2"/>
      <c r="EO20" s="2"/>
      <c r="EP20" s="1"/>
      <c r="EQ20" s="2"/>
      <c r="ER20" s="2"/>
      <c r="ES20" s="2"/>
      <c r="ET20" s="1"/>
      <c r="EU20" s="2"/>
      <c r="EV20" s="2"/>
      <c r="EW20" s="2"/>
      <c r="EX20" s="98"/>
      <c r="EY20" s="97"/>
      <c r="EZ20" s="1"/>
      <c r="FA20" s="2"/>
      <c r="FB20" s="2"/>
      <c r="FC20" s="2"/>
      <c r="FD20" s="1"/>
      <c r="FE20" s="2"/>
      <c r="FF20" s="2"/>
      <c r="FG20" s="1"/>
      <c r="FH20" s="2"/>
      <c r="FI20" s="2"/>
      <c r="FJ20" s="2"/>
      <c r="FK20" s="2"/>
      <c r="FL20" s="2"/>
      <c r="FM20" s="2"/>
      <c r="FN20" s="2"/>
      <c r="FO20" s="2"/>
      <c r="FP20" s="1"/>
      <c r="FQ20" s="2"/>
      <c r="FR20" s="2"/>
      <c r="FS20" s="2"/>
      <c r="FT20"/>
      <c r="FU20" s="2"/>
      <c r="FV20" s="2"/>
      <c r="FW20" s="2"/>
      <c r="FX20" s="1">
        <v>-1</v>
      </c>
      <c r="FY20" s="1">
        <v>-1</v>
      </c>
      <c r="FZ20" s="1">
        <v>-1</v>
      </c>
      <c r="GA20" s="1">
        <v>-1</v>
      </c>
      <c r="GB20" s="1">
        <v>-1</v>
      </c>
      <c r="GC20" s="1">
        <v>-1</v>
      </c>
      <c r="GD20" s="1">
        <v>-1</v>
      </c>
      <c r="GE20" s="1">
        <v>-1</v>
      </c>
      <c r="GF20" s="1">
        <v>-1</v>
      </c>
      <c r="GG20" s="1"/>
      <c r="GH20" s="1"/>
      <c r="GI20" s="1"/>
      <c r="GJ20" s="1"/>
      <c r="GK20" s="1"/>
      <c r="GL20" s="1"/>
      <c r="GM20" s="1">
        <v>-9</v>
      </c>
      <c r="GN20" s="3"/>
      <c r="GO20" s="3"/>
      <c r="GP20" s="2"/>
      <c r="GQ20" s="2" t="s">
        <v>277</v>
      </c>
      <c r="GR20" s="2" t="s">
        <v>277</v>
      </c>
      <c r="GS20" s="1">
        <v>9</v>
      </c>
      <c r="GT20" s="1">
        <v>9</v>
      </c>
      <c r="GU20" s="1">
        <v>31</v>
      </c>
      <c r="GV20" s="1">
        <v>10</v>
      </c>
      <c r="GW20" s="4"/>
    </row>
    <row r="21" spans="1:205" s="5" customFormat="1" x14ac:dyDescent="0.25">
      <c r="A21" s="128">
        <v>162</v>
      </c>
      <c r="B21" s="106" t="s">
        <v>321</v>
      </c>
      <c r="C21" s="106">
        <v>22</v>
      </c>
      <c r="D21" s="106" t="s">
        <v>353</v>
      </c>
      <c r="E21" s="106" t="s">
        <v>422</v>
      </c>
      <c r="F21" s="106" t="s">
        <v>281</v>
      </c>
      <c r="G21" s="106" t="s">
        <v>282</v>
      </c>
      <c r="H21" s="106" t="s">
        <v>282</v>
      </c>
      <c r="I21" s="106" t="s">
        <v>282</v>
      </c>
      <c r="J21" s="106" t="s">
        <v>282</v>
      </c>
      <c r="K21" s="106" t="s">
        <v>281</v>
      </c>
      <c r="L21" s="106" t="s">
        <v>282</v>
      </c>
      <c r="M21" s="106" t="s">
        <v>282</v>
      </c>
      <c r="N21" s="106" t="s">
        <v>282</v>
      </c>
      <c r="O21" s="128">
        <v>0</v>
      </c>
      <c r="P21" s="106"/>
      <c r="Q21" s="106"/>
      <c r="R21" s="106" t="s">
        <v>283</v>
      </c>
      <c r="S21" s="106" t="s">
        <v>378</v>
      </c>
      <c r="T21" s="106"/>
      <c r="U21" s="106"/>
      <c r="V21" s="106"/>
      <c r="W21" s="106"/>
      <c r="X21" s="106" t="s">
        <v>346</v>
      </c>
      <c r="Y21" s="128">
        <v>2</v>
      </c>
      <c r="Z21" s="106" t="s">
        <v>453</v>
      </c>
      <c r="AA21" s="106" t="s">
        <v>365</v>
      </c>
      <c r="AB21" s="106" t="s">
        <v>303</v>
      </c>
      <c r="AC21" s="106" t="s">
        <v>302</v>
      </c>
      <c r="AD21" s="128">
        <v>0</v>
      </c>
      <c r="AE21" s="106"/>
      <c r="AF21" s="106"/>
      <c r="AG21" s="106" t="s">
        <v>288</v>
      </c>
      <c r="AH21" s="106" t="s">
        <v>298</v>
      </c>
      <c r="AI21" s="5" t="str">
        <f t="shared" si="1"/>
        <v/>
      </c>
      <c r="AJ21" s="106" t="s">
        <v>331</v>
      </c>
      <c r="AK21" s="128">
        <v>0</v>
      </c>
      <c r="AL21" s="106"/>
      <c r="AM21" s="106"/>
      <c r="AN21" s="128">
        <v>1</v>
      </c>
      <c r="AO21" s="106" t="s">
        <v>454</v>
      </c>
      <c r="AP21" s="106"/>
      <c r="AQ21" s="106" t="s">
        <v>299</v>
      </c>
      <c r="AR21" s="128">
        <v>1</v>
      </c>
      <c r="AS21" s="106" t="s">
        <v>455</v>
      </c>
      <c r="AT21" s="106"/>
      <c r="AU21" s="106" t="s">
        <v>294</v>
      </c>
      <c r="AV21" s="106" t="s">
        <v>287</v>
      </c>
      <c r="AW21" s="128">
        <v>1</v>
      </c>
      <c r="AX21" s="106"/>
      <c r="AY21" s="106" t="s">
        <v>297</v>
      </c>
      <c r="AZ21" s="106" t="s">
        <v>288</v>
      </c>
      <c r="BA21" s="106" t="s">
        <v>840</v>
      </c>
      <c r="BB21" s="5">
        <v>1</v>
      </c>
      <c r="BC21" s="106" t="s">
        <v>287</v>
      </c>
      <c r="BD21" s="128">
        <v>0</v>
      </c>
      <c r="BE21" s="106"/>
      <c r="BF21" s="106"/>
      <c r="BG21" s="128">
        <v>1</v>
      </c>
      <c r="BH21" s="106" t="s">
        <v>456</v>
      </c>
      <c r="BI21" s="106" t="s">
        <v>299</v>
      </c>
      <c r="BJ21" s="106" t="s">
        <v>294</v>
      </c>
      <c r="BK21" s="106" t="s">
        <v>297</v>
      </c>
      <c r="BL21" s="128">
        <v>0</v>
      </c>
      <c r="BM21" s="106"/>
      <c r="BN21" s="106"/>
      <c r="BO21" s="106" t="s">
        <v>324</v>
      </c>
      <c r="BP21" s="106" t="s">
        <v>297</v>
      </c>
      <c r="BQ21" s="128">
        <v>0</v>
      </c>
      <c r="BR21" s="106"/>
      <c r="BS21" s="106"/>
      <c r="BT21" s="128">
        <v>1</v>
      </c>
      <c r="BU21" s="106" t="s">
        <v>457</v>
      </c>
      <c r="BV21" s="106" t="s">
        <v>299</v>
      </c>
      <c r="BW21" s="128">
        <v>0</v>
      </c>
      <c r="BX21" s="106"/>
      <c r="BY21" s="106"/>
      <c r="BZ21" s="106"/>
      <c r="CA21" s="128">
        <v>0</v>
      </c>
      <c r="CB21" s="106"/>
      <c r="CC21" s="106"/>
      <c r="CD21" s="106"/>
      <c r="CG21" s="106"/>
      <c r="CH21" s="128">
        <v>0</v>
      </c>
      <c r="CI21" s="106"/>
      <c r="CJ21" s="106"/>
      <c r="CK21" s="128">
        <v>0</v>
      </c>
      <c r="CL21" s="106"/>
      <c r="CM21" s="106"/>
      <c r="CN21" s="128">
        <v>1</v>
      </c>
      <c r="CO21" s="106" t="s">
        <v>359</v>
      </c>
      <c r="CP21" s="106"/>
      <c r="CQ21" s="106" t="s">
        <v>303</v>
      </c>
      <c r="CR21" s="106" t="s">
        <v>297</v>
      </c>
      <c r="CS21" s="128">
        <v>0</v>
      </c>
      <c r="CT21" s="106"/>
      <c r="CU21" s="106"/>
      <c r="CV21" s="106" t="s">
        <v>305</v>
      </c>
      <c r="CW21" s="106" t="s">
        <v>305</v>
      </c>
      <c r="CX21" s="5">
        <f>IF(CW21=CV21,1,"")</f>
        <v>1</v>
      </c>
      <c r="CY21" s="106" t="s">
        <v>297</v>
      </c>
      <c r="CZ21" s="128">
        <v>0</v>
      </c>
      <c r="DA21" s="106"/>
      <c r="DB21" s="106"/>
      <c r="DC21" s="128">
        <v>0</v>
      </c>
      <c r="DD21" s="106"/>
      <c r="DE21" s="106" t="s">
        <v>299</v>
      </c>
      <c r="DF21" s="128">
        <v>1</v>
      </c>
      <c r="DG21" s="106" t="s">
        <v>383</v>
      </c>
      <c r="DH21" s="106"/>
      <c r="DI21" s="106" t="s">
        <v>303</v>
      </c>
      <c r="DJ21" s="106" t="s">
        <v>297</v>
      </c>
      <c r="DK21" s="128">
        <v>0</v>
      </c>
      <c r="DL21" s="106"/>
      <c r="DM21" s="106"/>
      <c r="DN21" s="106" t="s">
        <v>324</v>
      </c>
      <c r="DO21" s="106" t="s">
        <v>324</v>
      </c>
      <c r="DP21" s="5">
        <f>IF(DO21=DN21,1,"")</f>
        <v>1</v>
      </c>
      <c r="DQ21" s="106" t="s">
        <v>297</v>
      </c>
      <c r="DR21" s="128">
        <v>0</v>
      </c>
      <c r="DS21" s="106"/>
      <c r="DT21" s="106"/>
      <c r="DU21" s="128">
        <v>1</v>
      </c>
      <c r="DV21" s="106" t="s">
        <v>457</v>
      </c>
      <c r="DW21" s="106" t="s">
        <v>328</v>
      </c>
      <c r="DX21" s="128">
        <v>1</v>
      </c>
      <c r="DY21" s="106" t="s">
        <v>458</v>
      </c>
      <c r="DZ21" s="106"/>
      <c r="EA21" s="106" t="s">
        <v>303</v>
      </c>
      <c r="EB21" s="106" t="s">
        <v>331</v>
      </c>
      <c r="EC21" s="128">
        <v>0</v>
      </c>
      <c r="ED21" s="106"/>
      <c r="EE21" s="106"/>
      <c r="EF21" s="106" t="s">
        <v>305</v>
      </c>
      <c r="EG21" s="106" t="s">
        <v>305</v>
      </c>
      <c r="EH21" s="5">
        <f>IF(EG21=EF21,1,"")</f>
        <v>1</v>
      </c>
      <c r="EI21" s="106" t="s">
        <v>331</v>
      </c>
      <c r="EJ21" s="128">
        <v>0</v>
      </c>
      <c r="EK21" s="106"/>
      <c r="EL21" s="106"/>
      <c r="EM21" s="106"/>
      <c r="EN21" s="106" t="s">
        <v>761</v>
      </c>
      <c r="EO21" s="106" t="s">
        <v>328</v>
      </c>
      <c r="EP21" s="128">
        <v>1</v>
      </c>
      <c r="EQ21" s="106" t="s">
        <v>459</v>
      </c>
      <c r="ER21" s="106" t="s">
        <v>303</v>
      </c>
      <c r="ES21" s="106" t="s">
        <v>331</v>
      </c>
      <c r="ET21" s="128">
        <v>0</v>
      </c>
      <c r="EU21" s="106"/>
      <c r="EV21" s="106"/>
      <c r="EW21" s="106" t="s">
        <v>288</v>
      </c>
      <c r="EX21" s="106" t="s">
        <v>288</v>
      </c>
      <c r="EY21" s="5">
        <f>IF(EX21=EW21,1,"")</f>
        <v>1</v>
      </c>
      <c r="EZ21" s="128">
        <v>0</v>
      </c>
      <c r="FA21" s="106"/>
      <c r="FB21" s="106"/>
      <c r="FC21" s="106" t="s">
        <v>460</v>
      </c>
      <c r="FD21" s="128">
        <v>0</v>
      </c>
      <c r="FE21" s="106"/>
      <c r="FF21" s="106" t="s">
        <v>328</v>
      </c>
      <c r="FG21" s="128">
        <v>0</v>
      </c>
      <c r="FH21" s="106"/>
      <c r="FI21" s="106"/>
      <c r="FJ21" s="106"/>
      <c r="FK21" s="106"/>
      <c r="FL21" s="106"/>
      <c r="FM21" s="106"/>
      <c r="FN21" s="106"/>
      <c r="FO21" s="106"/>
      <c r="FP21" s="128">
        <v>0</v>
      </c>
      <c r="FQ21" s="106"/>
      <c r="FR21" s="106"/>
      <c r="FS21" s="106"/>
      <c r="FU21" s="106" t="s">
        <v>335</v>
      </c>
      <c r="FV21" s="106" t="s">
        <v>461</v>
      </c>
      <c r="FW21" s="106"/>
      <c r="FX21" s="128">
        <v>-1</v>
      </c>
      <c r="FY21" s="128">
        <v>-1</v>
      </c>
      <c r="FZ21" s="128">
        <v>-1</v>
      </c>
      <c r="GA21" s="128">
        <v>-1</v>
      </c>
      <c r="GB21" s="128">
        <v>-1</v>
      </c>
      <c r="GC21" s="128">
        <v>-1</v>
      </c>
      <c r="GD21" s="128">
        <v>-1</v>
      </c>
      <c r="GE21" s="128">
        <v>-1</v>
      </c>
      <c r="GF21" s="128">
        <v>-1</v>
      </c>
      <c r="GG21" s="128">
        <v>-1</v>
      </c>
      <c r="GH21" s="128">
        <v>-1</v>
      </c>
      <c r="GI21" s="128">
        <v>-1</v>
      </c>
      <c r="GJ21" s="128">
        <v>-1</v>
      </c>
      <c r="GK21" s="128">
        <v>-1</v>
      </c>
      <c r="GL21" s="128">
        <v>-1</v>
      </c>
      <c r="GM21" s="128">
        <v>-15</v>
      </c>
      <c r="GN21" s="129"/>
      <c r="GO21" s="129"/>
      <c r="GP21" s="106" t="s">
        <v>319</v>
      </c>
      <c r="GQ21" s="106" t="s">
        <v>320</v>
      </c>
      <c r="GR21" s="106" t="s">
        <v>277</v>
      </c>
      <c r="GS21" s="128">
        <v>15</v>
      </c>
      <c r="GT21" s="128">
        <v>15</v>
      </c>
      <c r="GU21" s="128">
        <v>38</v>
      </c>
      <c r="GV21" s="128">
        <v>16</v>
      </c>
      <c r="GW21" s="130"/>
    </row>
    <row r="22" spans="1:205" s="5" customFormat="1" x14ac:dyDescent="0.25">
      <c r="A22" s="128"/>
      <c r="B22" s="106"/>
      <c r="C22" s="106"/>
      <c r="D22" s="106"/>
      <c r="E22" s="106"/>
      <c r="F22" s="106"/>
      <c r="G22" s="106"/>
      <c r="H22" s="106"/>
      <c r="I22" s="106"/>
      <c r="J22" s="106"/>
      <c r="K22" s="106"/>
      <c r="L22" s="106"/>
      <c r="M22" s="106"/>
      <c r="N22" s="106"/>
      <c r="O22" s="128"/>
      <c r="P22" s="106"/>
      <c r="Q22" s="106"/>
      <c r="R22" s="106"/>
      <c r="S22" s="106"/>
      <c r="T22" s="106"/>
      <c r="U22" s="106"/>
      <c r="V22" s="106"/>
      <c r="W22" s="106"/>
      <c r="X22" s="106"/>
      <c r="Y22" s="128"/>
      <c r="Z22" s="106"/>
      <c r="AA22" s="106"/>
      <c r="AB22" s="106"/>
      <c r="AC22" s="106"/>
      <c r="AD22" s="128"/>
      <c r="AE22" s="106"/>
      <c r="AF22" s="106"/>
      <c r="AG22" s="106"/>
      <c r="AH22" s="106"/>
      <c r="AI22" s="5">
        <f>COUNTIFS(AG1:AG21, "&lt;&gt;", AH1:AH21, "&lt;&gt;")</f>
        <v>15</v>
      </c>
      <c r="AJ22" s="5">
        <f>COUNTIF(AI1:AI21,1)</f>
        <v>5</v>
      </c>
      <c r="AK22" s="131">
        <f>AJ22/AI22</f>
        <v>0.33333333333333331</v>
      </c>
      <c r="AL22" s="106"/>
      <c r="AM22" s="106"/>
      <c r="AN22" s="128"/>
      <c r="AO22" s="106"/>
      <c r="AP22" s="106"/>
      <c r="AQ22" s="106"/>
      <c r="AR22" s="128"/>
      <c r="AS22" s="106"/>
      <c r="AT22" s="106"/>
      <c r="AU22" s="106"/>
      <c r="AV22" s="106"/>
      <c r="AW22" s="128"/>
      <c r="AX22" s="106"/>
      <c r="AY22" s="106"/>
      <c r="AZ22" s="106"/>
      <c r="BA22" s="106"/>
      <c r="BB22" s="5">
        <f>COUNTIFS(AZ1:AZ21, "&lt;&gt;", BA1:BA21, "&lt;&gt;")</f>
        <v>11</v>
      </c>
      <c r="BC22" s="5">
        <f>COUNTIF(BB1:BB21,1)</f>
        <v>9</v>
      </c>
      <c r="BD22" s="131">
        <f>BC22/BB22</f>
        <v>0.81818181818181823</v>
      </c>
      <c r="BE22" s="106"/>
      <c r="BF22" s="106"/>
      <c r="BG22" s="128"/>
      <c r="BH22" s="106"/>
      <c r="BI22" s="106"/>
      <c r="BJ22" s="106"/>
      <c r="BK22" s="106"/>
      <c r="BL22" s="128"/>
      <c r="BM22" s="106"/>
      <c r="BN22" s="106"/>
      <c r="BO22" s="106"/>
      <c r="BP22" s="106"/>
      <c r="BQ22" s="128"/>
      <c r="BR22" s="106"/>
      <c r="BS22" s="106"/>
      <c r="BT22" s="128"/>
      <c r="BU22" s="106"/>
      <c r="BV22" s="106"/>
      <c r="BW22" s="128"/>
      <c r="BX22" s="106"/>
      <c r="BY22" s="106"/>
      <c r="BZ22" s="106"/>
      <c r="CA22" s="128"/>
      <c r="CB22" s="106"/>
      <c r="CC22" s="106"/>
      <c r="CD22" s="106"/>
      <c r="CF22" s="5">
        <f>COUNTIFS(CD1:CD21, "&lt;&gt;", CE1:CE21, "&lt;&gt;")</f>
        <v>6</v>
      </c>
      <c r="CG22" s="5">
        <f>COUNTIF(CF1:CF21,1)</f>
        <v>6</v>
      </c>
      <c r="CH22" s="131">
        <f>CG22/CF22</f>
        <v>1</v>
      </c>
      <c r="CI22" s="106"/>
      <c r="CJ22" s="106"/>
      <c r="CK22" s="128"/>
      <c r="CL22" s="106"/>
      <c r="CM22" s="106"/>
      <c r="CN22" s="128"/>
      <c r="CO22" s="106"/>
      <c r="CP22" s="106"/>
      <c r="CQ22" s="106"/>
      <c r="CR22" s="106"/>
      <c r="CS22" s="128"/>
      <c r="CT22" s="106"/>
      <c r="CU22" s="106"/>
      <c r="CV22" s="106"/>
      <c r="CW22" s="106"/>
      <c r="CX22" s="5">
        <f>COUNTIFS(CV1:CV21, "&lt;&gt;", CW1:CW21, "&lt;&gt;")</f>
        <v>10</v>
      </c>
      <c r="CY22" s="5">
        <f>COUNTIF(CX1:CX21,1)</f>
        <v>7</v>
      </c>
      <c r="CZ22" s="131">
        <f>CY22/CX22</f>
        <v>0.7</v>
      </c>
      <c r="DA22" s="106"/>
      <c r="DB22" s="106"/>
      <c r="DC22" s="128"/>
      <c r="DD22" s="106"/>
      <c r="DE22" s="106"/>
      <c r="DF22" s="128"/>
      <c r="DG22" s="106"/>
      <c r="DH22" s="106"/>
      <c r="DI22" s="106"/>
      <c r="DJ22" s="106"/>
      <c r="DK22" s="128"/>
      <c r="DL22" s="106"/>
      <c r="DM22" s="106"/>
      <c r="DN22" s="106"/>
      <c r="DO22" s="106"/>
      <c r="DP22" s="5">
        <f>COUNTIFS(DN1:DN21, "&lt;&gt;", DO1:DO21, "&lt;&gt;")</f>
        <v>9</v>
      </c>
      <c r="DQ22" s="5">
        <f>COUNTIF(DP1:DP21,1)</f>
        <v>8</v>
      </c>
      <c r="DR22" s="131">
        <f>DQ22/DP22</f>
        <v>0.88888888888888884</v>
      </c>
      <c r="DS22" s="106"/>
      <c r="DT22" s="106"/>
      <c r="DU22" s="128"/>
      <c r="DV22" s="106"/>
      <c r="DW22" s="106"/>
      <c r="DX22" s="128"/>
      <c r="DY22" s="106"/>
      <c r="DZ22" s="106"/>
      <c r="EA22" s="106"/>
      <c r="EB22" s="106"/>
      <c r="EC22" s="128"/>
      <c r="ED22" s="106"/>
      <c r="EE22" s="106"/>
      <c r="EF22" s="106"/>
      <c r="EG22" s="106"/>
      <c r="EH22" s="5">
        <f>COUNTIFS(EF1:EF21, "&lt;&gt;", EG1:EG21, "&lt;&gt;")</f>
        <v>10</v>
      </c>
      <c r="EI22" s="5">
        <f>COUNTIF(EH1:EH21,1)</f>
        <v>7</v>
      </c>
      <c r="EJ22" s="131">
        <f>EI22/EH22</f>
        <v>0.7</v>
      </c>
      <c r="EK22" s="106"/>
      <c r="EL22" s="106"/>
      <c r="EM22" s="106"/>
      <c r="EN22" s="106"/>
      <c r="EO22" s="106"/>
      <c r="EP22" s="128"/>
      <c r="EQ22" s="106"/>
      <c r="ER22" s="106"/>
      <c r="ES22" s="106"/>
      <c r="ET22" s="128"/>
      <c r="EU22" s="106"/>
      <c r="EV22" s="106"/>
      <c r="EW22" s="106"/>
      <c r="EX22" s="106"/>
      <c r="EY22" s="5">
        <f>COUNTIFS(EW1:EW21, "&lt;&gt;", EX1:EX21, "&lt;&gt;")</f>
        <v>13</v>
      </c>
      <c r="EZ22" s="5">
        <f>COUNTIF(EY1:EY21,1)</f>
        <v>10</v>
      </c>
      <c r="FA22" s="131">
        <f>EZ22/EY22</f>
        <v>0.76923076923076927</v>
      </c>
      <c r="FB22" s="106"/>
      <c r="FC22" s="106"/>
      <c r="FD22" s="128"/>
      <c r="FE22" s="106"/>
      <c r="FF22" s="106"/>
      <c r="FG22" s="128"/>
      <c r="FH22" s="106"/>
      <c r="FI22" s="106"/>
      <c r="FJ22" s="106"/>
      <c r="FK22" s="106"/>
      <c r="FL22" s="106"/>
      <c r="FM22" s="106"/>
      <c r="FN22" s="106"/>
      <c r="FO22" s="106"/>
      <c r="FP22" s="128"/>
      <c r="FQ22" s="106"/>
      <c r="FR22" s="106"/>
      <c r="FS22" s="106"/>
      <c r="FU22" s="106"/>
      <c r="FV22" s="106"/>
      <c r="FW22" s="106"/>
      <c r="FX22" s="128"/>
      <c r="FY22" s="128"/>
      <c r="FZ22" s="128"/>
      <c r="GA22" s="128"/>
      <c r="GB22" s="128"/>
      <c r="GC22" s="128"/>
      <c r="GD22" s="128"/>
      <c r="GE22" s="128"/>
      <c r="GF22" s="128"/>
      <c r="GG22" s="128"/>
      <c r="GH22" s="128"/>
      <c r="GI22" s="128"/>
      <c r="GJ22" s="128"/>
      <c r="GK22" s="128"/>
      <c r="GL22" s="128"/>
      <c r="GM22" s="128"/>
      <c r="GN22" s="129"/>
      <c r="GO22" s="129"/>
      <c r="GP22" s="106"/>
      <c r="GQ22" s="106"/>
      <c r="GR22" s="106"/>
      <c r="GS22" s="128"/>
      <c r="GT22" s="128"/>
      <c r="GU22" s="128"/>
      <c r="GV22" s="128"/>
      <c r="GW22" s="130"/>
    </row>
    <row r="23" spans="1:205" s="75" customFormat="1" ht="13.8" thickBot="1" x14ac:dyDescent="0.3">
      <c r="A23" s="74">
        <v>179</v>
      </c>
      <c r="B23" s="73" t="s">
        <v>421</v>
      </c>
      <c r="C23" s="73">
        <v>39.5</v>
      </c>
      <c r="D23" s="73" t="s">
        <v>353</v>
      </c>
      <c r="E23" s="73" t="s">
        <v>377</v>
      </c>
      <c r="F23" s="73" t="s">
        <v>281</v>
      </c>
      <c r="G23" s="73" t="s">
        <v>281</v>
      </c>
      <c r="H23" s="73" t="s">
        <v>282</v>
      </c>
      <c r="I23" s="73" t="s">
        <v>282</v>
      </c>
      <c r="J23" s="73" t="s">
        <v>282</v>
      </c>
      <c r="K23" s="73" t="s">
        <v>281</v>
      </c>
      <c r="L23" s="73" t="s">
        <v>282</v>
      </c>
      <c r="M23" s="73" t="s">
        <v>282</v>
      </c>
      <c r="N23" s="73" t="s">
        <v>282</v>
      </c>
      <c r="O23" s="74">
        <v>0</v>
      </c>
      <c r="P23" s="73"/>
      <c r="Q23" s="73"/>
      <c r="R23" s="73" t="s">
        <v>337</v>
      </c>
      <c r="S23" s="73"/>
      <c r="T23" s="75" t="s">
        <v>424</v>
      </c>
      <c r="U23" s="73"/>
      <c r="V23" s="73" t="s">
        <v>377</v>
      </c>
      <c r="W23" s="73"/>
      <c r="X23" s="73" t="s">
        <v>437</v>
      </c>
      <c r="Y23" s="74">
        <v>1</v>
      </c>
      <c r="Z23" s="73" t="s">
        <v>484</v>
      </c>
      <c r="AA23" s="73"/>
      <c r="AB23" s="73" t="s">
        <v>303</v>
      </c>
      <c r="AC23" s="73" t="s">
        <v>331</v>
      </c>
      <c r="AD23" s="74">
        <v>0</v>
      </c>
      <c r="AE23" s="73"/>
      <c r="AF23" s="73"/>
      <c r="AG23" s="73" t="s">
        <v>288</v>
      </c>
      <c r="AH23" s="98" t="s">
        <v>298</v>
      </c>
      <c r="AI23" s="97" t="str">
        <f>IF(AH23=AG23,1,"")</f>
        <v/>
      </c>
      <c r="AJ23" s="73" t="s">
        <v>302</v>
      </c>
      <c r="AK23" s="74">
        <v>0</v>
      </c>
      <c r="AL23" s="73"/>
      <c r="AM23" s="73"/>
      <c r="AN23" s="74">
        <v>0</v>
      </c>
      <c r="AO23" s="73"/>
      <c r="AP23" s="73"/>
      <c r="AQ23" s="73" t="s">
        <v>328</v>
      </c>
      <c r="AR23" s="74">
        <v>1</v>
      </c>
      <c r="AS23" s="73" t="s">
        <v>485</v>
      </c>
      <c r="AT23" s="73"/>
      <c r="AU23" s="73" t="s">
        <v>301</v>
      </c>
      <c r="AV23" s="73" t="s">
        <v>287</v>
      </c>
      <c r="AW23" s="74">
        <v>2</v>
      </c>
      <c r="AX23" s="73" t="s">
        <v>339</v>
      </c>
      <c r="AY23" s="73" t="s">
        <v>302</v>
      </c>
      <c r="AZ23" s="73" t="s">
        <v>288</v>
      </c>
      <c r="BA23" s="98" t="s">
        <v>840</v>
      </c>
      <c r="BB23" s="97">
        <v>1</v>
      </c>
      <c r="BC23" s="73" t="s">
        <v>287</v>
      </c>
      <c r="BD23" s="74">
        <v>1</v>
      </c>
      <c r="BE23" s="73"/>
      <c r="BF23" s="73" t="s">
        <v>339</v>
      </c>
      <c r="BG23" s="74">
        <v>0</v>
      </c>
      <c r="BH23" s="73"/>
      <c r="BI23" s="73" t="s">
        <v>296</v>
      </c>
      <c r="BJ23" s="73" t="s">
        <v>301</v>
      </c>
      <c r="BK23" s="73" t="s">
        <v>297</v>
      </c>
      <c r="BL23" s="74">
        <v>0</v>
      </c>
      <c r="BM23" s="73"/>
      <c r="BN23" s="73"/>
      <c r="BO23" s="73" t="s">
        <v>324</v>
      </c>
      <c r="BP23" s="73" t="s">
        <v>339</v>
      </c>
      <c r="BQ23" s="74">
        <v>0</v>
      </c>
      <c r="BR23" s="73"/>
      <c r="BS23" s="73"/>
      <c r="BT23" s="74">
        <v>0</v>
      </c>
      <c r="BU23" s="73"/>
      <c r="BV23" s="73" t="s">
        <v>296</v>
      </c>
      <c r="BW23" s="74">
        <v>0</v>
      </c>
      <c r="BX23" s="73"/>
      <c r="BY23" s="73" t="s">
        <v>301</v>
      </c>
      <c r="BZ23" s="73" t="s">
        <v>297</v>
      </c>
      <c r="CA23" s="74">
        <v>0</v>
      </c>
      <c r="CB23" s="73"/>
      <c r="CC23" s="73"/>
      <c r="CD23" s="73" t="s">
        <v>324</v>
      </c>
      <c r="CE23" s="97"/>
      <c r="CF23" s="97" t="str">
        <f>IF(CE23=CD23,1,"")</f>
        <v/>
      </c>
      <c r="CG23" s="73" t="s">
        <v>339</v>
      </c>
      <c r="CH23" s="74">
        <v>0</v>
      </c>
      <c r="CI23" s="73"/>
      <c r="CJ23" s="73"/>
      <c r="CK23" s="74">
        <v>1</v>
      </c>
      <c r="CL23" s="73" t="s">
        <v>486</v>
      </c>
      <c r="CM23" s="73" t="s">
        <v>296</v>
      </c>
      <c r="CN23" s="74">
        <v>1</v>
      </c>
      <c r="CO23" s="73" t="s">
        <v>487</v>
      </c>
      <c r="CP23" s="73"/>
      <c r="CQ23" s="73" t="s">
        <v>301</v>
      </c>
      <c r="CR23" s="73" t="s">
        <v>297</v>
      </c>
      <c r="CS23" s="74">
        <v>0</v>
      </c>
      <c r="CT23" s="73"/>
      <c r="CU23" s="73"/>
      <c r="CV23" s="73" t="s">
        <v>288</v>
      </c>
      <c r="CW23" s="98" t="s">
        <v>837</v>
      </c>
      <c r="CX23" s="97">
        <f>IF(CW23=CV23,1,"")</f>
        <v>1</v>
      </c>
      <c r="CY23" s="73" t="s">
        <v>339</v>
      </c>
      <c r="CZ23" s="74">
        <v>0</v>
      </c>
      <c r="DA23" s="73"/>
      <c r="DB23" s="73"/>
      <c r="DC23" s="74">
        <v>0</v>
      </c>
      <c r="DD23" s="73"/>
      <c r="DE23" s="73" t="s">
        <v>296</v>
      </c>
      <c r="DF23" s="74">
        <v>2</v>
      </c>
      <c r="DG23" s="73" t="s">
        <v>488</v>
      </c>
      <c r="DH23" s="73" t="s">
        <v>475</v>
      </c>
      <c r="DI23" s="73" t="s">
        <v>301</v>
      </c>
      <c r="DJ23" s="73" t="s">
        <v>297</v>
      </c>
      <c r="DK23" s="74">
        <v>0</v>
      </c>
      <c r="DL23" s="73"/>
      <c r="DM23" s="73"/>
      <c r="DN23" s="73" t="s">
        <v>288</v>
      </c>
      <c r="DO23" s="98"/>
      <c r="DP23" s="97" t="str">
        <f>IF(DO23=DN23,1,"")</f>
        <v/>
      </c>
      <c r="DQ23" s="73" t="s">
        <v>339</v>
      </c>
      <c r="DR23" s="74">
        <v>0</v>
      </c>
      <c r="DS23" s="73"/>
      <c r="DT23" s="73"/>
      <c r="DU23" s="74">
        <v>0</v>
      </c>
      <c r="DV23" s="73"/>
      <c r="DW23" s="73" t="s">
        <v>296</v>
      </c>
      <c r="DX23" s="74">
        <v>1</v>
      </c>
      <c r="DY23" s="73" t="s">
        <v>489</v>
      </c>
      <c r="DZ23" s="73"/>
      <c r="EA23" s="73" t="s">
        <v>303</v>
      </c>
      <c r="EB23" s="73" t="s">
        <v>331</v>
      </c>
      <c r="EC23" s="74">
        <v>0</v>
      </c>
      <c r="ED23" s="73"/>
      <c r="EE23" s="73"/>
      <c r="EF23" s="73" t="s">
        <v>298</v>
      </c>
      <c r="EG23" s="98" t="s">
        <v>305</v>
      </c>
      <c r="EH23" s="97" t="str">
        <f>IF(EG23=EF23,1,"")</f>
        <v/>
      </c>
      <c r="EI23" s="73"/>
      <c r="EJ23" s="74">
        <v>0</v>
      </c>
      <c r="EK23" s="73"/>
      <c r="EL23" s="73"/>
      <c r="EM23" s="73"/>
      <c r="EN23" s="73"/>
      <c r="EO23" s="73" t="s">
        <v>296</v>
      </c>
      <c r="EP23" s="74">
        <v>1</v>
      </c>
      <c r="EQ23" s="73" t="s">
        <v>490</v>
      </c>
      <c r="ER23" s="73" t="s">
        <v>303</v>
      </c>
      <c r="ES23" s="73" t="s">
        <v>331</v>
      </c>
      <c r="ET23" s="74">
        <v>1</v>
      </c>
      <c r="EU23" s="73" t="s">
        <v>491</v>
      </c>
      <c r="EV23" s="73"/>
      <c r="EW23" s="73" t="s">
        <v>288</v>
      </c>
      <c r="EX23" s="98" t="s">
        <v>298</v>
      </c>
      <c r="EY23" s="97" t="str">
        <f>IF(EX23=EW23,1,"")</f>
        <v/>
      </c>
      <c r="EZ23" s="74">
        <v>0</v>
      </c>
      <c r="FA23" s="73"/>
      <c r="FB23" s="73"/>
      <c r="FC23" s="73"/>
      <c r="FD23" s="74">
        <v>0</v>
      </c>
      <c r="FE23" s="73"/>
      <c r="FF23" s="73" t="s">
        <v>296</v>
      </c>
      <c r="FG23" s="74">
        <v>0</v>
      </c>
      <c r="FH23" s="73"/>
      <c r="FI23" s="73"/>
      <c r="FJ23" s="73"/>
      <c r="FK23" s="73"/>
      <c r="FL23" s="73" t="s">
        <v>397</v>
      </c>
      <c r="FM23" s="73" t="s">
        <v>492</v>
      </c>
      <c r="FN23" s="73"/>
      <c r="FO23" s="73"/>
      <c r="FP23" s="74">
        <v>3</v>
      </c>
      <c r="FQ23" s="73" t="s">
        <v>493</v>
      </c>
      <c r="FR23" s="73" t="s">
        <v>494</v>
      </c>
      <c r="FS23" s="73" t="s">
        <v>495</v>
      </c>
      <c r="FU23" s="73" t="s">
        <v>335</v>
      </c>
      <c r="FV23" s="73"/>
      <c r="FW23" s="73"/>
      <c r="FX23" s="74">
        <v>-1</v>
      </c>
      <c r="FY23" s="74">
        <v>-1</v>
      </c>
      <c r="FZ23" s="74">
        <v>-1</v>
      </c>
      <c r="GA23" s="74">
        <v>-1</v>
      </c>
      <c r="GB23" s="74">
        <v>-1</v>
      </c>
      <c r="GC23" s="74">
        <v>-1</v>
      </c>
      <c r="GD23" s="74">
        <v>-1</v>
      </c>
      <c r="GE23" s="74">
        <v>-1</v>
      </c>
      <c r="GF23" s="74">
        <v>-1</v>
      </c>
      <c r="GG23" s="74">
        <v>-1</v>
      </c>
      <c r="GH23" s="74">
        <v>-1</v>
      </c>
      <c r="GI23" s="74">
        <v>-1</v>
      </c>
      <c r="GJ23" s="74">
        <v>-1</v>
      </c>
      <c r="GK23" s="74">
        <v>-1</v>
      </c>
      <c r="GL23" s="74">
        <v>-1</v>
      </c>
      <c r="GM23" s="74">
        <v>-15</v>
      </c>
      <c r="GN23" s="76"/>
      <c r="GO23" s="76"/>
      <c r="GP23" s="73" t="s">
        <v>319</v>
      </c>
      <c r="GQ23" s="73" t="s">
        <v>320</v>
      </c>
      <c r="GR23" s="73" t="s">
        <v>277</v>
      </c>
      <c r="GS23" s="74">
        <v>15</v>
      </c>
      <c r="GT23" s="74">
        <v>15</v>
      </c>
      <c r="GU23" s="74">
        <v>35</v>
      </c>
      <c r="GV23" s="74">
        <v>14</v>
      </c>
      <c r="GW23" s="77"/>
    </row>
    <row r="24" spans="1:205" s="40" customFormat="1" x14ac:dyDescent="0.25">
      <c r="A24" s="55">
        <v>190</v>
      </c>
      <c r="B24" s="56" t="s">
        <v>421</v>
      </c>
      <c r="C24" s="56">
        <v>39.5</v>
      </c>
      <c r="D24" s="56" t="s">
        <v>353</v>
      </c>
      <c r="E24" s="56" t="s">
        <v>280</v>
      </c>
      <c r="F24" s="56" t="s">
        <v>281</v>
      </c>
      <c r="G24" s="56" t="s">
        <v>281</v>
      </c>
      <c r="H24" s="56" t="s">
        <v>282</v>
      </c>
      <c r="I24" s="56" t="s">
        <v>282</v>
      </c>
      <c r="J24" s="56" t="s">
        <v>282</v>
      </c>
      <c r="K24" s="56" t="s">
        <v>281</v>
      </c>
      <c r="L24" s="56" t="s">
        <v>282</v>
      </c>
      <c r="M24" s="56" t="s">
        <v>282</v>
      </c>
      <c r="N24" s="56" t="s">
        <v>281</v>
      </c>
      <c r="O24" s="55">
        <v>1</v>
      </c>
      <c r="P24" s="56" t="s">
        <v>404</v>
      </c>
      <c r="Q24" s="56"/>
      <c r="R24" s="56" t="s">
        <v>337</v>
      </c>
      <c r="S24" s="56"/>
      <c r="T24" s="50" t="s">
        <v>395</v>
      </c>
      <c r="U24" s="56"/>
      <c r="V24" s="56"/>
      <c r="W24" s="56"/>
      <c r="X24" s="56" t="s">
        <v>346</v>
      </c>
      <c r="Y24" s="55">
        <v>1</v>
      </c>
      <c r="Z24" s="56" t="s">
        <v>453</v>
      </c>
      <c r="AA24" s="56"/>
      <c r="AB24" s="56" t="s">
        <v>303</v>
      </c>
      <c r="AC24" s="56" t="s">
        <v>331</v>
      </c>
      <c r="AD24" s="55">
        <v>0</v>
      </c>
      <c r="AE24" s="56"/>
      <c r="AF24" s="56"/>
      <c r="AG24" s="56" t="s">
        <v>305</v>
      </c>
      <c r="AH24" s="98" t="s">
        <v>305</v>
      </c>
      <c r="AI24" s="97">
        <f>IF(AH24=AG24,1,"")</f>
        <v>1</v>
      </c>
      <c r="AJ24" s="56" t="s">
        <v>331</v>
      </c>
      <c r="AK24" s="55">
        <v>0</v>
      </c>
      <c r="AL24" s="56"/>
      <c r="AM24" s="56"/>
      <c r="AN24" s="55">
        <v>1</v>
      </c>
      <c r="AO24" s="56" t="s">
        <v>529</v>
      </c>
      <c r="AP24" s="56"/>
      <c r="AQ24" s="56" t="s">
        <v>299</v>
      </c>
      <c r="AR24" s="55">
        <v>1</v>
      </c>
      <c r="AS24" s="56" t="s">
        <v>530</v>
      </c>
      <c r="AT24" s="56"/>
      <c r="AU24" s="56" t="s">
        <v>294</v>
      </c>
      <c r="AV24" s="56" t="s">
        <v>287</v>
      </c>
      <c r="AW24" s="55">
        <v>1</v>
      </c>
      <c r="AX24" s="56" t="s">
        <v>531</v>
      </c>
      <c r="AY24" s="56"/>
      <c r="AZ24" s="56" t="s">
        <v>288</v>
      </c>
      <c r="BA24" s="98" t="s">
        <v>840</v>
      </c>
      <c r="BB24" s="97">
        <v>1</v>
      </c>
      <c r="BC24" s="56" t="s">
        <v>302</v>
      </c>
      <c r="BD24" s="55">
        <v>0</v>
      </c>
      <c r="BE24" s="56"/>
      <c r="BF24" s="56"/>
      <c r="BG24" s="55">
        <v>1</v>
      </c>
      <c r="BH24" s="56" t="s">
        <v>532</v>
      </c>
      <c r="BI24" s="56" t="s">
        <v>299</v>
      </c>
      <c r="BJ24" s="56" t="s">
        <v>294</v>
      </c>
      <c r="BK24" s="56" t="s">
        <v>521</v>
      </c>
      <c r="BL24" s="55">
        <v>1</v>
      </c>
      <c r="BM24" s="56" t="s">
        <v>297</v>
      </c>
      <c r="BN24" s="56"/>
      <c r="BO24" s="56" t="s">
        <v>324</v>
      </c>
      <c r="BP24" s="56" t="s">
        <v>339</v>
      </c>
      <c r="BQ24" s="55">
        <v>0</v>
      </c>
      <c r="BR24" s="56"/>
      <c r="BS24" s="56"/>
      <c r="BT24" s="55">
        <v>1</v>
      </c>
      <c r="BU24" s="56" t="s">
        <v>532</v>
      </c>
      <c r="BV24" s="56" t="s">
        <v>299</v>
      </c>
      <c r="BW24" s="55">
        <v>1</v>
      </c>
      <c r="BX24" s="56" t="s">
        <v>533</v>
      </c>
      <c r="BY24" s="56" t="s">
        <v>294</v>
      </c>
      <c r="BZ24" s="56" t="s">
        <v>297</v>
      </c>
      <c r="CA24" s="55">
        <v>0</v>
      </c>
      <c r="CB24" s="56"/>
      <c r="CC24" s="56"/>
      <c r="CD24" s="56" t="s">
        <v>288</v>
      </c>
      <c r="CE24" s="97" t="s">
        <v>288</v>
      </c>
      <c r="CF24" s="97">
        <f>IF(CE24=CD24,1,"")</f>
        <v>1</v>
      </c>
      <c r="CG24" s="56" t="s">
        <v>302</v>
      </c>
      <c r="CH24" s="55">
        <v>0</v>
      </c>
      <c r="CI24" s="56"/>
      <c r="CJ24" s="56"/>
      <c r="CK24" s="55">
        <v>1</v>
      </c>
      <c r="CL24" s="56" t="s">
        <v>532</v>
      </c>
      <c r="CM24" s="56" t="s">
        <v>328</v>
      </c>
      <c r="CN24" s="55">
        <v>1</v>
      </c>
      <c r="CO24" s="56" t="s">
        <v>534</v>
      </c>
      <c r="CP24" s="56"/>
      <c r="CQ24" s="56" t="s">
        <v>301</v>
      </c>
      <c r="CR24" s="56" t="s">
        <v>297</v>
      </c>
      <c r="CS24" s="55">
        <v>0</v>
      </c>
      <c r="CT24" s="56"/>
      <c r="CU24" s="56"/>
      <c r="CV24" s="56" t="s">
        <v>288</v>
      </c>
      <c r="CW24" s="98" t="s">
        <v>837</v>
      </c>
      <c r="CX24" s="97">
        <f>IF(CW24=CV24,1,"")</f>
        <v>1</v>
      </c>
      <c r="CY24" s="56" t="s">
        <v>302</v>
      </c>
      <c r="CZ24" s="55">
        <v>0</v>
      </c>
      <c r="DA24" s="56"/>
      <c r="DB24" s="56"/>
      <c r="DC24" s="55">
        <v>1</v>
      </c>
      <c r="DD24" s="56" t="s">
        <v>535</v>
      </c>
      <c r="DE24" s="56" t="s">
        <v>299</v>
      </c>
      <c r="DF24" s="55">
        <v>1</v>
      </c>
      <c r="DG24" s="56" t="s">
        <v>536</v>
      </c>
      <c r="DH24" s="56"/>
      <c r="DI24" s="56" t="s">
        <v>303</v>
      </c>
      <c r="DJ24" s="56" t="s">
        <v>331</v>
      </c>
      <c r="DK24" s="55">
        <v>1</v>
      </c>
      <c r="DL24" s="56" t="s">
        <v>302</v>
      </c>
      <c r="DM24" s="56"/>
      <c r="DN24" s="56" t="s">
        <v>305</v>
      </c>
      <c r="DO24" s="98" t="s">
        <v>305</v>
      </c>
      <c r="DP24" s="97">
        <f>IF(DO24=DN24,1,"")</f>
        <v>1</v>
      </c>
      <c r="DQ24" s="56" t="s">
        <v>331</v>
      </c>
      <c r="DR24" s="55">
        <v>0</v>
      </c>
      <c r="DS24" s="56"/>
      <c r="DT24" s="56"/>
      <c r="DU24" s="55">
        <v>1</v>
      </c>
      <c r="DV24" s="56" t="s">
        <v>406</v>
      </c>
      <c r="DW24" s="56" t="s">
        <v>328</v>
      </c>
      <c r="DX24" s="55">
        <v>1</v>
      </c>
      <c r="DY24" s="56" t="s">
        <v>489</v>
      </c>
      <c r="DZ24" s="56"/>
      <c r="EA24" s="56" t="s">
        <v>303</v>
      </c>
      <c r="EB24" s="56" t="s">
        <v>331</v>
      </c>
      <c r="EC24" s="55">
        <v>0</v>
      </c>
      <c r="ED24" s="56"/>
      <c r="EE24" s="56"/>
      <c r="EF24" s="56" t="s">
        <v>298</v>
      </c>
      <c r="EG24" s="98" t="s">
        <v>298</v>
      </c>
      <c r="EH24" s="97">
        <f>IF(EG24=EF24,1,"")</f>
        <v>1</v>
      </c>
      <c r="EI24" s="56" t="s">
        <v>331</v>
      </c>
      <c r="EJ24" s="55">
        <v>0</v>
      </c>
      <c r="EK24" s="56"/>
      <c r="EL24" s="56"/>
      <c r="EM24" s="56" t="s">
        <v>538</v>
      </c>
      <c r="EN24" s="56" t="s">
        <v>406</v>
      </c>
      <c r="EO24" s="56" t="s">
        <v>299</v>
      </c>
      <c r="EP24" s="55">
        <v>1</v>
      </c>
      <c r="EQ24" s="56" t="s">
        <v>411</v>
      </c>
      <c r="ER24" s="56" t="s">
        <v>294</v>
      </c>
      <c r="ES24" s="56" t="s">
        <v>331</v>
      </c>
      <c r="ET24" s="55">
        <v>0</v>
      </c>
      <c r="EU24" s="56"/>
      <c r="EV24" s="56"/>
      <c r="EW24" s="56" t="s">
        <v>305</v>
      </c>
      <c r="EX24" s="98" t="s">
        <v>305</v>
      </c>
      <c r="EY24" s="97">
        <f>IF(EX24=EW24,1,"")</f>
        <v>1</v>
      </c>
      <c r="EZ24" s="55">
        <v>0</v>
      </c>
      <c r="FA24" s="56"/>
      <c r="FB24" s="56"/>
      <c r="FC24" s="56" t="s">
        <v>539</v>
      </c>
      <c r="FD24" s="55">
        <v>1</v>
      </c>
      <c r="FE24" s="56" t="s">
        <v>406</v>
      </c>
      <c r="FF24" s="56" t="s">
        <v>299</v>
      </c>
      <c r="FG24" s="55">
        <v>1</v>
      </c>
      <c r="FH24" s="56" t="s">
        <v>540</v>
      </c>
      <c r="FI24" s="56"/>
      <c r="FJ24" s="56"/>
      <c r="FK24" s="56"/>
      <c r="FL24" s="56" t="s">
        <v>397</v>
      </c>
      <c r="FM24" s="56" t="s">
        <v>541</v>
      </c>
      <c r="FN24" s="56" t="s">
        <v>542</v>
      </c>
      <c r="FO24" s="56" t="s">
        <v>543</v>
      </c>
      <c r="FP24" s="55">
        <v>3</v>
      </c>
      <c r="FQ24" s="56" t="s">
        <v>544</v>
      </c>
      <c r="FR24" s="56" t="s">
        <v>545</v>
      </c>
      <c r="FS24" s="56" t="s">
        <v>546</v>
      </c>
      <c r="FT24" s="50"/>
      <c r="FU24" s="56" t="s">
        <v>317</v>
      </c>
      <c r="FV24" s="56" t="s">
        <v>547</v>
      </c>
      <c r="FW24" s="56"/>
      <c r="FX24" s="55">
        <v>-1</v>
      </c>
      <c r="FY24" s="55">
        <v>-1</v>
      </c>
      <c r="FZ24" s="55">
        <v>-1</v>
      </c>
      <c r="GA24" s="55">
        <v>-1</v>
      </c>
      <c r="GB24" s="55">
        <v>-1</v>
      </c>
      <c r="GC24" s="55">
        <v>-1</v>
      </c>
      <c r="GD24" s="55">
        <v>-1</v>
      </c>
      <c r="GE24" s="55">
        <v>-1</v>
      </c>
      <c r="GF24" s="55">
        <v>-1</v>
      </c>
      <c r="GG24" s="55">
        <v>-1</v>
      </c>
      <c r="GH24" s="55">
        <v>-1</v>
      </c>
      <c r="GI24" s="55">
        <v>-1</v>
      </c>
      <c r="GJ24" s="55">
        <v>-1</v>
      </c>
      <c r="GK24" s="55">
        <v>-1</v>
      </c>
      <c r="GL24" s="55">
        <v>-1</v>
      </c>
      <c r="GM24" s="55">
        <v>-15</v>
      </c>
      <c r="GN24" s="57"/>
      <c r="GO24" s="57"/>
      <c r="GP24" s="56" t="s">
        <v>319</v>
      </c>
      <c r="GQ24" s="56" t="s">
        <v>320</v>
      </c>
      <c r="GR24" s="56" t="s">
        <v>277</v>
      </c>
      <c r="GS24" s="55">
        <v>15</v>
      </c>
      <c r="GT24" s="55">
        <v>15</v>
      </c>
      <c r="GU24" s="55">
        <v>15</v>
      </c>
      <c r="GV24" s="55">
        <v>2</v>
      </c>
      <c r="GW24" s="58"/>
    </row>
    <row r="25" spans="1:205" s="62" customFormat="1" ht="13.8" thickBot="1" x14ac:dyDescent="0.3">
      <c r="A25" s="59">
        <v>171</v>
      </c>
      <c r="B25" s="60" t="s">
        <v>421</v>
      </c>
      <c r="C25" s="60">
        <v>39.5</v>
      </c>
      <c r="D25" s="60" t="s">
        <v>279</v>
      </c>
      <c r="E25" s="60" t="s">
        <v>280</v>
      </c>
      <c r="F25" s="60" t="s">
        <v>281</v>
      </c>
      <c r="G25" s="60" t="s">
        <v>281</v>
      </c>
      <c r="H25" s="60" t="s">
        <v>282</v>
      </c>
      <c r="I25" s="60" t="s">
        <v>282</v>
      </c>
      <c r="J25" s="60" t="s">
        <v>282</v>
      </c>
      <c r="K25" s="60" t="s">
        <v>281</v>
      </c>
      <c r="L25" s="60" t="s">
        <v>282</v>
      </c>
      <c r="M25" s="60" t="s">
        <v>281</v>
      </c>
      <c r="N25" s="60" t="s">
        <v>282</v>
      </c>
      <c r="O25" s="59">
        <v>0</v>
      </c>
      <c r="P25" s="60"/>
      <c r="Q25" s="60"/>
      <c r="R25" s="60" t="s">
        <v>355</v>
      </c>
      <c r="S25" s="60"/>
      <c r="T25" s="60"/>
      <c r="U25" s="60" t="s">
        <v>322</v>
      </c>
      <c r="V25" s="60" t="s">
        <v>377</v>
      </c>
      <c r="W25" s="60"/>
      <c r="X25" s="60" t="s">
        <v>482</v>
      </c>
      <c r="Y25" s="59">
        <v>1</v>
      </c>
      <c r="Z25" s="60" t="s">
        <v>466</v>
      </c>
      <c r="AA25" s="60"/>
      <c r="AB25" s="60" t="s">
        <v>294</v>
      </c>
      <c r="AC25" s="60" t="s">
        <v>331</v>
      </c>
      <c r="AD25" s="59">
        <v>1</v>
      </c>
      <c r="AE25" s="60" t="s">
        <v>297</v>
      </c>
      <c r="AF25" s="60"/>
      <c r="AG25" s="60" t="s">
        <v>305</v>
      </c>
      <c r="AH25" s="98" t="s">
        <v>305</v>
      </c>
      <c r="AI25" s="97">
        <f>IF(AH25=AG25,1,"")</f>
        <v>1</v>
      </c>
      <c r="AJ25" s="60" t="s">
        <v>339</v>
      </c>
      <c r="AK25" s="59">
        <v>0</v>
      </c>
      <c r="AL25" s="60"/>
      <c r="AM25" s="60"/>
      <c r="AN25" s="59">
        <v>1</v>
      </c>
      <c r="AO25" s="60" t="s">
        <v>467</v>
      </c>
      <c r="AP25" s="60"/>
      <c r="AQ25" s="60" t="s">
        <v>299</v>
      </c>
      <c r="AR25" s="59">
        <v>1</v>
      </c>
      <c r="AS25" s="60" t="s">
        <v>468</v>
      </c>
      <c r="AT25" s="60"/>
      <c r="AU25" s="60" t="s">
        <v>301</v>
      </c>
      <c r="AV25" s="60" t="s">
        <v>331</v>
      </c>
      <c r="AW25" s="59">
        <v>1</v>
      </c>
      <c r="AX25" s="60"/>
      <c r="AY25" s="60" t="s">
        <v>302</v>
      </c>
      <c r="AZ25" s="60" t="s">
        <v>324</v>
      </c>
      <c r="BA25" s="99"/>
      <c r="BB25" s="97"/>
      <c r="BC25" s="60" t="s">
        <v>287</v>
      </c>
      <c r="BD25" s="59">
        <v>1</v>
      </c>
      <c r="BE25" s="60"/>
      <c r="BF25" s="60" t="s">
        <v>339</v>
      </c>
      <c r="BG25" s="59">
        <v>1</v>
      </c>
      <c r="BH25" s="60" t="s">
        <v>469</v>
      </c>
      <c r="BI25" s="60" t="s">
        <v>296</v>
      </c>
      <c r="BJ25" s="60" t="s">
        <v>286</v>
      </c>
      <c r="BK25" s="60" t="s">
        <v>331</v>
      </c>
      <c r="BL25" s="59">
        <v>0</v>
      </c>
      <c r="BM25" s="60"/>
      <c r="BN25" s="60"/>
      <c r="BO25" s="60" t="s">
        <v>305</v>
      </c>
      <c r="BP25" s="60" t="s">
        <v>339</v>
      </c>
      <c r="BQ25" s="59">
        <v>1</v>
      </c>
      <c r="BR25" s="60"/>
      <c r="BS25" s="60" t="s">
        <v>287</v>
      </c>
      <c r="BT25" s="59">
        <v>1</v>
      </c>
      <c r="BU25" s="60" t="s">
        <v>470</v>
      </c>
      <c r="BV25" s="60" t="s">
        <v>296</v>
      </c>
      <c r="BW25" s="59">
        <v>1</v>
      </c>
      <c r="BX25" s="60" t="s">
        <v>471</v>
      </c>
      <c r="BY25" s="60" t="s">
        <v>286</v>
      </c>
      <c r="BZ25" s="60" t="s">
        <v>339</v>
      </c>
      <c r="CA25" s="59">
        <v>1</v>
      </c>
      <c r="CB25" s="60"/>
      <c r="CC25" s="60" t="s">
        <v>297</v>
      </c>
      <c r="CD25" s="60" t="s">
        <v>324</v>
      </c>
      <c r="CE25" s="97" t="s">
        <v>841</v>
      </c>
      <c r="CF25" s="97">
        <v>1</v>
      </c>
      <c r="CG25" s="60" t="s">
        <v>339</v>
      </c>
      <c r="CH25" s="59">
        <v>1</v>
      </c>
      <c r="CI25" s="60"/>
      <c r="CJ25" s="60" t="s">
        <v>472</v>
      </c>
      <c r="CK25" s="59">
        <v>1</v>
      </c>
      <c r="CL25" s="60" t="s">
        <v>470</v>
      </c>
      <c r="CM25" s="60" t="s">
        <v>296</v>
      </c>
      <c r="CN25" s="59">
        <v>1</v>
      </c>
      <c r="CO25" s="60" t="s">
        <v>473</v>
      </c>
      <c r="CP25" s="60"/>
      <c r="CQ25" s="60" t="s">
        <v>301</v>
      </c>
      <c r="CR25" s="60" t="s">
        <v>297</v>
      </c>
      <c r="CS25" s="59">
        <v>0</v>
      </c>
      <c r="CT25" s="60"/>
      <c r="CU25" s="60"/>
      <c r="CV25" s="60" t="s">
        <v>288</v>
      </c>
      <c r="CW25" s="98" t="s">
        <v>305</v>
      </c>
      <c r="CX25" s="97" t="str">
        <f>IF(CW25=CV25,1,"")</f>
        <v/>
      </c>
      <c r="CY25" s="60" t="s">
        <v>339</v>
      </c>
      <c r="CZ25" s="59">
        <v>0</v>
      </c>
      <c r="DA25" s="60"/>
      <c r="DB25" s="60"/>
      <c r="DC25" s="59">
        <v>1</v>
      </c>
      <c r="DD25" s="60" t="s">
        <v>474</v>
      </c>
      <c r="DE25" s="60" t="s">
        <v>296</v>
      </c>
      <c r="DF25" s="59">
        <v>1</v>
      </c>
      <c r="DG25" s="60" t="s">
        <v>475</v>
      </c>
      <c r="DH25" s="60"/>
      <c r="DI25" s="60" t="s">
        <v>286</v>
      </c>
      <c r="DJ25" s="60" t="s">
        <v>297</v>
      </c>
      <c r="DK25" s="59">
        <v>0</v>
      </c>
      <c r="DL25" s="60"/>
      <c r="DM25" s="60"/>
      <c r="DN25" s="60" t="s">
        <v>288</v>
      </c>
      <c r="DO25" s="98" t="s">
        <v>288</v>
      </c>
      <c r="DP25" s="97">
        <f>IF(DO25=DN25,1,"")</f>
        <v>1</v>
      </c>
      <c r="DQ25" s="60" t="s">
        <v>287</v>
      </c>
      <c r="DR25" s="59">
        <v>1</v>
      </c>
      <c r="DS25" s="60" t="s">
        <v>339</v>
      </c>
      <c r="DT25" s="60"/>
      <c r="DU25" s="59">
        <v>1</v>
      </c>
      <c r="DV25" s="60" t="s">
        <v>476</v>
      </c>
      <c r="DW25" s="60" t="s">
        <v>299</v>
      </c>
      <c r="DX25" s="59">
        <v>1</v>
      </c>
      <c r="DY25" s="60" t="s">
        <v>477</v>
      </c>
      <c r="DZ25" s="60"/>
      <c r="EA25" s="60" t="s">
        <v>294</v>
      </c>
      <c r="EB25" s="60" t="s">
        <v>331</v>
      </c>
      <c r="EC25" s="59">
        <v>0</v>
      </c>
      <c r="ED25" s="60"/>
      <c r="EE25" s="60"/>
      <c r="EF25" s="60" t="s">
        <v>305</v>
      </c>
      <c r="EG25" s="98" t="s">
        <v>305</v>
      </c>
      <c r="EH25" s="97">
        <f>IF(EG25=EF25,1,"")</f>
        <v>1</v>
      </c>
      <c r="EI25" s="60" t="s">
        <v>331</v>
      </c>
      <c r="EJ25" s="59">
        <v>0</v>
      </c>
      <c r="EK25" s="60"/>
      <c r="EL25" s="60"/>
      <c r="EM25" s="60" t="s">
        <v>478</v>
      </c>
      <c r="EN25" s="60" t="s">
        <v>467</v>
      </c>
      <c r="EO25" s="60" t="s">
        <v>299</v>
      </c>
      <c r="EP25" s="59">
        <v>1</v>
      </c>
      <c r="EQ25" s="60" t="s">
        <v>479</v>
      </c>
      <c r="ER25" s="60" t="s">
        <v>294</v>
      </c>
      <c r="ES25" s="60" t="s">
        <v>331</v>
      </c>
      <c r="ET25" s="59">
        <v>0</v>
      </c>
      <c r="EU25" s="60"/>
      <c r="EV25" s="60"/>
      <c r="EW25" s="60" t="s">
        <v>305</v>
      </c>
      <c r="EX25" s="98" t="s">
        <v>305</v>
      </c>
      <c r="EY25" s="97">
        <f>IF(EX25=EW25,1,"")</f>
        <v>1</v>
      </c>
      <c r="EZ25" s="59">
        <v>0</v>
      </c>
      <c r="FA25" s="60"/>
      <c r="FB25" s="60"/>
      <c r="FC25" s="60" t="s">
        <v>480</v>
      </c>
      <c r="FD25" s="59">
        <v>1</v>
      </c>
      <c r="FE25" s="60" t="s">
        <v>467</v>
      </c>
      <c r="FF25" s="60" t="s">
        <v>296</v>
      </c>
      <c r="FG25" s="59">
        <v>1</v>
      </c>
      <c r="FH25" s="60" t="s">
        <v>404</v>
      </c>
      <c r="FI25" s="60"/>
      <c r="FJ25" s="60"/>
      <c r="FK25" s="60"/>
      <c r="FL25" s="60"/>
      <c r="FM25" s="60"/>
      <c r="FN25" s="60"/>
      <c r="FO25" s="60"/>
      <c r="FP25" s="59">
        <v>1</v>
      </c>
      <c r="FQ25" s="60" t="s">
        <v>481</v>
      </c>
      <c r="FR25" s="60"/>
      <c r="FS25" s="60"/>
      <c r="FU25" s="60" t="s">
        <v>351</v>
      </c>
      <c r="FV25" s="60" t="s">
        <v>483</v>
      </c>
      <c r="FW25" s="60"/>
      <c r="FX25" s="59">
        <v>-1</v>
      </c>
      <c r="FY25" s="59">
        <v>-1</v>
      </c>
      <c r="FZ25" s="59">
        <v>-1</v>
      </c>
      <c r="GA25" s="59">
        <v>-1</v>
      </c>
      <c r="GB25" s="59">
        <v>-1</v>
      </c>
      <c r="GC25" s="59">
        <v>-1</v>
      </c>
      <c r="GD25" s="59">
        <v>-1</v>
      </c>
      <c r="GE25" s="59">
        <v>-1</v>
      </c>
      <c r="GF25" s="59">
        <v>-1</v>
      </c>
      <c r="GG25" s="59">
        <v>-1</v>
      </c>
      <c r="GH25" s="59">
        <v>-1</v>
      </c>
      <c r="GI25" s="59">
        <v>-1</v>
      </c>
      <c r="GJ25" s="59">
        <v>-1</v>
      </c>
      <c r="GK25" s="59">
        <v>-1</v>
      </c>
      <c r="GL25" s="59">
        <v>-1</v>
      </c>
      <c r="GM25" s="59">
        <v>-15</v>
      </c>
      <c r="GN25" s="63"/>
      <c r="GO25" s="63"/>
      <c r="GP25" s="60" t="s">
        <v>319</v>
      </c>
      <c r="GQ25" s="60" t="s">
        <v>320</v>
      </c>
      <c r="GR25" s="60" t="s">
        <v>277</v>
      </c>
      <c r="GS25" s="59">
        <v>15</v>
      </c>
      <c r="GT25" s="59">
        <v>15</v>
      </c>
      <c r="GU25" s="59">
        <v>17</v>
      </c>
      <c r="GV25" s="59">
        <v>3</v>
      </c>
      <c r="GW25" s="64"/>
    </row>
    <row r="26" spans="1:205" s="40" customFormat="1" x14ac:dyDescent="0.25">
      <c r="A26" s="65">
        <v>207</v>
      </c>
      <c r="B26" s="61" t="s">
        <v>421</v>
      </c>
      <c r="C26" s="61">
        <v>39.5</v>
      </c>
      <c r="D26" s="61"/>
      <c r="E26" s="61" t="s">
        <v>422</v>
      </c>
      <c r="F26" s="61" t="s">
        <v>281</v>
      </c>
      <c r="G26" s="61" t="s">
        <v>282</v>
      </c>
      <c r="H26" s="61" t="s">
        <v>282</v>
      </c>
      <c r="I26" s="61" t="s">
        <v>282</v>
      </c>
      <c r="J26" s="61" t="s">
        <v>282</v>
      </c>
      <c r="K26" s="61" t="s">
        <v>281</v>
      </c>
      <c r="L26" s="61" t="s">
        <v>282</v>
      </c>
      <c r="M26" s="61" t="s">
        <v>282</v>
      </c>
      <c r="N26" s="61" t="s">
        <v>282</v>
      </c>
      <c r="O26" s="65">
        <v>0</v>
      </c>
      <c r="P26" s="61"/>
      <c r="Q26" s="61"/>
      <c r="R26" s="61" t="s">
        <v>355</v>
      </c>
      <c r="S26" s="61"/>
      <c r="T26" s="61"/>
      <c r="U26" s="61" t="s">
        <v>322</v>
      </c>
      <c r="V26" s="61"/>
      <c r="W26" s="61"/>
      <c r="X26" s="61" t="s">
        <v>350</v>
      </c>
      <c r="Y26" s="65">
        <v>1</v>
      </c>
      <c r="Z26" s="61" t="s">
        <v>466</v>
      </c>
      <c r="AA26" s="61"/>
      <c r="AB26" s="61" t="s">
        <v>294</v>
      </c>
      <c r="AC26" s="61" t="s">
        <v>297</v>
      </c>
      <c r="AD26" s="65">
        <v>1</v>
      </c>
      <c r="AE26" s="61" t="s">
        <v>331</v>
      </c>
      <c r="AF26" s="61"/>
      <c r="AG26" s="61" t="s">
        <v>298</v>
      </c>
      <c r="AH26" s="98" t="s">
        <v>305</v>
      </c>
      <c r="AI26" s="97" t="str">
        <f>IF(AH26=AG26,1,"")</f>
        <v/>
      </c>
      <c r="AJ26" s="61"/>
      <c r="AK26" s="65">
        <v>0</v>
      </c>
      <c r="AL26" s="61"/>
      <c r="AM26" s="61"/>
      <c r="AN26" s="65">
        <v>0</v>
      </c>
      <c r="AO26" s="61"/>
      <c r="AP26" s="61"/>
      <c r="AQ26" s="61" t="s">
        <v>299</v>
      </c>
      <c r="AR26" s="65">
        <v>0</v>
      </c>
      <c r="AS26" s="61"/>
      <c r="AT26" s="61"/>
      <c r="AU26" s="61"/>
      <c r="AV26" s="61"/>
      <c r="AW26" s="65">
        <v>0</v>
      </c>
      <c r="AX26" s="61"/>
      <c r="AY26" s="61"/>
      <c r="AZ26" s="61"/>
      <c r="BA26" s="98"/>
      <c r="BB26" s="97"/>
      <c r="BC26" s="61"/>
      <c r="BD26" s="65">
        <v>0</v>
      </c>
      <c r="BE26" s="61"/>
      <c r="BF26" s="61"/>
      <c r="BG26" s="65">
        <v>0</v>
      </c>
      <c r="BH26" s="61"/>
      <c r="BI26" s="61"/>
      <c r="BJ26" s="61"/>
      <c r="BK26" s="61"/>
      <c r="BL26" s="65">
        <v>0</v>
      </c>
      <c r="BM26" s="61"/>
      <c r="BN26" s="61"/>
      <c r="BO26" s="61"/>
      <c r="BP26" s="61"/>
      <c r="BQ26" s="65">
        <v>0</v>
      </c>
      <c r="BR26" s="61"/>
      <c r="BS26" s="61"/>
      <c r="BT26" s="65">
        <v>0</v>
      </c>
      <c r="BU26" s="61"/>
      <c r="BV26" s="61"/>
      <c r="BW26" s="65">
        <v>0</v>
      </c>
      <c r="BX26" s="61"/>
      <c r="BY26" s="61"/>
      <c r="BZ26" s="61"/>
      <c r="CA26" s="65">
        <v>0</v>
      </c>
      <c r="CB26" s="61"/>
      <c r="CC26" s="61"/>
      <c r="CD26" s="61"/>
      <c r="CE26" s="97"/>
      <c r="CF26" s="97"/>
      <c r="CG26" s="61"/>
      <c r="CH26" s="65">
        <v>0</v>
      </c>
      <c r="CI26" s="61"/>
      <c r="CJ26" s="61"/>
      <c r="CK26" s="65">
        <v>0</v>
      </c>
      <c r="CL26" s="61"/>
      <c r="CM26" s="61"/>
      <c r="CN26" s="65">
        <v>1</v>
      </c>
      <c r="CO26" s="61" t="s">
        <v>619</v>
      </c>
      <c r="CP26" s="61"/>
      <c r="CQ26" s="61" t="s">
        <v>294</v>
      </c>
      <c r="CR26" s="61" t="s">
        <v>297</v>
      </c>
      <c r="CS26" s="65">
        <v>0</v>
      </c>
      <c r="CT26" s="61"/>
      <c r="CU26" s="61"/>
      <c r="CV26" s="61" t="s">
        <v>288</v>
      </c>
      <c r="CW26" s="98" t="s">
        <v>837</v>
      </c>
      <c r="CX26" s="97">
        <f>IF(CW26=CV26,1,"")</f>
        <v>1</v>
      </c>
      <c r="CY26" s="61" t="s">
        <v>331</v>
      </c>
      <c r="CZ26" s="65">
        <v>0</v>
      </c>
      <c r="DA26" s="61"/>
      <c r="DB26" s="61"/>
      <c r="DC26" s="65">
        <v>0</v>
      </c>
      <c r="DD26" s="61"/>
      <c r="DE26" s="61" t="s">
        <v>299</v>
      </c>
      <c r="DF26" s="65">
        <v>1</v>
      </c>
      <c r="DG26" s="61" t="s">
        <v>620</v>
      </c>
      <c r="DH26" s="61"/>
      <c r="DI26" s="61" t="s">
        <v>301</v>
      </c>
      <c r="DJ26" s="61" t="s">
        <v>297</v>
      </c>
      <c r="DK26" s="65">
        <v>0</v>
      </c>
      <c r="DL26" s="61"/>
      <c r="DM26" s="61"/>
      <c r="DN26" s="61" t="s">
        <v>324</v>
      </c>
      <c r="DO26" s="98" t="s">
        <v>324</v>
      </c>
      <c r="DP26" s="97">
        <f>IF(DO26=DN26,1,"")</f>
        <v>1</v>
      </c>
      <c r="DQ26" s="61" t="s">
        <v>297</v>
      </c>
      <c r="DR26" s="65">
        <v>0</v>
      </c>
      <c r="DS26" s="61"/>
      <c r="DT26" s="61"/>
      <c r="DU26" s="65">
        <v>0</v>
      </c>
      <c r="DV26" s="61"/>
      <c r="DW26" s="61" t="s">
        <v>299</v>
      </c>
      <c r="DX26" s="65">
        <v>0</v>
      </c>
      <c r="DY26" s="61"/>
      <c r="DZ26" s="61"/>
      <c r="EA26" s="61"/>
      <c r="EB26" s="61"/>
      <c r="EC26" s="65">
        <v>0</v>
      </c>
      <c r="ED26" s="61"/>
      <c r="EE26" s="61"/>
      <c r="EF26" s="61"/>
      <c r="EG26" s="98"/>
      <c r="EH26" s="97"/>
      <c r="EI26" s="61"/>
      <c r="EJ26" s="65">
        <v>0</v>
      </c>
      <c r="EK26" s="61"/>
      <c r="EL26" s="61"/>
      <c r="EM26" s="61"/>
      <c r="EN26" s="61"/>
      <c r="EO26" s="61"/>
      <c r="EP26" s="65">
        <v>0</v>
      </c>
      <c r="EQ26" s="61"/>
      <c r="ER26" s="61"/>
      <c r="ES26" s="61"/>
      <c r="ET26" s="65">
        <v>0</v>
      </c>
      <c r="EU26" s="61"/>
      <c r="EV26" s="61"/>
      <c r="EW26" s="61"/>
      <c r="EX26" s="98"/>
      <c r="EY26" s="97"/>
      <c r="EZ26" s="65">
        <v>0</v>
      </c>
      <c r="FA26" s="61"/>
      <c r="FB26" s="61"/>
      <c r="FC26" s="61"/>
      <c r="FD26" s="65">
        <v>0</v>
      </c>
      <c r="FE26" s="61"/>
      <c r="FF26" s="61"/>
      <c r="FG26" s="65">
        <v>1</v>
      </c>
      <c r="FH26" s="61" t="s">
        <v>621</v>
      </c>
      <c r="FI26" s="61"/>
      <c r="FJ26" s="61"/>
      <c r="FK26" s="61"/>
      <c r="FL26" s="61"/>
      <c r="FM26" s="61"/>
      <c r="FN26" s="61"/>
      <c r="FO26" s="61"/>
      <c r="FP26" s="65">
        <v>1</v>
      </c>
      <c r="FQ26" s="61" t="s">
        <v>622</v>
      </c>
      <c r="FR26" s="61"/>
      <c r="FS26" s="61"/>
      <c r="FT26" s="49"/>
      <c r="FU26" s="61" t="s">
        <v>351</v>
      </c>
      <c r="FV26" s="61"/>
      <c r="FW26" s="61"/>
      <c r="FX26" s="65">
        <v>-1</v>
      </c>
      <c r="FY26" s="65">
        <v>-1</v>
      </c>
      <c r="FZ26" s="65">
        <v>-1</v>
      </c>
      <c r="GA26" s="65">
        <v>-1</v>
      </c>
      <c r="GB26" s="65">
        <v>-1</v>
      </c>
      <c r="GC26" s="65">
        <v>-1</v>
      </c>
      <c r="GD26" s="65">
        <v>-1</v>
      </c>
      <c r="GE26" s="65">
        <v>-1</v>
      </c>
      <c r="GF26" s="65">
        <v>-1</v>
      </c>
      <c r="GG26" s="65">
        <v>-1</v>
      </c>
      <c r="GH26" s="65">
        <v>-1</v>
      </c>
      <c r="GI26" s="65">
        <v>-1</v>
      </c>
      <c r="GJ26" s="65">
        <v>-1</v>
      </c>
      <c r="GK26" s="65">
        <v>-1</v>
      </c>
      <c r="GL26" s="65">
        <v>-1</v>
      </c>
      <c r="GM26" s="65">
        <v>-15</v>
      </c>
      <c r="GN26" s="66"/>
      <c r="GO26" s="66"/>
      <c r="GP26" s="61"/>
      <c r="GQ26" s="61" t="s">
        <v>320</v>
      </c>
      <c r="GR26" s="61" t="s">
        <v>277</v>
      </c>
      <c r="GS26" s="65">
        <v>15</v>
      </c>
      <c r="GT26" s="65">
        <v>15</v>
      </c>
      <c r="GU26" s="65">
        <v>72</v>
      </c>
      <c r="GV26" s="65">
        <v>59</v>
      </c>
      <c r="GW26" s="67"/>
    </row>
    <row r="27" spans="1:205" s="40" customFormat="1" x14ac:dyDescent="0.25">
      <c r="A27" s="38">
        <v>149</v>
      </c>
      <c r="B27" s="39" t="s">
        <v>421</v>
      </c>
      <c r="C27" s="39">
        <v>39.5</v>
      </c>
      <c r="D27" s="39" t="s">
        <v>353</v>
      </c>
      <c r="E27" s="39" t="s">
        <v>422</v>
      </c>
      <c r="F27" s="39" t="s">
        <v>282</v>
      </c>
      <c r="G27" s="39" t="s">
        <v>281</v>
      </c>
      <c r="H27" s="39" t="s">
        <v>282</v>
      </c>
      <c r="I27" s="39" t="s">
        <v>282</v>
      </c>
      <c r="J27" s="39" t="s">
        <v>282</v>
      </c>
      <c r="K27" s="39" t="s">
        <v>281</v>
      </c>
      <c r="L27" s="39" t="s">
        <v>282</v>
      </c>
      <c r="M27" s="39" t="s">
        <v>282</v>
      </c>
      <c r="N27" s="39" t="s">
        <v>282</v>
      </c>
      <c r="O27" s="38">
        <v>0</v>
      </c>
      <c r="P27" s="39"/>
      <c r="Q27" s="39"/>
      <c r="R27" s="39" t="s">
        <v>423</v>
      </c>
      <c r="S27" s="39"/>
      <c r="T27" s="39"/>
      <c r="U27" s="39"/>
      <c r="V27" s="39" t="s">
        <v>377</v>
      </c>
      <c r="W27" s="40" t="s">
        <v>424</v>
      </c>
      <c r="X27" s="39" t="s">
        <v>425</v>
      </c>
      <c r="Y27" s="38"/>
      <c r="Z27" s="39"/>
      <c r="AA27" s="39"/>
      <c r="AB27" s="39"/>
      <c r="AC27" s="39"/>
      <c r="AD27" s="38"/>
      <c r="AE27" s="39"/>
      <c r="AF27" s="39"/>
      <c r="AG27" s="39"/>
      <c r="AH27" s="98"/>
      <c r="AI27" s="97"/>
      <c r="AJ27" s="39"/>
      <c r="AK27" s="38"/>
      <c r="AL27" s="39"/>
      <c r="AM27" s="39"/>
      <c r="AN27" s="38"/>
      <c r="AO27" s="39"/>
      <c r="AP27" s="39"/>
      <c r="AQ27" s="39"/>
      <c r="AR27" s="38"/>
      <c r="AS27" s="39"/>
      <c r="AT27" s="39"/>
      <c r="AU27" s="39"/>
      <c r="AV27" s="39"/>
      <c r="AW27" s="38"/>
      <c r="AX27" s="39"/>
      <c r="AY27" s="39"/>
      <c r="AZ27" s="39"/>
      <c r="BA27" s="98"/>
      <c r="BB27" s="97"/>
      <c r="BC27" s="39"/>
      <c r="BD27" s="38"/>
      <c r="BE27" s="39"/>
      <c r="BF27" s="39"/>
      <c r="BG27" s="38"/>
      <c r="BH27" s="39"/>
      <c r="BI27" s="39"/>
      <c r="BJ27" s="39"/>
      <c r="BK27" s="39"/>
      <c r="BL27" s="38"/>
      <c r="BM27" s="39"/>
      <c r="BN27" s="39"/>
      <c r="BO27" s="39"/>
      <c r="BP27" s="39"/>
      <c r="BQ27" s="38"/>
      <c r="BR27" s="39"/>
      <c r="BS27" s="39"/>
      <c r="BT27" s="38"/>
      <c r="BU27" s="39"/>
      <c r="BV27" s="39"/>
      <c r="BW27" s="38"/>
      <c r="BX27" s="39"/>
      <c r="BY27" s="39"/>
      <c r="BZ27" s="39"/>
      <c r="CA27" s="38"/>
      <c r="CB27" s="39"/>
      <c r="CC27" s="39"/>
      <c r="CD27" s="39"/>
      <c r="CE27" s="97"/>
      <c r="CF27" s="97"/>
      <c r="CG27" s="39"/>
      <c r="CH27" s="38"/>
      <c r="CI27" s="39"/>
      <c r="CJ27" s="39"/>
      <c r="CK27" s="38"/>
      <c r="CL27" s="39"/>
      <c r="CM27" s="39"/>
      <c r="CN27" s="38"/>
      <c r="CO27" s="39"/>
      <c r="CP27" s="39"/>
      <c r="CQ27" s="39"/>
      <c r="CR27" s="39"/>
      <c r="CS27" s="38"/>
      <c r="CT27" s="39"/>
      <c r="CU27" s="39"/>
      <c r="CV27" s="39"/>
      <c r="CW27" s="98"/>
      <c r="CX27" s="97"/>
      <c r="CY27" s="39"/>
      <c r="CZ27" s="38"/>
      <c r="DA27" s="39"/>
      <c r="DB27" s="39"/>
      <c r="DC27" s="38"/>
      <c r="DD27" s="39"/>
      <c r="DE27" s="39"/>
      <c r="DF27" s="38"/>
      <c r="DG27" s="39"/>
      <c r="DH27" s="39"/>
      <c r="DI27" s="39"/>
      <c r="DJ27" s="39"/>
      <c r="DK27" s="38"/>
      <c r="DL27" s="39"/>
      <c r="DM27" s="39"/>
      <c r="DN27" s="39"/>
      <c r="DO27" s="98"/>
      <c r="DP27" s="97"/>
      <c r="DQ27" s="39"/>
      <c r="DR27" s="38"/>
      <c r="DS27" s="39"/>
      <c r="DT27" s="39"/>
      <c r="DU27" s="38"/>
      <c r="DV27" s="39"/>
      <c r="DW27" s="39"/>
      <c r="DX27" s="38"/>
      <c r="DY27" s="39"/>
      <c r="DZ27" s="39"/>
      <c r="EA27" s="39"/>
      <c r="EB27" s="39"/>
      <c r="EC27" s="38"/>
      <c r="ED27" s="39"/>
      <c r="EE27" s="39"/>
      <c r="EF27" s="39"/>
      <c r="EG27" s="98"/>
      <c r="EH27" s="97"/>
      <c r="EI27" s="39"/>
      <c r="EJ27" s="38"/>
      <c r="EK27" s="39"/>
      <c r="EL27" s="39"/>
      <c r="EM27" s="39"/>
      <c r="EN27" s="39"/>
      <c r="EO27" s="39"/>
      <c r="EP27" s="38"/>
      <c r="EQ27" s="39"/>
      <c r="ER27" s="39"/>
      <c r="ES27" s="39"/>
      <c r="ET27" s="38"/>
      <c r="EU27" s="39"/>
      <c r="EV27" s="39"/>
      <c r="EW27" s="39"/>
      <c r="EX27" s="98"/>
      <c r="EY27" s="97"/>
      <c r="EZ27" s="38"/>
      <c r="FA27" s="39"/>
      <c r="FB27" s="39"/>
      <c r="FC27" s="39"/>
      <c r="FD27" s="38"/>
      <c r="FE27" s="39"/>
      <c r="FF27" s="39"/>
      <c r="FG27" s="38"/>
      <c r="FH27" s="39"/>
      <c r="FI27" s="39"/>
      <c r="FJ27" s="39"/>
      <c r="FK27" s="39"/>
      <c r="FL27" s="39"/>
      <c r="FM27" s="39"/>
      <c r="FN27" s="39"/>
      <c r="FO27" s="39"/>
      <c r="FP27" s="38"/>
      <c r="FQ27" s="39"/>
      <c r="FR27" s="39"/>
      <c r="FS27" s="39"/>
      <c r="FU27" s="39"/>
      <c r="FV27" s="39"/>
      <c r="FW27" s="39"/>
      <c r="FX27" s="38">
        <v>-1</v>
      </c>
      <c r="FY27" s="38">
        <v>-1</v>
      </c>
      <c r="FZ27" s="38">
        <v>-1</v>
      </c>
      <c r="GA27" s="38">
        <v>-1</v>
      </c>
      <c r="GB27" s="38">
        <v>-1</v>
      </c>
      <c r="GC27" s="38"/>
      <c r="GD27" s="38"/>
      <c r="GE27" s="38"/>
      <c r="GF27" s="38"/>
      <c r="GG27" s="38"/>
      <c r="GH27" s="38"/>
      <c r="GI27" s="38"/>
      <c r="GJ27" s="38"/>
      <c r="GK27" s="38"/>
      <c r="GL27" s="38"/>
      <c r="GM27" s="38">
        <v>-5</v>
      </c>
      <c r="GN27" s="41"/>
      <c r="GO27" s="41"/>
      <c r="GP27" s="39"/>
      <c r="GQ27" s="39" t="s">
        <v>277</v>
      </c>
      <c r="GR27" s="39" t="s">
        <v>277</v>
      </c>
      <c r="GS27" s="38">
        <v>5</v>
      </c>
      <c r="GT27" s="38">
        <v>5</v>
      </c>
      <c r="GU27" s="38">
        <v>14</v>
      </c>
      <c r="GV27" s="38">
        <v>1</v>
      </c>
      <c r="GW27" s="42"/>
    </row>
    <row r="28" spans="1:205" s="40" customFormat="1" x14ac:dyDescent="0.25">
      <c r="A28" s="38">
        <v>150</v>
      </c>
      <c r="B28" s="39" t="s">
        <v>421</v>
      </c>
      <c r="C28" s="39">
        <v>39.5</v>
      </c>
      <c r="D28" s="39" t="s">
        <v>353</v>
      </c>
      <c r="E28" s="39" t="s">
        <v>320</v>
      </c>
      <c r="F28" s="39" t="s">
        <v>282</v>
      </c>
      <c r="G28" s="39" t="s">
        <v>282</v>
      </c>
      <c r="H28" s="39" t="s">
        <v>282</v>
      </c>
      <c r="I28" s="39" t="s">
        <v>282</v>
      </c>
      <c r="J28" s="39" t="s">
        <v>282</v>
      </c>
      <c r="K28" s="39" t="s">
        <v>281</v>
      </c>
      <c r="L28" s="39" t="s">
        <v>282</v>
      </c>
      <c r="M28" s="39" t="s">
        <v>282</v>
      </c>
      <c r="N28" s="39" t="s">
        <v>282</v>
      </c>
      <c r="O28" s="38">
        <v>1</v>
      </c>
      <c r="P28" s="39" t="s">
        <v>302</v>
      </c>
      <c r="Q28" s="39"/>
      <c r="R28" s="39" t="s">
        <v>423</v>
      </c>
      <c r="S28" s="39"/>
      <c r="T28" s="39"/>
      <c r="U28" s="39"/>
      <c r="V28" s="39"/>
      <c r="W28" s="40" t="s">
        <v>424</v>
      </c>
      <c r="X28" s="39" t="s">
        <v>346</v>
      </c>
      <c r="Y28" s="38"/>
      <c r="Z28" s="39"/>
      <c r="AA28" s="39"/>
      <c r="AB28" s="39"/>
      <c r="AC28" s="39"/>
      <c r="AD28" s="38"/>
      <c r="AE28" s="39"/>
      <c r="AF28" s="39"/>
      <c r="AG28" s="39"/>
      <c r="AH28" s="98"/>
      <c r="AI28" s="97"/>
      <c r="AJ28" s="39"/>
      <c r="AK28" s="38"/>
      <c r="AL28" s="39"/>
      <c r="AM28" s="39"/>
      <c r="AN28" s="38"/>
      <c r="AO28" s="39"/>
      <c r="AP28" s="39"/>
      <c r="AQ28" s="39"/>
      <c r="AR28" s="38"/>
      <c r="AS28" s="39"/>
      <c r="AT28" s="39"/>
      <c r="AU28" s="39"/>
      <c r="AV28" s="39"/>
      <c r="AW28" s="38"/>
      <c r="AX28" s="39"/>
      <c r="AY28" s="39"/>
      <c r="AZ28" s="39"/>
      <c r="BA28" s="98"/>
      <c r="BB28" s="97"/>
      <c r="BC28" s="39"/>
      <c r="BD28" s="38"/>
      <c r="BE28" s="39"/>
      <c r="BF28" s="39"/>
      <c r="BG28" s="38"/>
      <c r="BH28" s="39"/>
      <c r="BI28" s="39"/>
      <c r="BJ28" s="39"/>
      <c r="BK28" s="39"/>
      <c r="BL28" s="38"/>
      <c r="BM28" s="39"/>
      <c r="BN28" s="39"/>
      <c r="BO28" s="39"/>
      <c r="BP28" s="39"/>
      <c r="BQ28" s="38"/>
      <c r="BR28" s="39"/>
      <c r="BS28" s="39"/>
      <c r="BT28" s="38"/>
      <c r="BU28" s="39"/>
      <c r="BV28" s="39"/>
      <c r="BW28" s="38"/>
      <c r="BX28" s="39"/>
      <c r="BY28" s="39"/>
      <c r="BZ28" s="39"/>
      <c r="CA28" s="38"/>
      <c r="CB28" s="39"/>
      <c r="CC28" s="39"/>
      <c r="CD28" s="39"/>
      <c r="CE28" s="97"/>
      <c r="CF28" s="97"/>
      <c r="CG28" s="39"/>
      <c r="CH28" s="38"/>
      <c r="CI28" s="39"/>
      <c r="CJ28" s="39"/>
      <c r="CK28" s="38"/>
      <c r="CL28" s="39"/>
      <c r="CM28" s="39"/>
      <c r="CN28" s="38"/>
      <c r="CO28" s="39"/>
      <c r="CP28" s="39"/>
      <c r="CQ28" s="39"/>
      <c r="CR28" s="39"/>
      <c r="CS28" s="38"/>
      <c r="CT28" s="39"/>
      <c r="CU28" s="39"/>
      <c r="CV28" s="39"/>
      <c r="CW28" s="98"/>
      <c r="CX28" s="97"/>
      <c r="CY28" s="39"/>
      <c r="CZ28" s="38"/>
      <c r="DA28" s="39"/>
      <c r="DB28" s="39"/>
      <c r="DC28" s="38"/>
      <c r="DD28" s="39"/>
      <c r="DE28" s="39"/>
      <c r="DF28" s="38"/>
      <c r="DG28" s="39"/>
      <c r="DH28" s="39"/>
      <c r="DI28" s="39"/>
      <c r="DJ28" s="39"/>
      <c r="DK28" s="38"/>
      <c r="DL28" s="39"/>
      <c r="DM28" s="39"/>
      <c r="DN28" s="39"/>
      <c r="DO28" s="98"/>
      <c r="DP28" s="97"/>
      <c r="DQ28" s="39"/>
      <c r="DR28" s="38"/>
      <c r="DS28" s="39"/>
      <c r="DT28" s="39"/>
      <c r="DU28" s="38"/>
      <c r="DV28" s="39"/>
      <c r="DW28" s="39"/>
      <c r="DX28" s="38"/>
      <c r="DY28" s="39"/>
      <c r="DZ28" s="39"/>
      <c r="EA28" s="39"/>
      <c r="EB28" s="39"/>
      <c r="EC28" s="38"/>
      <c r="ED28" s="39"/>
      <c r="EE28" s="39"/>
      <c r="EF28" s="39"/>
      <c r="EG28" s="98"/>
      <c r="EH28" s="97"/>
      <c r="EI28" s="39"/>
      <c r="EJ28" s="38"/>
      <c r="EK28" s="39"/>
      <c r="EL28" s="39"/>
      <c r="EM28" s="39"/>
      <c r="EN28" s="39"/>
      <c r="EO28" s="39"/>
      <c r="EP28" s="38"/>
      <c r="EQ28" s="39"/>
      <c r="ER28" s="39"/>
      <c r="ES28" s="39"/>
      <c r="ET28" s="38"/>
      <c r="EU28" s="39"/>
      <c r="EV28" s="39"/>
      <c r="EW28" s="39"/>
      <c r="EX28" s="98"/>
      <c r="EY28" s="97"/>
      <c r="EZ28" s="38"/>
      <c r="FA28" s="39"/>
      <c r="FB28" s="39"/>
      <c r="FC28" s="39"/>
      <c r="FD28" s="38"/>
      <c r="FE28" s="39"/>
      <c r="FF28" s="39"/>
      <c r="FG28" s="38"/>
      <c r="FH28" s="39"/>
      <c r="FI28" s="39"/>
      <c r="FJ28" s="39"/>
      <c r="FK28" s="39"/>
      <c r="FL28" s="39"/>
      <c r="FM28" s="39"/>
      <c r="FN28" s="39"/>
      <c r="FO28" s="39"/>
      <c r="FP28" s="38"/>
      <c r="FQ28" s="39"/>
      <c r="FR28" s="39"/>
      <c r="FS28" s="39"/>
      <c r="FU28" s="39"/>
      <c r="FV28" s="39"/>
      <c r="FW28" s="39"/>
      <c r="FX28" s="38">
        <v>-1</v>
      </c>
      <c r="FY28" s="38">
        <v>-1</v>
      </c>
      <c r="FZ28" s="38">
        <v>-1</v>
      </c>
      <c r="GA28" s="38">
        <v>-1</v>
      </c>
      <c r="GB28" s="38">
        <v>-1</v>
      </c>
      <c r="GC28" s="38"/>
      <c r="GD28" s="38"/>
      <c r="GE28" s="38"/>
      <c r="GF28" s="38"/>
      <c r="GG28" s="38"/>
      <c r="GH28" s="38"/>
      <c r="GI28" s="38"/>
      <c r="GJ28" s="38"/>
      <c r="GK28" s="38"/>
      <c r="GL28" s="38"/>
      <c r="GM28" s="38">
        <v>-5</v>
      </c>
      <c r="GN28" s="41"/>
      <c r="GO28" s="41"/>
      <c r="GP28" s="39"/>
      <c r="GQ28" s="39" t="s">
        <v>277</v>
      </c>
      <c r="GR28" s="39" t="s">
        <v>277</v>
      </c>
      <c r="GS28" s="38">
        <v>5</v>
      </c>
      <c r="GT28" s="38">
        <v>5</v>
      </c>
      <c r="GU28" s="38">
        <v>0</v>
      </c>
      <c r="GV28" s="38">
        <v>0</v>
      </c>
      <c r="GW28" s="42"/>
    </row>
    <row r="29" spans="1:205" s="40" customFormat="1" x14ac:dyDescent="0.25">
      <c r="A29" s="38">
        <v>151</v>
      </c>
      <c r="B29" s="39" t="s">
        <v>421</v>
      </c>
      <c r="C29" s="39">
        <v>39.5</v>
      </c>
      <c r="D29" s="39" t="s">
        <v>353</v>
      </c>
      <c r="E29" s="39" t="s">
        <v>320</v>
      </c>
      <c r="F29" s="39" t="s">
        <v>282</v>
      </c>
      <c r="G29" s="39" t="s">
        <v>282</v>
      </c>
      <c r="H29" s="39" t="s">
        <v>282</v>
      </c>
      <c r="I29" s="39" t="s">
        <v>282</v>
      </c>
      <c r="J29" s="39" t="s">
        <v>282</v>
      </c>
      <c r="K29" s="39" t="s">
        <v>281</v>
      </c>
      <c r="L29" s="39" t="s">
        <v>282</v>
      </c>
      <c r="M29" s="39" t="s">
        <v>282</v>
      </c>
      <c r="N29" s="39" t="s">
        <v>282</v>
      </c>
      <c r="O29" s="38">
        <v>0</v>
      </c>
      <c r="P29" s="39"/>
      <c r="Q29" s="39"/>
      <c r="R29" s="39" t="s">
        <v>423</v>
      </c>
      <c r="S29" s="39"/>
      <c r="T29" s="39"/>
      <c r="U29" s="39"/>
      <c r="V29" s="39"/>
      <c r="W29" s="40" t="s">
        <v>424</v>
      </c>
      <c r="X29" s="39" t="s">
        <v>346</v>
      </c>
      <c r="Y29" s="38">
        <v>1</v>
      </c>
      <c r="Z29" s="39" t="s">
        <v>365</v>
      </c>
      <c r="AA29" s="39"/>
      <c r="AB29" s="39" t="s">
        <v>310</v>
      </c>
      <c r="AC29" s="39" t="s">
        <v>297</v>
      </c>
      <c r="AD29" s="38">
        <v>1</v>
      </c>
      <c r="AE29" s="39" t="s">
        <v>302</v>
      </c>
      <c r="AF29" s="39"/>
      <c r="AG29" s="39" t="s">
        <v>305</v>
      </c>
      <c r="AH29" s="98" t="s">
        <v>298</v>
      </c>
      <c r="AI29" s="97" t="str">
        <f>IF(AH29=AG29,1,"")</f>
        <v/>
      </c>
      <c r="AJ29" s="39" t="s">
        <v>302</v>
      </c>
      <c r="AK29" s="38">
        <v>1</v>
      </c>
      <c r="AL29" s="39" t="s">
        <v>287</v>
      </c>
      <c r="AM29" s="39"/>
      <c r="AN29" s="38">
        <v>1</v>
      </c>
      <c r="AO29" s="39" t="s">
        <v>426</v>
      </c>
      <c r="AP29" s="39"/>
      <c r="AQ29" s="39" t="s">
        <v>296</v>
      </c>
      <c r="AR29" s="38">
        <v>0</v>
      </c>
      <c r="AS29" s="39"/>
      <c r="AT29" s="39"/>
      <c r="AU29" s="39"/>
      <c r="AV29" s="39"/>
      <c r="AW29" s="38">
        <v>0</v>
      </c>
      <c r="AX29" s="39"/>
      <c r="AY29" s="39"/>
      <c r="AZ29" s="39"/>
      <c r="BA29" s="98"/>
      <c r="BB29" s="97"/>
      <c r="BC29" s="39"/>
      <c r="BD29" s="38">
        <v>0</v>
      </c>
      <c r="BE29" s="39"/>
      <c r="BF29" s="39"/>
      <c r="BG29" s="38">
        <v>0</v>
      </c>
      <c r="BH29" s="39"/>
      <c r="BI29" s="39"/>
      <c r="BJ29" s="39" t="s">
        <v>303</v>
      </c>
      <c r="BK29" s="39" t="s">
        <v>331</v>
      </c>
      <c r="BL29" s="38">
        <v>0</v>
      </c>
      <c r="BM29" s="39"/>
      <c r="BN29" s="39"/>
      <c r="BO29" s="39" t="s">
        <v>288</v>
      </c>
      <c r="BP29" s="39" t="s">
        <v>302</v>
      </c>
      <c r="BQ29" s="38">
        <v>1</v>
      </c>
      <c r="BR29" s="39" t="s">
        <v>302</v>
      </c>
      <c r="BS29" s="39"/>
      <c r="BT29" s="38">
        <v>0</v>
      </c>
      <c r="BU29" s="39"/>
      <c r="BV29" s="39" t="s">
        <v>296</v>
      </c>
      <c r="BW29" s="38">
        <v>1</v>
      </c>
      <c r="BX29" s="39" t="s">
        <v>427</v>
      </c>
      <c r="BY29" s="39" t="s">
        <v>303</v>
      </c>
      <c r="BZ29" s="39" t="s">
        <v>297</v>
      </c>
      <c r="CA29" s="38">
        <v>1</v>
      </c>
      <c r="CB29" s="39" t="s">
        <v>302</v>
      </c>
      <c r="CC29" s="39"/>
      <c r="CD29" s="39" t="s">
        <v>288</v>
      </c>
      <c r="CE29" s="97" t="s">
        <v>298</v>
      </c>
      <c r="CF29" s="97"/>
      <c r="CG29" s="39" t="s">
        <v>302</v>
      </c>
      <c r="CH29" s="38">
        <v>0</v>
      </c>
      <c r="CI29" s="39"/>
      <c r="CJ29" s="39"/>
      <c r="CK29" s="38">
        <v>0</v>
      </c>
      <c r="CL29" s="39"/>
      <c r="CM29" s="39" t="s">
        <v>296</v>
      </c>
      <c r="CN29" s="38">
        <v>1</v>
      </c>
      <c r="CO29" s="39" t="s">
        <v>428</v>
      </c>
      <c r="CP29" s="39"/>
      <c r="CQ29" s="39" t="s">
        <v>294</v>
      </c>
      <c r="CR29" s="39" t="s">
        <v>297</v>
      </c>
      <c r="CS29" s="38">
        <v>1</v>
      </c>
      <c r="CT29" s="39"/>
      <c r="CU29" s="39" t="s">
        <v>429</v>
      </c>
      <c r="CV29" s="39" t="s">
        <v>288</v>
      </c>
      <c r="CW29" s="98" t="s">
        <v>305</v>
      </c>
      <c r="CX29" s="97"/>
      <c r="CY29" s="39" t="s">
        <v>302</v>
      </c>
      <c r="CZ29" s="38">
        <v>1</v>
      </c>
      <c r="DA29" s="39" t="s">
        <v>387</v>
      </c>
      <c r="DB29" s="39"/>
      <c r="DC29" s="38">
        <v>0</v>
      </c>
      <c r="DD29" s="39"/>
      <c r="DE29" s="39" t="s">
        <v>299</v>
      </c>
      <c r="DF29" s="38">
        <v>0</v>
      </c>
      <c r="DG29" s="39"/>
      <c r="DH29" s="39"/>
      <c r="DI29" s="39" t="s">
        <v>301</v>
      </c>
      <c r="DJ29" s="39" t="s">
        <v>297</v>
      </c>
      <c r="DK29" s="38">
        <v>2</v>
      </c>
      <c r="DL29" s="39" t="s">
        <v>387</v>
      </c>
      <c r="DM29" s="39" t="s">
        <v>302</v>
      </c>
      <c r="DN29" s="39" t="s">
        <v>324</v>
      </c>
      <c r="DO29" s="98"/>
      <c r="DP29" s="97"/>
      <c r="DQ29" s="39" t="s">
        <v>297</v>
      </c>
      <c r="DR29" s="38">
        <v>0</v>
      </c>
      <c r="DS29" s="39"/>
      <c r="DT29" s="39"/>
      <c r="DU29" s="38">
        <v>0</v>
      </c>
      <c r="DV29" s="39"/>
      <c r="DW29" s="39" t="s">
        <v>328</v>
      </c>
      <c r="DX29" s="38">
        <v>1</v>
      </c>
      <c r="DY29" s="39" t="s">
        <v>430</v>
      </c>
      <c r="DZ29" s="39"/>
      <c r="EA29" s="39" t="s">
        <v>303</v>
      </c>
      <c r="EB29" s="39" t="s">
        <v>331</v>
      </c>
      <c r="EC29" s="38">
        <v>0</v>
      </c>
      <c r="ED29" s="39"/>
      <c r="EE29" s="39"/>
      <c r="EF29" s="39" t="s">
        <v>298</v>
      </c>
      <c r="EG29" s="98" t="s">
        <v>298</v>
      </c>
      <c r="EH29" s="97">
        <f>IF(EG29=EF29,1,"")</f>
        <v>1</v>
      </c>
      <c r="EI29" s="39" t="s">
        <v>331</v>
      </c>
      <c r="EJ29" s="38">
        <v>0</v>
      </c>
      <c r="EK29" s="39"/>
      <c r="EL29" s="39"/>
      <c r="EM29" s="39"/>
      <c r="EN29" s="39"/>
      <c r="EO29" s="39" t="s">
        <v>296</v>
      </c>
      <c r="EP29" s="38">
        <v>1</v>
      </c>
      <c r="EQ29" s="39" t="s">
        <v>345</v>
      </c>
      <c r="ER29" s="39" t="s">
        <v>301</v>
      </c>
      <c r="ES29" s="39" t="s">
        <v>302</v>
      </c>
      <c r="ET29" s="38">
        <v>2</v>
      </c>
      <c r="EU29" s="39" t="s">
        <v>297</v>
      </c>
      <c r="EV29" s="39" t="s">
        <v>387</v>
      </c>
      <c r="EW29" s="39" t="s">
        <v>288</v>
      </c>
      <c r="EX29" s="98" t="s">
        <v>298</v>
      </c>
      <c r="EY29" s="97" t="str">
        <f>IF(EX29=EW29,1,"")</f>
        <v/>
      </c>
      <c r="EZ29" s="38">
        <v>0</v>
      </c>
      <c r="FA29" s="39"/>
      <c r="FB29" s="39"/>
      <c r="FC29" s="39"/>
      <c r="FD29" s="38">
        <v>0</v>
      </c>
      <c r="FE29" s="39"/>
      <c r="FF29" s="39" t="s">
        <v>292</v>
      </c>
      <c r="FG29" s="38">
        <v>1</v>
      </c>
      <c r="FH29" s="39" t="s">
        <v>404</v>
      </c>
      <c r="FI29" s="39"/>
      <c r="FJ29" s="39"/>
      <c r="FK29" s="39"/>
      <c r="FL29" s="39" t="s">
        <v>431</v>
      </c>
      <c r="FM29" s="39" t="s">
        <v>432</v>
      </c>
      <c r="FN29" s="39" t="s">
        <v>433</v>
      </c>
      <c r="FO29" s="39" t="s">
        <v>432</v>
      </c>
      <c r="FP29" s="38">
        <v>0</v>
      </c>
      <c r="FQ29" s="39"/>
      <c r="FR29" s="39"/>
      <c r="FS29" s="39"/>
      <c r="FU29" s="39" t="s">
        <v>335</v>
      </c>
      <c r="FV29" s="39"/>
      <c r="FW29" s="39"/>
      <c r="FX29" s="38">
        <v>-1</v>
      </c>
      <c r="FY29" s="38">
        <v>-1</v>
      </c>
      <c r="FZ29" s="38">
        <v>-1</v>
      </c>
      <c r="GA29" s="38">
        <v>-1</v>
      </c>
      <c r="GB29" s="38">
        <v>-1</v>
      </c>
      <c r="GC29" s="38">
        <v>-1</v>
      </c>
      <c r="GD29" s="38">
        <v>-1</v>
      </c>
      <c r="GE29" s="38">
        <v>-1</v>
      </c>
      <c r="GF29" s="38">
        <v>-1</v>
      </c>
      <c r="GG29" s="38">
        <v>-1</v>
      </c>
      <c r="GH29" s="38">
        <v>-1</v>
      </c>
      <c r="GI29" s="38">
        <v>-1</v>
      </c>
      <c r="GJ29" s="38">
        <v>-1</v>
      </c>
      <c r="GK29" s="38">
        <v>-1</v>
      </c>
      <c r="GL29" s="38">
        <v>-1</v>
      </c>
      <c r="GM29" s="38">
        <v>-15</v>
      </c>
      <c r="GN29" s="41"/>
      <c r="GO29" s="41"/>
      <c r="GP29" s="39" t="s">
        <v>319</v>
      </c>
      <c r="GQ29" s="39" t="s">
        <v>320</v>
      </c>
      <c r="GR29" s="39" t="s">
        <v>277</v>
      </c>
      <c r="GS29" s="38">
        <v>15</v>
      </c>
      <c r="GT29" s="38">
        <v>15</v>
      </c>
      <c r="GU29" s="38">
        <v>32</v>
      </c>
      <c r="GV29" s="38">
        <v>17</v>
      </c>
      <c r="GW29" s="42"/>
    </row>
    <row r="30" spans="1:205" s="40" customFormat="1" x14ac:dyDescent="0.25">
      <c r="A30" s="38">
        <v>153</v>
      </c>
      <c r="B30" s="39" t="s">
        <v>421</v>
      </c>
      <c r="C30" s="39">
        <v>39.5</v>
      </c>
      <c r="D30" s="39" t="s">
        <v>279</v>
      </c>
      <c r="E30" s="39" t="s">
        <v>320</v>
      </c>
      <c r="F30" s="39" t="s">
        <v>282</v>
      </c>
      <c r="G30" s="39" t="s">
        <v>282</v>
      </c>
      <c r="H30" s="39" t="s">
        <v>282</v>
      </c>
      <c r="I30" s="39" t="s">
        <v>282</v>
      </c>
      <c r="J30" s="39" t="s">
        <v>282</v>
      </c>
      <c r="K30" s="39" t="s">
        <v>281</v>
      </c>
      <c r="L30" s="39" t="s">
        <v>282</v>
      </c>
      <c r="M30" s="39" t="s">
        <v>282</v>
      </c>
      <c r="N30" s="39" t="s">
        <v>282</v>
      </c>
      <c r="O30" s="38">
        <v>0</v>
      </c>
      <c r="P30" s="39"/>
      <c r="Q30" s="39"/>
      <c r="R30" s="39" t="s">
        <v>423</v>
      </c>
      <c r="S30" s="39"/>
      <c r="T30" s="39"/>
      <c r="U30" s="39"/>
      <c r="V30" s="39"/>
      <c r="W30" s="40" t="s">
        <v>424</v>
      </c>
      <c r="X30" s="39" t="s">
        <v>346</v>
      </c>
      <c r="Y30" s="38">
        <v>1</v>
      </c>
      <c r="Z30" s="39" t="s">
        <v>439</v>
      </c>
      <c r="AA30" s="39"/>
      <c r="AB30" s="39" t="s">
        <v>294</v>
      </c>
      <c r="AC30" s="39" t="s">
        <v>297</v>
      </c>
      <c r="AD30" s="38">
        <v>0</v>
      </c>
      <c r="AE30" s="39"/>
      <c r="AF30" s="39"/>
      <c r="AG30" s="39" t="s">
        <v>298</v>
      </c>
      <c r="AH30" s="98" t="s">
        <v>298</v>
      </c>
      <c r="AI30" s="97">
        <f>IF(AH30=AG30,1,"")</f>
        <v>1</v>
      </c>
      <c r="AJ30" s="39" t="s">
        <v>302</v>
      </c>
      <c r="AK30" s="38">
        <v>0</v>
      </c>
      <c r="AL30" s="39"/>
      <c r="AM30" s="39"/>
      <c r="AN30" s="38">
        <v>1</v>
      </c>
      <c r="AO30" s="39" t="s">
        <v>440</v>
      </c>
      <c r="AP30" s="39"/>
      <c r="AQ30" s="39" t="s">
        <v>299</v>
      </c>
      <c r="AR30" s="38">
        <v>1</v>
      </c>
      <c r="AS30" s="39" t="s">
        <v>441</v>
      </c>
      <c r="AT30" s="39"/>
      <c r="AU30" s="39" t="s">
        <v>294</v>
      </c>
      <c r="AV30" s="39" t="s">
        <v>287</v>
      </c>
      <c r="AW30" s="38">
        <v>0</v>
      </c>
      <c r="AX30" s="39"/>
      <c r="AY30" s="39"/>
      <c r="AZ30" s="39" t="s">
        <v>324</v>
      </c>
      <c r="BA30" s="98" t="s">
        <v>840</v>
      </c>
      <c r="BB30" s="97">
        <v>1</v>
      </c>
      <c r="BC30" s="39" t="s">
        <v>287</v>
      </c>
      <c r="BD30" s="38">
        <v>0</v>
      </c>
      <c r="BE30" s="39"/>
      <c r="BF30" s="39"/>
      <c r="BG30" s="38">
        <v>1</v>
      </c>
      <c r="BH30" s="39" t="s">
        <v>406</v>
      </c>
      <c r="BI30" s="39" t="s">
        <v>299</v>
      </c>
      <c r="BJ30" s="39" t="s">
        <v>294</v>
      </c>
      <c r="BK30" s="39" t="s">
        <v>297</v>
      </c>
      <c r="BL30" s="38">
        <v>0</v>
      </c>
      <c r="BM30" s="39"/>
      <c r="BN30" s="39"/>
      <c r="BO30" s="39" t="s">
        <v>324</v>
      </c>
      <c r="BP30" s="39" t="s">
        <v>297</v>
      </c>
      <c r="BQ30" s="38">
        <v>0</v>
      </c>
      <c r="BR30" s="39"/>
      <c r="BS30" s="39"/>
      <c r="BT30" s="38">
        <v>0</v>
      </c>
      <c r="BU30" s="39"/>
      <c r="BV30" s="39" t="s">
        <v>296</v>
      </c>
      <c r="BW30" s="38">
        <v>1</v>
      </c>
      <c r="BX30" s="39" t="s">
        <v>442</v>
      </c>
      <c r="BY30" s="39" t="s">
        <v>301</v>
      </c>
      <c r="BZ30" s="39" t="s">
        <v>297</v>
      </c>
      <c r="CA30" s="38">
        <v>0</v>
      </c>
      <c r="CB30" s="39"/>
      <c r="CC30" s="39"/>
      <c r="CD30" s="39" t="s">
        <v>288</v>
      </c>
      <c r="CE30" s="97" t="s">
        <v>288</v>
      </c>
      <c r="CF30" s="97">
        <v>1</v>
      </c>
      <c r="CG30" s="39" t="s">
        <v>297</v>
      </c>
      <c r="CH30" s="38">
        <v>0</v>
      </c>
      <c r="CI30" s="39"/>
      <c r="CJ30" s="39"/>
      <c r="CK30" s="38">
        <v>0</v>
      </c>
      <c r="CL30" s="39"/>
      <c r="CM30" s="39" t="s">
        <v>299</v>
      </c>
      <c r="CN30" s="38">
        <v>1</v>
      </c>
      <c r="CO30" s="39" t="s">
        <v>443</v>
      </c>
      <c r="CP30" s="39"/>
      <c r="CQ30" s="39" t="s">
        <v>294</v>
      </c>
      <c r="CR30" s="39" t="s">
        <v>297</v>
      </c>
      <c r="CS30" s="38">
        <v>0</v>
      </c>
      <c r="CT30" s="39"/>
      <c r="CU30" s="39"/>
      <c r="CV30" s="39" t="s">
        <v>305</v>
      </c>
      <c r="CW30" s="98" t="s">
        <v>305</v>
      </c>
      <c r="CX30" s="97">
        <v>1</v>
      </c>
      <c r="CY30" s="39" t="s">
        <v>297</v>
      </c>
      <c r="CZ30" s="38">
        <v>0</v>
      </c>
      <c r="DA30" s="39"/>
      <c r="DB30" s="39"/>
      <c r="DC30" s="38">
        <v>0</v>
      </c>
      <c r="DD30" s="39"/>
      <c r="DE30" s="39" t="s">
        <v>299</v>
      </c>
      <c r="DF30" s="38">
        <v>1</v>
      </c>
      <c r="DG30" s="39" t="s">
        <v>444</v>
      </c>
      <c r="DH30" s="39"/>
      <c r="DI30" s="39" t="s">
        <v>303</v>
      </c>
      <c r="DJ30" s="39" t="s">
        <v>302</v>
      </c>
      <c r="DK30" s="38">
        <v>0</v>
      </c>
      <c r="DL30" s="39"/>
      <c r="DM30" s="39"/>
      <c r="DN30" s="39" t="s">
        <v>298</v>
      </c>
      <c r="DO30" s="98"/>
      <c r="DP30" s="97"/>
      <c r="DQ30" s="39" t="s">
        <v>302</v>
      </c>
      <c r="DR30" s="38">
        <v>0</v>
      </c>
      <c r="DS30" s="39"/>
      <c r="DT30" s="39"/>
      <c r="DU30" s="38">
        <v>0</v>
      </c>
      <c r="DV30" s="39"/>
      <c r="DW30" s="39" t="s">
        <v>296</v>
      </c>
      <c r="DX30" s="38">
        <v>1</v>
      </c>
      <c r="DY30" s="39" t="s">
        <v>445</v>
      </c>
      <c r="DZ30" s="39"/>
      <c r="EA30" s="39" t="s">
        <v>303</v>
      </c>
      <c r="EB30" s="39" t="s">
        <v>331</v>
      </c>
      <c r="EC30" s="38">
        <v>0</v>
      </c>
      <c r="ED30" s="39"/>
      <c r="EE30" s="39"/>
      <c r="EF30" s="39" t="s">
        <v>298</v>
      </c>
      <c r="EG30" s="98" t="s">
        <v>298</v>
      </c>
      <c r="EH30" s="97">
        <f>IF(EG30=EF30,1,"")</f>
        <v>1</v>
      </c>
      <c r="EI30" s="39" t="s">
        <v>331</v>
      </c>
      <c r="EJ30" s="38">
        <v>0</v>
      </c>
      <c r="EK30" s="39"/>
      <c r="EL30" s="39"/>
      <c r="EM30" s="39" t="s">
        <v>446</v>
      </c>
      <c r="EN30" s="39"/>
      <c r="EO30" s="39" t="s">
        <v>296</v>
      </c>
      <c r="EP30" s="38">
        <v>1</v>
      </c>
      <c r="EQ30" s="39" t="s">
        <v>374</v>
      </c>
      <c r="ER30" s="39" t="s">
        <v>294</v>
      </c>
      <c r="ES30" s="39" t="s">
        <v>297</v>
      </c>
      <c r="ET30" s="38">
        <v>0</v>
      </c>
      <c r="EU30" s="39"/>
      <c r="EV30" s="39"/>
      <c r="EW30" s="39" t="s">
        <v>298</v>
      </c>
      <c r="EX30" s="98" t="s">
        <v>298</v>
      </c>
      <c r="EY30" s="97">
        <f>IF(EX30=EW30,1,"")</f>
        <v>1</v>
      </c>
      <c r="EZ30" s="38">
        <v>0</v>
      </c>
      <c r="FA30" s="39"/>
      <c r="FB30" s="39"/>
      <c r="FC30" s="39"/>
      <c r="FD30" s="38">
        <v>0</v>
      </c>
      <c r="FE30" s="39"/>
      <c r="FF30" s="39" t="s">
        <v>296</v>
      </c>
      <c r="FG30" s="38">
        <v>0</v>
      </c>
      <c r="FH30" s="39"/>
      <c r="FI30" s="39"/>
      <c r="FJ30" s="39"/>
      <c r="FK30" s="39"/>
      <c r="FL30" s="39"/>
      <c r="FM30" s="39"/>
      <c r="FN30" s="39"/>
      <c r="FO30" s="39"/>
      <c r="FP30" s="38">
        <v>2</v>
      </c>
      <c r="FQ30" s="39" t="s">
        <v>447</v>
      </c>
      <c r="FR30" s="39" t="s">
        <v>448</v>
      </c>
      <c r="FS30" s="39"/>
      <c r="FU30" s="39" t="s">
        <v>317</v>
      </c>
      <c r="FV30" s="39"/>
      <c r="FW30" s="39"/>
      <c r="FX30" s="38">
        <v>-1</v>
      </c>
      <c r="FY30" s="38">
        <v>-1</v>
      </c>
      <c r="FZ30" s="38">
        <v>-1</v>
      </c>
      <c r="GA30" s="38">
        <v>-1</v>
      </c>
      <c r="GB30" s="38">
        <v>-1</v>
      </c>
      <c r="GC30" s="38">
        <v>-1</v>
      </c>
      <c r="GD30" s="38">
        <v>-1</v>
      </c>
      <c r="GE30" s="38">
        <v>-1</v>
      </c>
      <c r="GF30" s="38">
        <v>-1</v>
      </c>
      <c r="GG30" s="38">
        <v>-1</v>
      </c>
      <c r="GH30" s="38">
        <v>-1</v>
      </c>
      <c r="GI30" s="38">
        <v>-1</v>
      </c>
      <c r="GJ30" s="38">
        <v>-1</v>
      </c>
      <c r="GK30" s="38">
        <v>-1</v>
      </c>
      <c r="GL30" s="38">
        <v>-1</v>
      </c>
      <c r="GM30" s="38">
        <v>-15</v>
      </c>
      <c r="GN30" s="41"/>
      <c r="GO30" s="41"/>
      <c r="GP30" s="39" t="s">
        <v>319</v>
      </c>
      <c r="GQ30" s="39" t="s">
        <v>320</v>
      </c>
      <c r="GR30" s="39" t="s">
        <v>277</v>
      </c>
      <c r="GS30" s="38">
        <v>15</v>
      </c>
      <c r="GT30" s="38">
        <v>15</v>
      </c>
      <c r="GU30" s="38">
        <v>34</v>
      </c>
      <c r="GV30" s="38">
        <v>8</v>
      </c>
      <c r="GW30" s="42"/>
    </row>
    <row r="31" spans="1:205" s="45" customFormat="1" ht="13.8" thickBot="1" x14ac:dyDescent="0.3">
      <c r="A31" s="43">
        <v>170</v>
      </c>
      <c r="B31" s="44" t="s">
        <v>421</v>
      </c>
      <c r="C31" s="44">
        <v>39.5</v>
      </c>
      <c r="D31" s="44" t="s">
        <v>279</v>
      </c>
      <c r="E31" s="44" t="s">
        <v>377</v>
      </c>
      <c r="F31" s="44" t="s">
        <v>282</v>
      </c>
      <c r="G31" s="44" t="s">
        <v>281</v>
      </c>
      <c r="H31" s="44" t="s">
        <v>282</v>
      </c>
      <c r="I31" s="44" t="s">
        <v>282</v>
      </c>
      <c r="J31" s="44" t="s">
        <v>282</v>
      </c>
      <c r="K31" s="44" t="s">
        <v>281</v>
      </c>
      <c r="L31" s="44" t="s">
        <v>282</v>
      </c>
      <c r="M31" s="44" t="s">
        <v>281</v>
      </c>
      <c r="N31" s="44" t="s">
        <v>282</v>
      </c>
      <c r="O31" s="43">
        <v>0</v>
      </c>
      <c r="P31" s="44"/>
      <c r="Q31" s="44"/>
      <c r="R31" s="44" t="s">
        <v>423</v>
      </c>
      <c r="S31" s="44"/>
      <c r="T31" s="44"/>
      <c r="U31" s="44"/>
      <c r="V31" s="44"/>
      <c r="W31" s="45" t="s">
        <v>464</v>
      </c>
      <c r="X31" s="44" t="s">
        <v>346</v>
      </c>
      <c r="Y31" s="43">
        <v>0</v>
      </c>
      <c r="Z31" s="44"/>
      <c r="AA31" s="44"/>
      <c r="AB31" s="44" t="s">
        <v>294</v>
      </c>
      <c r="AC31" s="44" t="s">
        <v>297</v>
      </c>
      <c r="AD31" s="43">
        <v>0</v>
      </c>
      <c r="AE31" s="44"/>
      <c r="AF31" s="44"/>
      <c r="AG31" s="44" t="s">
        <v>298</v>
      </c>
      <c r="AH31" s="98"/>
      <c r="AI31" s="97" t="str">
        <f>IF(AH31=AG31,1,"")</f>
        <v/>
      </c>
      <c r="AJ31" s="44" t="s">
        <v>302</v>
      </c>
      <c r="AK31" s="43">
        <v>0</v>
      </c>
      <c r="AL31" s="44"/>
      <c r="AM31" s="44"/>
      <c r="AN31" s="43">
        <v>1</v>
      </c>
      <c r="AO31" s="44" t="s">
        <v>465</v>
      </c>
      <c r="AP31" s="44"/>
      <c r="AQ31" s="44" t="s">
        <v>296</v>
      </c>
      <c r="AR31" s="43"/>
      <c r="AS31" s="44"/>
      <c r="AT31" s="44"/>
      <c r="AU31" s="44"/>
      <c r="AV31" s="44"/>
      <c r="AW31" s="43"/>
      <c r="AX31" s="44"/>
      <c r="AY31" s="44"/>
      <c r="AZ31" s="44"/>
      <c r="BA31" s="98"/>
      <c r="BB31" s="97"/>
      <c r="BC31" s="44"/>
      <c r="BD31" s="43"/>
      <c r="BE31" s="44"/>
      <c r="BF31" s="44"/>
      <c r="BG31" s="43"/>
      <c r="BH31" s="44"/>
      <c r="BI31" s="44"/>
      <c r="BJ31" s="44"/>
      <c r="BK31" s="44"/>
      <c r="BL31" s="43"/>
      <c r="BM31" s="44"/>
      <c r="BN31" s="44"/>
      <c r="BO31" s="44"/>
      <c r="BP31" s="44"/>
      <c r="BQ31" s="43"/>
      <c r="BR31" s="44"/>
      <c r="BS31" s="44"/>
      <c r="BT31" s="43"/>
      <c r="BU31" s="44"/>
      <c r="BV31" s="44"/>
      <c r="BW31" s="43"/>
      <c r="BX31" s="44"/>
      <c r="BY31" s="44"/>
      <c r="BZ31" s="44"/>
      <c r="CA31" s="43"/>
      <c r="CB31" s="44"/>
      <c r="CC31" s="44"/>
      <c r="CD31" s="44"/>
      <c r="CE31" s="97"/>
      <c r="CF31" s="97"/>
      <c r="CG31" s="44"/>
      <c r="CH31" s="43"/>
      <c r="CI31" s="44"/>
      <c r="CJ31" s="44"/>
      <c r="CK31" s="43"/>
      <c r="CL31" s="44"/>
      <c r="CM31" s="44"/>
      <c r="CN31" s="43"/>
      <c r="CO31" s="44"/>
      <c r="CP31" s="44"/>
      <c r="CQ31" s="44"/>
      <c r="CR31" s="44"/>
      <c r="CS31" s="43"/>
      <c r="CT31" s="44"/>
      <c r="CU31" s="44"/>
      <c r="CV31" s="44"/>
      <c r="CW31" s="98"/>
      <c r="CX31" s="97"/>
      <c r="CY31" s="44"/>
      <c r="CZ31" s="43"/>
      <c r="DA31" s="44"/>
      <c r="DB31" s="44"/>
      <c r="DC31" s="43"/>
      <c r="DD31" s="44"/>
      <c r="DE31" s="44"/>
      <c r="DF31" s="43"/>
      <c r="DG31" s="44"/>
      <c r="DH31" s="44"/>
      <c r="DI31" s="44"/>
      <c r="DJ31" s="44"/>
      <c r="DK31" s="43"/>
      <c r="DL31" s="44"/>
      <c r="DM31" s="44"/>
      <c r="DN31" s="44"/>
      <c r="DO31" s="98"/>
      <c r="DP31" s="97"/>
      <c r="DQ31" s="44"/>
      <c r="DR31" s="43"/>
      <c r="DS31" s="44"/>
      <c r="DT31" s="44"/>
      <c r="DU31" s="43"/>
      <c r="DV31" s="44"/>
      <c r="DW31" s="44"/>
      <c r="DX31" s="43"/>
      <c r="DY31" s="44"/>
      <c r="DZ31" s="44"/>
      <c r="EA31" s="44"/>
      <c r="EB31" s="44"/>
      <c r="EC31" s="43"/>
      <c r="ED31" s="44"/>
      <c r="EE31" s="44"/>
      <c r="EF31" s="44"/>
      <c r="EG31" s="98"/>
      <c r="EH31" s="97"/>
      <c r="EI31" s="44"/>
      <c r="EJ31" s="43"/>
      <c r="EK31" s="44"/>
      <c r="EL31" s="44"/>
      <c r="EM31" s="44"/>
      <c r="EN31" s="44"/>
      <c r="EO31" s="44"/>
      <c r="EP31" s="43"/>
      <c r="EQ31" s="44"/>
      <c r="ER31" s="44"/>
      <c r="ES31" s="44"/>
      <c r="ET31" s="43"/>
      <c r="EU31" s="44"/>
      <c r="EV31" s="44"/>
      <c r="EW31" s="44"/>
      <c r="EX31" s="98"/>
      <c r="EY31" s="97"/>
      <c r="EZ31" s="43"/>
      <c r="FA31" s="44"/>
      <c r="FB31" s="44"/>
      <c r="FC31" s="44"/>
      <c r="FD31" s="43"/>
      <c r="FE31" s="44"/>
      <c r="FF31" s="44"/>
      <c r="FG31" s="43"/>
      <c r="FH31" s="44"/>
      <c r="FI31" s="44"/>
      <c r="FJ31" s="44"/>
      <c r="FK31" s="44"/>
      <c r="FL31" s="44"/>
      <c r="FM31" s="44"/>
      <c r="FN31" s="44"/>
      <c r="FO31" s="44"/>
      <c r="FP31" s="43"/>
      <c r="FQ31" s="44"/>
      <c r="FR31" s="44"/>
      <c r="FS31" s="44"/>
      <c r="FU31" s="44"/>
      <c r="FV31" s="44"/>
      <c r="FW31" s="44"/>
      <c r="FX31" s="43">
        <v>-1</v>
      </c>
      <c r="FY31" s="43">
        <v>-1</v>
      </c>
      <c r="FZ31" s="43">
        <v>-1</v>
      </c>
      <c r="GA31" s="43">
        <v>-1</v>
      </c>
      <c r="GB31" s="43">
        <v>-1</v>
      </c>
      <c r="GC31" s="43">
        <v>-1</v>
      </c>
      <c r="GD31" s="43"/>
      <c r="GE31" s="43"/>
      <c r="GF31" s="43"/>
      <c r="GG31" s="43"/>
      <c r="GH31" s="43"/>
      <c r="GI31" s="43"/>
      <c r="GJ31" s="43"/>
      <c r="GK31" s="43"/>
      <c r="GL31" s="43"/>
      <c r="GM31" s="43">
        <v>-6</v>
      </c>
      <c r="GN31" s="46"/>
      <c r="GO31" s="46"/>
      <c r="GP31" s="44"/>
      <c r="GQ31" s="44" t="s">
        <v>277</v>
      </c>
      <c r="GR31" s="44" t="s">
        <v>277</v>
      </c>
      <c r="GS31" s="43">
        <v>6</v>
      </c>
      <c r="GT31" s="43">
        <v>6</v>
      </c>
      <c r="GU31" s="43">
        <v>29</v>
      </c>
      <c r="GV31" s="43">
        <v>8</v>
      </c>
      <c r="GW31" s="47"/>
    </row>
    <row r="32" spans="1:205" s="40" customFormat="1" x14ac:dyDescent="0.25">
      <c r="A32" s="38">
        <v>230</v>
      </c>
      <c r="B32" s="39" t="s">
        <v>421</v>
      </c>
      <c r="C32" s="39">
        <v>39.5</v>
      </c>
      <c r="D32" s="39" t="s">
        <v>279</v>
      </c>
      <c r="E32" s="39" t="s">
        <v>348</v>
      </c>
      <c r="F32" s="39" t="s">
        <v>282</v>
      </c>
      <c r="G32" s="39" t="s">
        <v>281</v>
      </c>
      <c r="H32" s="39" t="s">
        <v>282</v>
      </c>
      <c r="I32" s="39" t="s">
        <v>282</v>
      </c>
      <c r="J32" s="39" t="s">
        <v>282</v>
      </c>
      <c r="K32" s="39" t="s">
        <v>281</v>
      </c>
      <c r="L32" s="39" t="s">
        <v>281</v>
      </c>
      <c r="M32" s="39" t="s">
        <v>281</v>
      </c>
      <c r="N32" s="39" t="s">
        <v>281</v>
      </c>
      <c r="O32" s="38">
        <v>0</v>
      </c>
      <c r="P32" s="39"/>
      <c r="Q32" s="39"/>
      <c r="R32" s="39" t="s">
        <v>423</v>
      </c>
      <c r="S32" s="39"/>
      <c r="T32" s="39"/>
      <c r="U32" s="39"/>
      <c r="V32" s="39"/>
      <c r="W32" s="40" t="s">
        <v>464</v>
      </c>
      <c r="X32" s="39" t="s">
        <v>346</v>
      </c>
      <c r="Y32" s="38">
        <v>1</v>
      </c>
      <c r="Z32" s="39" t="s">
        <v>685</v>
      </c>
      <c r="AA32" s="39"/>
      <c r="AB32" s="39" t="s">
        <v>303</v>
      </c>
      <c r="AC32" s="39" t="s">
        <v>297</v>
      </c>
      <c r="AD32" s="38">
        <v>1</v>
      </c>
      <c r="AE32" s="39"/>
      <c r="AF32" s="39" t="s">
        <v>302</v>
      </c>
      <c r="AG32" s="39" t="s">
        <v>288</v>
      </c>
      <c r="AH32" s="98" t="s">
        <v>288</v>
      </c>
      <c r="AI32" s="97">
        <f>IF(AH32=AG32,1,"")</f>
        <v>1</v>
      </c>
      <c r="AJ32" s="39" t="s">
        <v>331</v>
      </c>
      <c r="AK32" s="38">
        <v>1</v>
      </c>
      <c r="AL32" s="39"/>
      <c r="AM32" s="39" t="s">
        <v>686</v>
      </c>
      <c r="AN32" s="38">
        <v>1</v>
      </c>
      <c r="AO32" s="39" t="s">
        <v>687</v>
      </c>
      <c r="AP32" s="39"/>
      <c r="AQ32" s="39" t="s">
        <v>296</v>
      </c>
      <c r="AR32" s="38">
        <v>1</v>
      </c>
      <c r="AS32" s="39" t="s">
        <v>688</v>
      </c>
      <c r="AT32" s="39"/>
      <c r="AU32" s="39" t="s">
        <v>294</v>
      </c>
      <c r="AV32" s="39" t="s">
        <v>297</v>
      </c>
      <c r="AW32" s="38">
        <v>1</v>
      </c>
      <c r="AX32" s="39"/>
      <c r="AY32" s="39" t="s">
        <v>302</v>
      </c>
      <c r="AZ32" s="39" t="s">
        <v>288</v>
      </c>
      <c r="BA32" s="98"/>
      <c r="BB32" s="97" t="str">
        <f>IF(BA32=AZ32,1,"")</f>
        <v/>
      </c>
      <c r="BC32" s="39" t="s">
        <v>297</v>
      </c>
      <c r="BD32" s="38">
        <v>1</v>
      </c>
      <c r="BE32" s="39"/>
      <c r="BF32" s="39" t="s">
        <v>302</v>
      </c>
      <c r="BG32" s="38">
        <v>1</v>
      </c>
      <c r="BH32" s="39" t="s">
        <v>689</v>
      </c>
      <c r="BI32" s="39" t="s">
        <v>296</v>
      </c>
      <c r="BJ32" s="39" t="s">
        <v>301</v>
      </c>
      <c r="BK32" s="39" t="s">
        <v>297</v>
      </c>
      <c r="BL32" s="38">
        <v>1</v>
      </c>
      <c r="BM32" s="39"/>
      <c r="BN32" s="39" t="s">
        <v>462</v>
      </c>
      <c r="BO32" s="39" t="s">
        <v>324</v>
      </c>
      <c r="BP32" s="39" t="s">
        <v>339</v>
      </c>
      <c r="BQ32" s="38">
        <v>1</v>
      </c>
      <c r="BR32" s="39"/>
      <c r="BS32" s="39" t="s">
        <v>297</v>
      </c>
      <c r="BT32" s="38">
        <v>1</v>
      </c>
      <c r="BU32" s="39" t="s">
        <v>690</v>
      </c>
      <c r="BV32" s="39" t="s">
        <v>296</v>
      </c>
      <c r="BW32" s="38">
        <v>1</v>
      </c>
      <c r="BX32" s="39" t="s">
        <v>691</v>
      </c>
      <c r="BY32" s="39" t="s">
        <v>294</v>
      </c>
      <c r="BZ32" s="39" t="s">
        <v>302</v>
      </c>
      <c r="CA32" s="38">
        <v>1</v>
      </c>
      <c r="CB32" s="39"/>
      <c r="CC32" s="39" t="s">
        <v>297</v>
      </c>
      <c r="CD32" s="39" t="s">
        <v>305</v>
      </c>
      <c r="CE32" s="97" t="s">
        <v>305</v>
      </c>
      <c r="CF32" s="97">
        <f>IF(CE32=CD32,1,"")</f>
        <v>1</v>
      </c>
      <c r="CG32" s="39" t="s">
        <v>302</v>
      </c>
      <c r="CH32" s="38">
        <v>1</v>
      </c>
      <c r="CI32" s="39"/>
      <c r="CJ32" s="39" t="s">
        <v>297</v>
      </c>
      <c r="CK32" s="38">
        <v>1</v>
      </c>
      <c r="CL32" s="39" t="s">
        <v>689</v>
      </c>
      <c r="CM32" s="39" t="s">
        <v>299</v>
      </c>
      <c r="CN32" s="38">
        <v>1</v>
      </c>
      <c r="CO32" s="39" t="s">
        <v>358</v>
      </c>
      <c r="CP32" s="39"/>
      <c r="CQ32" s="39" t="s">
        <v>294</v>
      </c>
      <c r="CR32" s="39" t="s">
        <v>297</v>
      </c>
      <c r="CS32" s="38">
        <v>1</v>
      </c>
      <c r="CT32" s="39"/>
      <c r="CU32" s="39" t="s">
        <v>302</v>
      </c>
      <c r="CV32" s="39" t="s">
        <v>305</v>
      </c>
      <c r="CW32" s="98" t="s">
        <v>298</v>
      </c>
      <c r="CX32" s="97" t="str">
        <f>IF(CW32=CV32,1,"")</f>
        <v/>
      </c>
      <c r="CY32" s="39" t="s">
        <v>302</v>
      </c>
      <c r="CZ32" s="38">
        <v>1</v>
      </c>
      <c r="DA32" s="39"/>
      <c r="DB32" s="39" t="s">
        <v>297</v>
      </c>
      <c r="DC32" s="38">
        <v>1</v>
      </c>
      <c r="DD32" s="39" t="s">
        <v>689</v>
      </c>
      <c r="DE32" s="39" t="s">
        <v>299</v>
      </c>
      <c r="DF32" s="38">
        <v>1</v>
      </c>
      <c r="DG32" s="39" t="s">
        <v>692</v>
      </c>
      <c r="DH32" s="39"/>
      <c r="DI32" s="39" t="s">
        <v>301</v>
      </c>
      <c r="DJ32" s="39" t="s">
        <v>339</v>
      </c>
      <c r="DK32" s="38">
        <v>1</v>
      </c>
      <c r="DL32" s="39"/>
      <c r="DM32" s="39" t="s">
        <v>297</v>
      </c>
      <c r="DN32" s="39" t="s">
        <v>324</v>
      </c>
      <c r="DO32" s="98" t="s">
        <v>324</v>
      </c>
      <c r="DP32" s="97">
        <f>IF(DO32=DN32,1,"")</f>
        <v>1</v>
      </c>
      <c r="DQ32" s="39" t="s">
        <v>339</v>
      </c>
      <c r="DR32" s="38">
        <v>1</v>
      </c>
      <c r="DS32" s="39"/>
      <c r="DT32" s="39" t="s">
        <v>297</v>
      </c>
      <c r="DU32" s="38">
        <v>1</v>
      </c>
      <c r="DV32" s="39" t="s">
        <v>690</v>
      </c>
      <c r="DW32" s="39" t="s">
        <v>296</v>
      </c>
      <c r="DX32" s="38">
        <v>1</v>
      </c>
      <c r="DY32" s="39" t="s">
        <v>603</v>
      </c>
      <c r="DZ32" s="39"/>
      <c r="EA32" s="39" t="s">
        <v>303</v>
      </c>
      <c r="EB32" s="39" t="s">
        <v>331</v>
      </c>
      <c r="EC32" s="38">
        <v>1</v>
      </c>
      <c r="ED32" s="39"/>
      <c r="EE32" s="39" t="s">
        <v>406</v>
      </c>
      <c r="EF32" s="39" t="s">
        <v>298</v>
      </c>
      <c r="EG32" s="98" t="s">
        <v>298</v>
      </c>
      <c r="EH32" s="97">
        <f>IF(EG32=EF32,1,"")</f>
        <v>1</v>
      </c>
      <c r="EI32" s="39" t="s">
        <v>331</v>
      </c>
      <c r="EJ32" s="38">
        <v>1</v>
      </c>
      <c r="EK32" s="39"/>
      <c r="EL32" s="39" t="s">
        <v>406</v>
      </c>
      <c r="EM32" s="39" t="s">
        <v>412</v>
      </c>
      <c r="EN32" s="39" t="s">
        <v>406</v>
      </c>
      <c r="EO32" s="39" t="s">
        <v>328</v>
      </c>
      <c r="EP32" s="38">
        <v>1</v>
      </c>
      <c r="EQ32" s="39" t="s">
        <v>345</v>
      </c>
      <c r="ER32" s="39" t="s">
        <v>294</v>
      </c>
      <c r="ES32" s="39" t="s">
        <v>331</v>
      </c>
      <c r="ET32" s="38">
        <v>1</v>
      </c>
      <c r="EU32" s="39" t="s">
        <v>406</v>
      </c>
      <c r="EV32" s="39"/>
      <c r="EW32" s="39" t="s">
        <v>305</v>
      </c>
      <c r="EX32" s="98" t="s">
        <v>288</v>
      </c>
      <c r="EY32" s="97" t="str">
        <f>IF(EX32=EW32,1,"")</f>
        <v/>
      </c>
      <c r="EZ32" s="38">
        <v>1</v>
      </c>
      <c r="FA32" s="39"/>
      <c r="FB32" s="39" t="s">
        <v>287</v>
      </c>
      <c r="FC32" s="39" t="s">
        <v>460</v>
      </c>
      <c r="FD32" s="38">
        <v>1</v>
      </c>
      <c r="FE32" s="39" t="s">
        <v>689</v>
      </c>
      <c r="FF32" s="39" t="s">
        <v>296</v>
      </c>
      <c r="FG32" s="38">
        <v>1</v>
      </c>
      <c r="FH32" s="39"/>
      <c r="FI32" s="39" t="s">
        <v>404</v>
      </c>
      <c r="FJ32" s="39"/>
      <c r="FK32" s="39"/>
      <c r="FL32" s="39" t="s">
        <v>404</v>
      </c>
      <c r="FM32" s="39"/>
      <c r="FN32" s="39"/>
      <c r="FO32" s="39"/>
      <c r="FP32" s="38">
        <v>0</v>
      </c>
      <c r="FQ32" s="39"/>
      <c r="FR32" s="39"/>
      <c r="FS32" s="39"/>
      <c r="FU32" s="39" t="s">
        <v>317</v>
      </c>
      <c r="FV32" s="39" t="s">
        <v>693</v>
      </c>
      <c r="FW32" s="39"/>
      <c r="FX32" s="38">
        <v>-1</v>
      </c>
      <c r="FY32" s="38">
        <v>-1</v>
      </c>
      <c r="FZ32" s="38">
        <v>-1</v>
      </c>
      <c r="GA32" s="38">
        <v>-1</v>
      </c>
      <c r="GB32" s="38">
        <v>-1</v>
      </c>
      <c r="GC32" s="38">
        <v>-1</v>
      </c>
      <c r="GD32" s="38">
        <v>-1</v>
      </c>
      <c r="GE32" s="38">
        <v>-1</v>
      </c>
      <c r="GF32" s="38">
        <v>-1</v>
      </c>
      <c r="GG32" s="38">
        <v>-1</v>
      </c>
      <c r="GH32" s="38">
        <v>-1</v>
      </c>
      <c r="GI32" s="38">
        <v>-1</v>
      </c>
      <c r="GJ32" s="38">
        <v>-1</v>
      </c>
      <c r="GK32" s="38">
        <v>-1</v>
      </c>
      <c r="GL32" s="38">
        <v>-1</v>
      </c>
      <c r="GM32" s="38">
        <v>-15</v>
      </c>
      <c r="GN32" s="41"/>
      <c r="GO32" s="41"/>
      <c r="GP32" s="39" t="s">
        <v>319</v>
      </c>
      <c r="GQ32" s="39" t="s">
        <v>320</v>
      </c>
      <c r="GR32" s="39" t="s">
        <v>277</v>
      </c>
      <c r="GS32" s="38">
        <v>15</v>
      </c>
      <c r="GT32" s="38">
        <v>15</v>
      </c>
      <c r="GU32" s="38">
        <v>7</v>
      </c>
      <c r="GV32" s="38">
        <v>2</v>
      </c>
      <c r="GW32" s="42"/>
    </row>
    <row r="33" spans="1:205" s="40" customFormat="1" x14ac:dyDescent="0.25">
      <c r="A33" s="1">
        <v>187</v>
      </c>
      <c r="B33" s="18" t="s">
        <v>421</v>
      </c>
      <c r="C33" s="18">
        <v>39.5</v>
      </c>
      <c r="D33" s="2" t="s">
        <v>353</v>
      </c>
      <c r="E33" s="2" t="s">
        <v>377</v>
      </c>
      <c r="F33" s="2" t="s">
        <v>281</v>
      </c>
      <c r="G33" s="2" t="s">
        <v>282</v>
      </c>
      <c r="H33" s="2" t="s">
        <v>281</v>
      </c>
      <c r="I33" s="2" t="s">
        <v>282</v>
      </c>
      <c r="J33" s="2" t="s">
        <v>282</v>
      </c>
      <c r="K33" s="2" t="s">
        <v>281</v>
      </c>
      <c r="L33" s="2" t="s">
        <v>282</v>
      </c>
      <c r="M33" s="2" t="s">
        <v>282</v>
      </c>
      <c r="N33" s="2" t="s">
        <v>282</v>
      </c>
      <c r="O33" s="1">
        <v>0</v>
      </c>
      <c r="P33" s="2"/>
      <c r="Q33" s="2"/>
      <c r="R33" s="2" t="s">
        <v>283</v>
      </c>
      <c r="S33" s="2" t="s">
        <v>284</v>
      </c>
      <c r="T33" s="2"/>
      <c r="U33" s="2"/>
      <c r="V33" s="2" t="s">
        <v>377</v>
      </c>
      <c r="W33" s="2"/>
      <c r="X33" s="2" t="s">
        <v>346</v>
      </c>
      <c r="Y33" s="1"/>
      <c r="Z33" s="2"/>
      <c r="AA33" s="2"/>
      <c r="AB33" s="2"/>
      <c r="AC33" s="2"/>
      <c r="AD33" s="1"/>
      <c r="AE33" s="2"/>
      <c r="AF33" s="2"/>
      <c r="AG33" s="2"/>
      <c r="AH33" s="98"/>
      <c r="AI33" s="97"/>
      <c r="AJ33" s="2"/>
      <c r="AK33" s="1"/>
      <c r="AL33" s="2"/>
      <c r="AM33" s="2"/>
      <c r="AN33" s="1"/>
      <c r="AO33" s="2"/>
      <c r="AP33" s="2"/>
      <c r="AQ33" s="2"/>
      <c r="AR33" s="1"/>
      <c r="AS33" s="2"/>
      <c r="AT33" s="2"/>
      <c r="AU33" s="2"/>
      <c r="AV33" s="2"/>
      <c r="AW33" s="1"/>
      <c r="AX33" s="2"/>
      <c r="AY33" s="2"/>
      <c r="AZ33" s="2"/>
      <c r="BA33" s="98"/>
      <c r="BB33" s="97"/>
      <c r="BC33" s="2"/>
      <c r="BD33" s="1"/>
      <c r="BE33" s="2"/>
      <c r="BF33" s="2"/>
      <c r="BG33" s="1"/>
      <c r="BH33" s="2"/>
      <c r="BI33" s="2"/>
      <c r="BJ33" s="2"/>
      <c r="BK33" s="2"/>
      <c r="BL33" s="1"/>
      <c r="BM33" s="2"/>
      <c r="BN33" s="2"/>
      <c r="BO33" s="2"/>
      <c r="BP33" s="2"/>
      <c r="BQ33" s="1"/>
      <c r="BR33" s="2"/>
      <c r="BS33" s="2"/>
      <c r="BT33" s="1"/>
      <c r="BU33" s="2"/>
      <c r="BV33" s="2"/>
      <c r="BW33" s="1"/>
      <c r="BX33" s="2"/>
      <c r="BY33" s="2"/>
      <c r="BZ33" s="2"/>
      <c r="CA33" s="1"/>
      <c r="CB33" s="2"/>
      <c r="CC33" s="2"/>
      <c r="CD33" s="2"/>
      <c r="CE33" s="97"/>
      <c r="CF33" s="97"/>
      <c r="CG33" s="2"/>
      <c r="CH33" s="1"/>
      <c r="CI33" s="2"/>
      <c r="CJ33" s="2"/>
      <c r="CK33" s="1"/>
      <c r="CL33" s="2"/>
      <c r="CM33" s="2"/>
      <c r="CN33" s="1"/>
      <c r="CO33" s="2"/>
      <c r="CP33" s="2"/>
      <c r="CQ33" s="2"/>
      <c r="CR33" s="2"/>
      <c r="CS33" s="1"/>
      <c r="CT33" s="2"/>
      <c r="CU33" s="2"/>
      <c r="CV33" s="2"/>
      <c r="CW33" s="98"/>
      <c r="CX33" s="97"/>
      <c r="CY33" s="2"/>
      <c r="CZ33" s="1"/>
      <c r="DA33" s="2"/>
      <c r="DB33" s="2"/>
      <c r="DC33" s="1"/>
      <c r="DD33" s="2"/>
      <c r="DE33" s="2"/>
      <c r="DF33" s="1"/>
      <c r="DG33" s="2"/>
      <c r="DH33" s="2"/>
      <c r="DI33" s="2"/>
      <c r="DJ33" s="2"/>
      <c r="DK33" s="1"/>
      <c r="DL33" s="2"/>
      <c r="DM33" s="2"/>
      <c r="DN33" s="2"/>
      <c r="DO33" s="98"/>
      <c r="DP33" s="97"/>
      <c r="DQ33" s="2"/>
      <c r="DR33" s="1"/>
      <c r="DS33" s="2"/>
      <c r="DT33" s="2"/>
      <c r="DU33" s="1"/>
      <c r="DV33" s="2"/>
      <c r="DW33" s="2"/>
      <c r="DX33" s="1"/>
      <c r="DY33" s="2"/>
      <c r="DZ33" s="2"/>
      <c r="EA33" s="2"/>
      <c r="EB33" s="2"/>
      <c r="EC33" s="1"/>
      <c r="ED33" s="2"/>
      <c r="EE33" s="2"/>
      <c r="EF33" s="2"/>
      <c r="EG33" s="98"/>
      <c r="EH33" s="97"/>
      <c r="EI33" s="2"/>
      <c r="EJ33" s="1"/>
      <c r="EK33" s="2"/>
      <c r="EL33" s="2"/>
      <c r="EM33" s="2"/>
      <c r="EN33" s="2"/>
      <c r="EO33" s="2"/>
      <c r="EP33" s="1"/>
      <c r="EQ33" s="2"/>
      <c r="ER33" s="2"/>
      <c r="ES33" s="2"/>
      <c r="ET33" s="1"/>
      <c r="EU33" s="2"/>
      <c r="EV33" s="2"/>
      <c r="EW33" s="2"/>
      <c r="EX33" s="98"/>
      <c r="EY33" s="97"/>
      <c r="EZ33" s="1"/>
      <c r="FA33" s="2"/>
      <c r="FB33" s="2"/>
      <c r="FC33" s="2"/>
      <c r="FD33" s="1"/>
      <c r="FE33" s="2"/>
      <c r="FF33" s="2"/>
      <c r="FG33" s="1"/>
      <c r="FH33" s="2"/>
      <c r="FI33" s="2"/>
      <c r="FJ33" s="2"/>
      <c r="FK33" s="2"/>
      <c r="FL33" s="2"/>
      <c r="FM33" s="2"/>
      <c r="FN33" s="2"/>
      <c r="FO33" s="2"/>
      <c r="FP33" s="1"/>
      <c r="FQ33" s="2"/>
      <c r="FR33" s="2"/>
      <c r="FS33" s="2"/>
      <c r="FT33"/>
      <c r="FU33" s="2"/>
      <c r="FV33" s="2"/>
      <c r="FW33" s="2"/>
      <c r="FX33" s="1">
        <v>-1</v>
      </c>
      <c r="FY33" s="1">
        <v>-1</v>
      </c>
      <c r="FZ33" s="1">
        <v>-1</v>
      </c>
      <c r="GA33" s="1">
        <v>-1</v>
      </c>
      <c r="GB33" s="1">
        <v>-1</v>
      </c>
      <c r="GC33" s="1"/>
      <c r="GD33" s="1"/>
      <c r="GE33" s="1"/>
      <c r="GF33" s="1"/>
      <c r="GG33" s="1"/>
      <c r="GH33" s="1"/>
      <c r="GI33" s="1"/>
      <c r="GJ33" s="1"/>
      <c r="GK33" s="1"/>
      <c r="GL33" s="1"/>
      <c r="GM33" s="1">
        <v>-5</v>
      </c>
      <c r="GN33" s="3"/>
      <c r="GO33" s="3"/>
      <c r="GP33" s="2"/>
      <c r="GQ33" s="2" t="s">
        <v>277</v>
      </c>
      <c r="GR33" s="2" t="s">
        <v>277</v>
      </c>
      <c r="GS33" s="1">
        <v>5</v>
      </c>
      <c r="GT33" s="1">
        <v>5</v>
      </c>
      <c r="GU33" s="1">
        <v>14</v>
      </c>
      <c r="GV33" s="1">
        <v>1</v>
      </c>
      <c r="GW33" s="4"/>
    </row>
    <row r="34" spans="1:205" s="50" customFormat="1" x14ac:dyDescent="0.25">
      <c r="A34" s="1">
        <v>188</v>
      </c>
      <c r="B34" s="18" t="s">
        <v>421</v>
      </c>
      <c r="C34" s="18">
        <v>39.5</v>
      </c>
      <c r="D34" s="2" t="s">
        <v>353</v>
      </c>
      <c r="E34" s="2" t="s">
        <v>377</v>
      </c>
      <c r="F34" s="2" t="s">
        <v>281</v>
      </c>
      <c r="G34" s="2" t="s">
        <v>282</v>
      </c>
      <c r="H34" s="2" t="s">
        <v>281</v>
      </c>
      <c r="I34" s="2" t="s">
        <v>282</v>
      </c>
      <c r="J34" s="2" t="s">
        <v>282</v>
      </c>
      <c r="K34" s="2" t="s">
        <v>281</v>
      </c>
      <c r="L34" s="2" t="s">
        <v>282</v>
      </c>
      <c r="M34" s="2" t="s">
        <v>282</v>
      </c>
      <c r="N34" s="2" t="s">
        <v>282</v>
      </c>
      <c r="O34" s="1">
        <v>0</v>
      </c>
      <c r="P34" s="2"/>
      <c r="Q34" s="2"/>
      <c r="R34" s="2" t="s">
        <v>283</v>
      </c>
      <c r="S34" s="2" t="s">
        <v>284</v>
      </c>
      <c r="T34" s="2"/>
      <c r="U34" s="2"/>
      <c r="V34" s="2"/>
      <c r="W34" s="2"/>
      <c r="X34" s="2" t="s">
        <v>346</v>
      </c>
      <c r="Y34" s="1">
        <v>1</v>
      </c>
      <c r="Z34" s="2" t="s">
        <v>507</v>
      </c>
      <c r="AA34" s="2"/>
      <c r="AB34" s="2" t="s">
        <v>301</v>
      </c>
      <c r="AC34" s="2" t="s">
        <v>331</v>
      </c>
      <c r="AD34" s="1">
        <v>0</v>
      </c>
      <c r="AE34" s="2"/>
      <c r="AF34" s="2"/>
      <c r="AG34" s="2" t="s">
        <v>305</v>
      </c>
      <c r="AH34" s="98" t="s">
        <v>305</v>
      </c>
      <c r="AI34" s="97">
        <f>IF(AH34=AG34,1,"")</f>
        <v>1</v>
      </c>
      <c r="AJ34" s="2" t="s">
        <v>331</v>
      </c>
      <c r="AK34" s="1">
        <v>0</v>
      </c>
      <c r="AL34" s="2"/>
      <c r="AM34" s="2"/>
      <c r="AN34" s="1">
        <v>1</v>
      </c>
      <c r="AO34" s="2" t="s">
        <v>508</v>
      </c>
      <c r="AP34" s="2"/>
      <c r="AQ34" s="2" t="s">
        <v>299</v>
      </c>
      <c r="AR34" s="1">
        <v>1</v>
      </c>
      <c r="AS34" s="2" t="s">
        <v>293</v>
      </c>
      <c r="AT34" s="2"/>
      <c r="AU34" s="2" t="s">
        <v>301</v>
      </c>
      <c r="AV34" s="2" t="s">
        <v>287</v>
      </c>
      <c r="AW34" s="1">
        <v>0</v>
      </c>
      <c r="AX34" s="2"/>
      <c r="AY34" s="2"/>
      <c r="AZ34" s="2" t="s">
        <v>324</v>
      </c>
      <c r="BA34" s="98" t="s">
        <v>840</v>
      </c>
      <c r="BB34" s="97">
        <v>1</v>
      </c>
      <c r="BC34" s="2" t="s">
        <v>500</v>
      </c>
      <c r="BD34" s="1">
        <v>0</v>
      </c>
      <c r="BE34" s="2"/>
      <c r="BF34" s="2"/>
      <c r="BG34" s="1">
        <v>1</v>
      </c>
      <c r="BH34" s="2" t="s">
        <v>509</v>
      </c>
      <c r="BI34" s="2" t="s">
        <v>299</v>
      </c>
      <c r="BJ34" s="2" t="s">
        <v>310</v>
      </c>
      <c r="BK34" s="2" t="s">
        <v>297</v>
      </c>
      <c r="BL34" s="1">
        <v>0</v>
      </c>
      <c r="BM34" s="2"/>
      <c r="BN34" s="2"/>
      <c r="BO34" s="2" t="s">
        <v>324</v>
      </c>
      <c r="BP34" s="2" t="s">
        <v>500</v>
      </c>
      <c r="BQ34" s="1">
        <v>0</v>
      </c>
      <c r="BR34" s="2"/>
      <c r="BS34" s="2"/>
      <c r="BT34" s="1">
        <v>1</v>
      </c>
      <c r="BU34" s="2" t="s">
        <v>510</v>
      </c>
      <c r="BV34" s="2" t="s">
        <v>299</v>
      </c>
      <c r="BW34" s="1">
        <v>1</v>
      </c>
      <c r="BX34" s="2" t="s">
        <v>511</v>
      </c>
      <c r="BY34" s="2" t="s">
        <v>310</v>
      </c>
      <c r="BZ34" s="2" t="s">
        <v>297</v>
      </c>
      <c r="CA34" s="1">
        <v>0</v>
      </c>
      <c r="CB34" s="2"/>
      <c r="CC34" s="2"/>
      <c r="CD34" s="2" t="s">
        <v>324</v>
      </c>
      <c r="CE34" s="97"/>
      <c r="CF34" s="97" t="str">
        <f>IF(CE34=CD34,1,"")</f>
        <v/>
      </c>
      <c r="CG34" s="2" t="s">
        <v>500</v>
      </c>
      <c r="CH34" s="1">
        <v>0</v>
      </c>
      <c r="CI34" s="2"/>
      <c r="CJ34" s="2"/>
      <c r="CK34" s="1">
        <v>0</v>
      </c>
      <c r="CL34" s="2"/>
      <c r="CM34" s="2" t="s">
        <v>299</v>
      </c>
      <c r="CN34" s="1">
        <v>1</v>
      </c>
      <c r="CO34" s="2" t="s">
        <v>359</v>
      </c>
      <c r="CP34" s="2"/>
      <c r="CQ34" s="2" t="s">
        <v>301</v>
      </c>
      <c r="CR34" s="2" t="s">
        <v>297</v>
      </c>
      <c r="CS34" s="1">
        <v>0</v>
      </c>
      <c r="CT34" s="2"/>
      <c r="CU34" s="2"/>
      <c r="CV34" s="2" t="s">
        <v>305</v>
      </c>
      <c r="CW34" s="98" t="s">
        <v>305</v>
      </c>
      <c r="CX34" s="97">
        <f>IF(CW34=CV34,1,"")</f>
        <v>1</v>
      </c>
      <c r="CY34" s="2" t="s">
        <v>500</v>
      </c>
      <c r="CZ34" s="1">
        <v>0</v>
      </c>
      <c r="DA34" s="2"/>
      <c r="DB34" s="2"/>
      <c r="DC34" s="1">
        <v>0</v>
      </c>
      <c r="DD34" s="2"/>
      <c r="DE34" s="2" t="s">
        <v>299</v>
      </c>
      <c r="DF34" s="1">
        <v>0</v>
      </c>
      <c r="DG34" s="2"/>
      <c r="DH34" s="2"/>
      <c r="DI34" s="2" t="s">
        <v>301</v>
      </c>
      <c r="DJ34" s="2" t="s">
        <v>297</v>
      </c>
      <c r="DK34" s="1">
        <v>0</v>
      </c>
      <c r="DL34" s="2"/>
      <c r="DM34" s="2"/>
      <c r="DN34" s="2" t="s">
        <v>288</v>
      </c>
      <c r="DO34" s="98"/>
      <c r="DP34" s="97" t="str">
        <f>IF(DO34=DN34,1,"")</f>
        <v/>
      </c>
      <c r="DQ34" s="2" t="s">
        <v>500</v>
      </c>
      <c r="DR34" s="1">
        <v>0</v>
      </c>
      <c r="DS34" s="2"/>
      <c r="DT34" s="2"/>
      <c r="DU34" s="1">
        <v>0</v>
      </c>
      <c r="DV34" s="2"/>
      <c r="DW34" s="2" t="s">
        <v>299</v>
      </c>
      <c r="DX34" s="1">
        <v>1</v>
      </c>
      <c r="DY34" s="2" t="s">
        <v>512</v>
      </c>
      <c r="DZ34" s="2"/>
      <c r="EA34" s="2" t="s">
        <v>303</v>
      </c>
      <c r="EB34" s="2" t="s">
        <v>331</v>
      </c>
      <c r="EC34" s="1">
        <v>0</v>
      </c>
      <c r="ED34" s="2"/>
      <c r="EE34" s="2"/>
      <c r="EF34" s="2" t="s">
        <v>298</v>
      </c>
      <c r="EG34" s="98" t="s">
        <v>298</v>
      </c>
      <c r="EH34" s="97">
        <f>IF(EG34=EF34,1,"")</f>
        <v>1</v>
      </c>
      <c r="EI34" s="2" t="s">
        <v>331</v>
      </c>
      <c r="EJ34" s="1">
        <v>0</v>
      </c>
      <c r="EK34" s="2"/>
      <c r="EL34" s="2"/>
      <c r="EM34" s="2" t="s">
        <v>412</v>
      </c>
      <c r="EN34" s="2"/>
      <c r="EO34" s="2" t="s">
        <v>299</v>
      </c>
      <c r="EP34" s="1">
        <v>1</v>
      </c>
      <c r="EQ34" s="2" t="s">
        <v>513</v>
      </c>
      <c r="ER34" s="2" t="s">
        <v>294</v>
      </c>
      <c r="ES34" s="2" t="s">
        <v>331</v>
      </c>
      <c r="ET34" s="1">
        <v>0</v>
      </c>
      <c r="EU34" s="2"/>
      <c r="EV34" s="2"/>
      <c r="EW34" s="2" t="s">
        <v>305</v>
      </c>
      <c r="EX34" s="98" t="s">
        <v>305</v>
      </c>
      <c r="EY34" s="97">
        <f>IF(EX34=EW34,1,"")</f>
        <v>1</v>
      </c>
      <c r="EZ34" s="1">
        <v>0</v>
      </c>
      <c r="FA34" s="2"/>
      <c r="FB34" s="2"/>
      <c r="FC34" s="2" t="s">
        <v>412</v>
      </c>
      <c r="FD34" s="1">
        <v>1</v>
      </c>
      <c r="FE34" s="2" t="s">
        <v>508</v>
      </c>
      <c r="FF34" s="2" t="s">
        <v>299</v>
      </c>
      <c r="FG34" s="1">
        <v>0</v>
      </c>
      <c r="FH34" s="2"/>
      <c r="FI34" s="2"/>
      <c r="FJ34" s="2"/>
      <c r="FK34" s="2"/>
      <c r="FL34" s="2" t="s">
        <v>397</v>
      </c>
      <c r="FM34" s="2" t="s">
        <v>514</v>
      </c>
      <c r="FN34" s="2" t="s">
        <v>515</v>
      </c>
      <c r="FO34" s="2" t="s">
        <v>516</v>
      </c>
      <c r="FP34" s="1">
        <v>2</v>
      </c>
      <c r="FQ34" s="2" t="s">
        <v>517</v>
      </c>
      <c r="FR34" s="2" t="s">
        <v>518</v>
      </c>
      <c r="FS34" s="2"/>
      <c r="FT34"/>
      <c r="FU34" s="2" t="s">
        <v>351</v>
      </c>
      <c r="FV34" s="2" t="s">
        <v>519</v>
      </c>
      <c r="FW34" s="2"/>
      <c r="FX34" s="1">
        <v>-1</v>
      </c>
      <c r="FY34" s="1">
        <v>-1</v>
      </c>
      <c r="FZ34" s="1">
        <v>-1</v>
      </c>
      <c r="GA34" s="1">
        <v>-1</v>
      </c>
      <c r="GB34" s="1">
        <v>-1</v>
      </c>
      <c r="GC34" s="1">
        <v>-1</v>
      </c>
      <c r="GD34" s="1">
        <v>-1</v>
      </c>
      <c r="GE34" s="1">
        <v>-1</v>
      </c>
      <c r="GF34" s="1">
        <v>-1</v>
      </c>
      <c r="GG34" s="1">
        <v>-1</v>
      </c>
      <c r="GH34" s="1">
        <v>-1</v>
      </c>
      <c r="GI34" s="1">
        <v>-1</v>
      </c>
      <c r="GJ34" s="1">
        <v>-1</v>
      </c>
      <c r="GK34" s="1">
        <v>-1</v>
      </c>
      <c r="GL34" s="1">
        <v>-1</v>
      </c>
      <c r="GM34" s="1">
        <v>-15</v>
      </c>
      <c r="GN34" s="3"/>
      <c r="GO34" s="3"/>
      <c r="GP34" s="2" t="s">
        <v>319</v>
      </c>
      <c r="GQ34" s="2" t="s">
        <v>320</v>
      </c>
      <c r="GR34" s="2" t="s">
        <v>277</v>
      </c>
      <c r="GS34" s="1">
        <v>15</v>
      </c>
      <c r="GT34" s="1">
        <v>15</v>
      </c>
      <c r="GU34" s="1">
        <v>29</v>
      </c>
      <c r="GV34" s="1">
        <v>7</v>
      </c>
      <c r="GW34" s="4"/>
    </row>
    <row r="35" spans="1:205" s="5" customFormat="1" x14ac:dyDescent="0.25">
      <c r="A35" s="128">
        <v>196</v>
      </c>
      <c r="B35" s="106" t="s">
        <v>421</v>
      </c>
      <c r="C35" s="106">
        <v>39.5</v>
      </c>
      <c r="D35" s="106" t="s">
        <v>353</v>
      </c>
      <c r="E35" s="106" t="s">
        <v>280</v>
      </c>
      <c r="F35" s="106" t="s">
        <v>281</v>
      </c>
      <c r="G35" s="106" t="s">
        <v>281</v>
      </c>
      <c r="H35" s="106" t="s">
        <v>281</v>
      </c>
      <c r="I35" s="106" t="s">
        <v>282</v>
      </c>
      <c r="J35" s="106" t="s">
        <v>282</v>
      </c>
      <c r="K35" s="106" t="s">
        <v>281</v>
      </c>
      <c r="L35" s="106" t="s">
        <v>282</v>
      </c>
      <c r="M35" s="106" t="s">
        <v>282</v>
      </c>
      <c r="N35" s="106" t="s">
        <v>282</v>
      </c>
      <c r="O35" s="128">
        <v>0</v>
      </c>
      <c r="P35" s="106"/>
      <c r="Q35" s="106"/>
      <c r="R35" s="106" t="s">
        <v>283</v>
      </c>
      <c r="S35" s="106" t="s">
        <v>322</v>
      </c>
      <c r="T35" s="106"/>
      <c r="U35" s="106"/>
      <c r="V35" s="106"/>
      <c r="W35" s="106"/>
      <c r="X35" s="106" t="s">
        <v>346</v>
      </c>
      <c r="Y35" s="128">
        <v>1</v>
      </c>
      <c r="Z35" s="106" t="s">
        <v>565</v>
      </c>
      <c r="AA35" s="106"/>
      <c r="AB35" s="106" t="s">
        <v>294</v>
      </c>
      <c r="AC35" s="106" t="s">
        <v>500</v>
      </c>
      <c r="AD35" s="128">
        <v>0</v>
      </c>
      <c r="AE35" s="106"/>
      <c r="AF35" s="106"/>
      <c r="AG35" s="106" t="s">
        <v>305</v>
      </c>
      <c r="AH35" s="106" t="s">
        <v>298</v>
      </c>
      <c r="AI35" s="5" t="str">
        <f>IF(AH35=AG35,1,"")</f>
        <v/>
      </c>
      <c r="AJ35" s="106" t="s">
        <v>331</v>
      </c>
      <c r="AK35" s="128">
        <v>0</v>
      </c>
      <c r="AL35" s="106"/>
      <c r="AM35" s="106"/>
      <c r="AN35" s="128">
        <v>1</v>
      </c>
      <c r="AO35" s="106" t="s">
        <v>566</v>
      </c>
      <c r="AP35" s="106"/>
      <c r="AQ35" s="106" t="s">
        <v>299</v>
      </c>
      <c r="AR35" s="128">
        <v>1</v>
      </c>
      <c r="AS35" s="106" t="s">
        <v>567</v>
      </c>
      <c r="AT35" s="106"/>
      <c r="AU35" s="106" t="s">
        <v>301</v>
      </c>
      <c r="AV35" s="106" t="s">
        <v>287</v>
      </c>
      <c r="AW35" s="128">
        <v>0</v>
      </c>
      <c r="AX35" s="106"/>
      <c r="AY35" s="106"/>
      <c r="AZ35" s="106" t="s">
        <v>324</v>
      </c>
      <c r="BA35" s="106" t="s">
        <v>324</v>
      </c>
      <c r="BB35" s="5">
        <f>IF(BA35=AZ35,1,"")</f>
        <v>1</v>
      </c>
      <c r="BC35" s="106" t="s">
        <v>339</v>
      </c>
      <c r="BD35" s="128">
        <v>0</v>
      </c>
      <c r="BE35" s="106"/>
      <c r="BF35" s="106"/>
      <c r="BG35" s="128">
        <v>1</v>
      </c>
      <c r="BH35" s="106" t="s">
        <v>568</v>
      </c>
      <c r="BI35" s="106" t="s">
        <v>296</v>
      </c>
      <c r="BJ35" s="106" t="s">
        <v>303</v>
      </c>
      <c r="BK35" s="106" t="s">
        <v>297</v>
      </c>
      <c r="BL35" s="128">
        <v>0</v>
      </c>
      <c r="BM35" s="106"/>
      <c r="BN35" s="106"/>
      <c r="BO35" s="106" t="s">
        <v>324</v>
      </c>
      <c r="BP35" s="106" t="s">
        <v>500</v>
      </c>
      <c r="BQ35" s="128">
        <v>0</v>
      </c>
      <c r="BR35" s="106"/>
      <c r="BS35" s="106"/>
      <c r="BT35" s="128">
        <v>1</v>
      </c>
      <c r="BU35" s="106" t="s">
        <v>569</v>
      </c>
      <c r="BV35" s="106" t="s">
        <v>296</v>
      </c>
      <c r="BW35" s="128">
        <v>1</v>
      </c>
      <c r="BX35" s="106" t="s">
        <v>570</v>
      </c>
      <c r="BY35" s="106" t="s">
        <v>294</v>
      </c>
      <c r="BZ35" s="106" t="s">
        <v>297</v>
      </c>
      <c r="CA35" s="128">
        <v>0</v>
      </c>
      <c r="CB35" s="106"/>
      <c r="CC35" s="106"/>
      <c r="CD35" s="106" t="s">
        <v>288</v>
      </c>
      <c r="CE35" s="5" t="s">
        <v>288</v>
      </c>
      <c r="CF35" s="5">
        <f>IF(CE35=CD35,1,"")</f>
        <v>1</v>
      </c>
      <c r="CG35" s="106" t="s">
        <v>339</v>
      </c>
      <c r="CH35" s="128">
        <v>0</v>
      </c>
      <c r="CI35" s="106"/>
      <c r="CJ35" s="106"/>
      <c r="CK35" s="128">
        <v>1</v>
      </c>
      <c r="CL35" s="106" t="s">
        <v>406</v>
      </c>
      <c r="CM35" s="106" t="s">
        <v>296</v>
      </c>
      <c r="CN35" s="128">
        <v>1</v>
      </c>
      <c r="CO35" s="106" t="s">
        <v>571</v>
      </c>
      <c r="CP35" s="106"/>
      <c r="CQ35" s="106" t="s">
        <v>294</v>
      </c>
      <c r="CR35" s="106" t="s">
        <v>297</v>
      </c>
      <c r="CS35" s="128">
        <v>0</v>
      </c>
      <c r="CT35" s="106"/>
      <c r="CU35" s="106"/>
      <c r="CV35" s="106" t="s">
        <v>288</v>
      </c>
      <c r="CW35" s="106" t="s">
        <v>837</v>
      </c>
      <c r="CX35" s="5">
        <f>IF(CW35=CV35,1,"")</f>
        <v>1</v>
      </c>
      <c r="CY35" s="106" t="s">
        <v>339</v>
      </c>
      <c r="CZ35" s="128">
        <v>0</v>
      </c>
      <c r="DA35" s="106"/>
      <c r="DB35" s="106"/>
      <c r="DC35" s="128">
        <v>0</v>
      </c>
      <c r="DD35" s="106"/>
      <c r="DE35" s="106"/>
      <c r="DF35" s="128">
        <v>1</v>
      </c>
      <c r="DG35" s="106" t="s">
        <v>572</v>
      </c>
      <c r="DH35" s="106"/>
      <c r="DI35" s="106" t="s">
        <v>294</v>
      </c>
      <c r="DJ35" s="106" t="s">
        <v>297</v>
      </c>
      <c r="DK35" s="128">
        <v>0</v>
      </c>
      <c r="DL35" s="106"/>
      <c r="DM35" s="106"/>
      <c r="DN35" s="106" t="s">
        <v>288</v>
      </c>
      <c r="DO35" s="106" t="s">
        <v>288</v>
      </c>
      <c r="DP35" s="5">
        <f>IF(DO35=DN35,1,"")</f>
        <v>1</v>
      </c>
      <c r="DQ35" s="106" t="s">
        <v>339</v>
      </c>
      <c r="DR35" s="128">
        <v>0</v>
      </c>
      <c r="DS35" s="106"/>
      <c r="DT35" s="106"/>
      <c r="DU35" s="128">
        <v>0</v>
      </c>
      <c r="DV35" s="106"/>
      <c r="DW35" s="106" t="s">
        <v>296</v>
      </c>
      <c r="DX35" s="128">
        <v>1</v>
      </c>
      <c r="DY35" s="106" t="s">
        <v>573</v>
      </c>
      <c r="DZ35" s="106"/>
      <c r="EA35" s="106" t="s">
        <v>294</v>
      </c>
      <c r="EB35" s="106" t="s">
        <v>331</v>
      </c>
      <c r="EC35" s="128">
        <v>0</v>
      </c>
      <c r="ED35" s="106"/>
      <c r="EE35" s="106"/>
      <c r="EF35" s="106" t="s">
        <v>298</v>
      </c>
      <c r="EG35" s="106" t="s">
        <v>298</v>
      </c>
      <c r="EH35" s="5">
        <f>IF(EG35=EF35,1,"")</f>
        <v>1</v>
      </c>
      <c r="EI35" s="106" t="s">
        <v>331</v>
      </c>
      <c r="EJ35" s="128">
        <v>0</v>
      </c>
      <c r="EK35" s="106"/>
      <c r="EL35" s="106"/>
      <c r="EM35" s="106"/>
      <c r="EN35" s="106"/>
      <c r="EO35" s="106" t="s">
        <v>328</v>
      </c>
      <c r="EP35" s="128">
        <v>1</v>
      </c>
      <c r="EQ35" s="106" t="s">
        <v>374</v>
      </c>
      <c r="ER35" s="106" t="s">
        <v>294</v>
      </c>
      <c r="ES35" s="106" t="s">
        <v>331</v>
      </c>
      <c r="ET35" s="128">
        <v>0</v>
      </c>
      <c r="EU35" s="106"/>
      <c r="EV35" s="106"/>
      <c r="EW35" s="106" t="s">
        <v>305</v>
      </c>
      <c r="EX35" s="106" t="s">
        <v>305</v>
      </c>
      <c r="EY35" s="5">
        <f>IF(EX35=EW35,1,"")</f>
        <v>1</v>
      </c>
      <c r="EZ35" s="128">
        <v>0</v>
      </c>
      <c r="FA35" s="106"/>
      <c r="FB35" s="106"/>
      <c r="FC35" s="106"/>
      <c r="FD35" s="128">
        <v>0</v>
      </c>
      <c r="FE35" s="106"/>
      <c r="FF35" s="106" t="s">
        <v>299</v>
      </c>
      <c r="FG35" s="128">
        <v>1</v>
      </c>
      <c r="FH35" s="106"/>
      <c r="FI35" s="106" t="s">
        <v>404</v>
      </c>
      <c r="FJ35" s="106"/>
      <c r="FK35" s="106"/>
      <c r="FL35" s="106"/>
      <c r="FM35" s="106" t="s">
        <v>574</v>
      </c>
      <c r="FN35" s="106"/>
      <c r="FO35" s="106"/>
      <c r="FP35" s="128">
        <v>1</v>
      </c>
      <c r="FQ35" s="106"/>
      <c r="FR35" s="106" t="s">
        <v>575</v>
      </c>
      <c r="FS35" s="106"/>
      <c r="FU35" s="106" t="s">
        <v>351</v>
      </c>
      <c r="FV35" s="106" t="s">
        <v>576</v>
      </c>
      <c r="FW35" s="106"/>
      <c r="FX35" s="128">
        <v>-1</v>
      </c>
      <c r="FY35" s="128">
        <v>-1</v>
      </c>
      <c r="FZ35" s="128">
        <v>-1</v>
      </c>
      <c r="GA35" s="128">
        <v>-1</v>
      </c>
      <c r="GB35" s="128">
        <v>-1</v>
      </c>
      <c r="GC35" s="128">
        <v>-1</v>
      </c>
      <c r="GD35" s="128">
        <v>-1</v>
      </c>
      <c r="GE35" s="128">
        <v>-1</v>
      </c>
      <c r="GF35" s="128">
        <v>-1</v>
      </c>
      <c r="GG35" s="128">
        <v>-1</v>
      </c>
      <c r="GH35" s="128">
        <v>-1</v>
      </c>
      <c r="GI35" s="128">
        <v>-1</v>
      </c>
      <c r="GJ35" s="128">
        <v>-1</v>
      </c>
      <c r="GK35" s="128">
        <v>-1</v>
      </c>
      <c r="GL35" s="128">
        <v>-1</v>
      </c>
      <c r="GM35" s="128">
        <v>-15</v>
      </c>
      <c r="GN35" s="129"/>
      <c r="GO35" s="129"/>
      <c r="GP35" s="106" t="s">
        <v>319</v>
      </c>
      <c r="GQ35" s="106" t="s">
        <v>320</v>
      </c>
      <c r="GR35" s="106" t="s">
        <v>277</v>
      </c>
      <c r="GS35" s="128">
        <v>15</v>
      </c>
      <c r="GT35" s="128">
        <v>15</v>
      </c>
      <c r="GU35" s="128">
        <v>31</v>
      </c>
      <c r="GV35" s="128">
        <v>8</v>
      </c>
      <c r="GW35" s="130"/>
    </row>
    <row r="36" spans="1:205" s="5" customFormat="1" x14ac:dyDescent="0.25">
      <c r="A36" s="128"/>
      <c r="B36" s="106"/>
      <c r="C36" s="106"/>
      <c r="D36" s="106"/>
      <c r="E36" s="106"/>
      <c r="F36" s="106"/>
      <c r="G36" s="106"/>
      <c r="H36" s="106"/>
      <c r="I36" s="106"/>
      <c r="J36" s="106"/>
      <c r="K36" s="106"/>
      <c r="L36" s="106"/>
      <c r="M36" s="106"/>
      <c r="N36" s="106"/>
      <c r="O36" s="128"/>
      <c r="P36" s="106"/>
      <c r="Q36" s="106"/>
      <c r="R36" s="106"/>
      <c r="S36" s="106"/>
      <c r="T36" s="106"/>
      <c r="U36" s="106"/>
      <c r="V36" s="106"/>
      <c r="W36" s="106"/>
      <c r="X36" s="106"/>
      <c r="Y36" s="128"/>
      <c r="Z36" s="106"/>
      <c r="AA36" s="106"/>
      <c r="AB36" s="106"/>
      <c r="AC36" s="106"/>
      <c r="AD36" s="128"/>
      <c r="AE36" s="106"/>
      <c r="AF36" s="106"/>
      <c r="AG36" s="106"/>
      <c r="AH36" s="106"/>
      <c r="AI36" s="5">
        <f>COUNTIFS(AG23:AG35, "&lt;&gt;", AH23:AH35, "&lt;&gt;")</f>
        <v>9</v>
      </c>
      <c r="AJ36" s="5">
        <f>COUNTIF(AI23:AI35,1)</f>
        <v>5</v>
      </c>
      <c r="AK36" s="131">
        <f>AJ36/AI36</f>
        <v>0.55555555555555558</v>
      </c>
      <c r="AL36" s="106"/>
      <c r="AM36" s="106"/>
      <c r="AN36" s="128"/>
      <c r="AO36" s="106"/>
      <c r="AP36" s="106"/>
      <c r="AQ36" s="106"/>
      <c r="AR36" s="128"/>
      <c r="AS36" s="106"/>
      <c r="AT36" s="106"/>
      <c r="AU36" s="106"/>
      <c r="AV36" s="106"/>
      <c r="AW36" s="128"/>
      <c r="AX36" s="106"/>
      <c r="AY36" s="106"/>
      <c r="AZ36" s="106"/>
      <c r="BA36" s="106"/>
      <c r="BB36" s="5">
        <f>COUNTIFS(AZ23:AZ35, "&lt;&gt;", BA23:BA35, "&lt;&gt;")</f>
        <v>5</v>
      </c>
      <c r="BC36" s="5">
        <f>COUNTIF(BB23:BB35,1)</f>
        <v>5</v>
      </c>
      <c r="BD36" s="131">
        <f>BC36/BB36</f>
        <v>1</v>
      </c>
      <c r="BE36" s="106"/>
      <c r="BF36" s="106"/>
      <c r="BG36" s="128"/>
      <c r="BH36" s="106"/>
      <c r="BI36" s="106"/>
      <c r="BJ36" s="106"/>
      <c r="BK36" s="106"/>
      <c r="BL36" s="128"/>
      <c r="BM36" s="106"/>
      <c r="BN36" s="106"/>
      <c r="BO36" s="106"/>
      <c r="BP36" s="106"/>
      <c r="BQ36" s="128"/>
      <c r="BR36" s="106"/>
      <c r="BS36" s="106"/>
      <c r="BT36" s="128"/>
      <c r="BU36" s="106"/>
      <c r="BV36" s="106"/>
      <c r="BW36" s="128"/>
      <c r="BX36" s="106"/>
      <c r="BY36" s="106"/>
      <c r="BZ36" s="106"/>
      <c r="CA36" s="128"/>
      <c r="CB36" s="106"/>
      <c r="CC36" s="106"/>
      <c r="CD36" s="106"/>
      <c r="CF36" s="5">
        <f>COUNTIFS(CD23:CD35, "&lt;&gt;", CE23:CE35, "&lt;&gt;")</f>
        <v>6</v>
      </c>
      <c r="CG36" s="5">
        <f>COUNTIF(CF23:CF35,1)</f>
        <v>5</v>
      </c>
      <c r="CH36" s="131">
        <f>CG36/CF36</f>
        <v>0.83333333333333337</v>
      </c>
      <c r="CI36" s="106"/>
      <c r="CJ36" s="106"/>
      <c r="CK36" s="128"/>
      <c r="CL36" s="106"/>
      <c r="CM36" s="106"/>
      <c r="CN36" s="128"/>
      <c r="CO36" s="106"/>
      <c r="CP36" s="106"/>
      <c r="CQ36" s="106"/>
      <c r="CR36" s="106"/>
      <c r="CS36" s="128"/>
      <c r="CT36" s="106"/>
      <c r="CU36" s="106"/>
      <c r="CV36" s="106"/>
      <c r="CW36" s="106"/>
      <c r="CX36" s="5">
        <f>COUNTIFS(CV23:CV35, "&lt;&gt;", CW23:CW35, "&lt;&gt;")</f>
        <v>9</v>
      </c>
      <c r="CY36" s="5">
        <f>COUNTIF(CX23:CX35,1)</f>
        <v>6</v>
      </c>
      <c r="CZ36" s="131">
        <f>CY36/CX36</f>
        <v>0.66666666666666663</v>
      </c>
      <c r="DA36" s="106"/>
      <c r="DB36" s="106"/>
      <c r="DC36" s="128"/>
      <c r="DD36" s="106"/>
      <c r="DE36" s="106"/>
      <c r="DF36" s="128"/>
      <c r="DG36" s="106"/>
      <c r="DH36" s="106"/>
      <c r="DI36" s="106"/>
      <c r="DJ36" s="106"/>
      <c r="DK36" s="128"/>
      <c r="DL36" s="106"/>
      <c r="DM36" s="106"/>
      <c r="DN36" s="106"/>
      <c r="DO36" s="106"/>
      <c r="DP36" s="5">
        <f>COUNTIFS(DN23:DN35, "&lt;&gt;", DO23:DO35, "&lt;&gt;")</f>
        <v>5</v>
      </c>
      <c r="DQ36" s="5">
        <f>COUNTIF(DP23:DP35,1)</f>
        <v>5</v>
      </c>
      <c r="DR36" s="131">
        <f>DQ36/DP36</f>
        <v>1</v>
      </c>
      <c r="DS36" s="106"/>
      <c r="DT36" s="106"/>
      <c r="DU36" s="128"/>
      <c r="DV36" s="106"/>
      <c r="DW36" s="106"/>
      <c r="DX36" s="128"/>
      <c r="DY36" s="106"/>
      <c r="DZ36" s="106"/>
      <c r="EA36" s="106"/>
      <c r="EB36" s="106"/>
      <c r="EC36" s="128"/>
      <c r="ED36" s="106"/>
      <c r="EE36" s="106"/>
      <c r="EF36" s="106"/>
      <c r="EG36" s="106"/>
      <c r="EH36" s="5">
        <f>COUNTIFS(EF23:EF35, "&lt;&gt;", EG23:EG35, "&lt;&gt;")</f>
        <v>8</v>
      </c>
      <c r="EI36" s="5">
        <f>COUNTIF(EH23:EH35,1)</f>
        <v>7</v>
      </c>
      <c r="EJ36" s="131">
        <f>EI36/EH36</f>
        <v>0.875</v>
      </c>
      <c r="EK36" s="106"/>
      <c r="EL36" s="106"/>
      <c r="EM36" s="106"/>
      <c r="EN36" s="106"/>
      <c r="EO36" s="106"/>
      <c r="EP36" s="128"/>
      <c r="EQ36" s="106"/>
      <c r="ER36" s="106"/>
      <c r="ES36" s="106"/>
      <c r="ET36" s="128"/>
      <c r="EU36" s="106"/>
      <c r="EV36" s="106"/>
      <c r="EW36" s="106"/>
      <c r="EX36" s="106"/>
      <c r="EY36" s="5">
        <f>COUNTIFS(EW23:EW35, "&lt;&gt;", EX23:EX35, "&lt;&gt;")</f>
        <v>8</v>
      </c>
      <c r="EZ36" s="5">
        <f>COUNTIF(EY23:EY35,1)</f>
        <v>5</v>
      </c>
      <c r="FA36" s="131">
        <f>EZ36/EY36</f>
        <v>0.625</v>
      </c>
      <c r="FB36" s="106"/>
      <c r="FC36" s="106"/>
      <c r="FD36" s="128"/>
      <c r="FE36" s="106"/>
      <c r="FF36" s="106"/>
      <c r="FG36" s="128"/>
      <c r="FH36" s="106"/>
      <c r="FI36" s="106"/>
      <c r="FJ36" s="106"/>
      <c r="FK36" s="106"/>
      <c r="FL36" s="106"/>
      <c r="FM36" s="106"/>
      <c r="FN36" s="106"/>
      <c r="FO36" s="106"/>
      <c r="FP36" s="128"/>
      <c r="FQ36" s="106"/>
      <c r="FR36" s="106"/>
      <c r="FS36" s="106"/>
      <c r="FU36" s="106"/>
      <c r="FV36" s="106"/>
      <c r="FW36" s="106"/>
      <c r="FX36" s="128"/>
      <c r="FY36" s="128"/>
      <c r="FZ36" s="128"/>
      <c r="GA36" s="128"/>
      <c r="GB36" s="128"/>
      <c r="GC36" s="128"/>
      <c r="GD36" s="128"/>
      <c r="GE36" s="128"/>
      <c r="GF36" s="128"/>
      <c r="GG36" s="128"/>
      <c r="GH36" s="128"/>
      <c r="GI36" s="128"/>
      <c r="GJ36" s="128"/>
      <c r="GK36" s="128"/>
      <c r="GL36" s="128"/>
      <c r="GM36" s="128"/>
      <c r="GN36" s="129"/>
      <c r="GO36" s="129"/>
      <c r="GP36" s="106"/>
      <c r="GQ36" s="106"/>
      <c r="GR36" s="106"/>
      <c r="GS36" s="128"/>
      <c r="GT36" s="128"/>
      <c r="GU36" s="128"/>
      <c r="GV36" s="128"/>
      <c r="GW36" s="130"/>
    </row>
    <row r="37" spans="1:205" customFormat="1" x14ac:dyDescent="0.25">
      <c r="A37" s="55">
        <v>140</v>
      </c>
      <c r="B37" s="56" t="s">
        <v>347</v>
      </c>
      <c r="C37" s="56">
        <v>57.5</v>
      </c>
      <c r="D37" s="56" t="s">
        <v>353</v>
      </c>
      <c r="E37" s="56" t="s">
        <v>377</v>
      </c>
      <c r="F37" s="56" t="s">
        <v>281</v>
      </c>
      <c r="G37" s="56" t="s">
        <v>281</v>
      </c>
      <c r="H37" s="56" t="s">
        <v>282</v>
      </c>
      <c r="I37" s="56" t="s">
        <v>282</v>
      </c>
      <c r="J37" s="56" t="s">
        <v>282</v>
      </c>
      <c r="K37" s="56" t="s">
        <v>281</v>
      </c>
      <c r="L37" s="56" t="s">
        <v>282</v>
      </c>
      <c r="M37" s="56" t="s">
        <v>282</v>
      </c>
      <c r="N37" s="56" t="s">
        <v>282</v>
      </c>
      <c r="O37" s="55">
        <v>0</v>
      </c>
      <c r="P37" s="56"/>
      <c r="Q37" s="56"/>
      <c r="R37" s="56" t="s">
        <v>337</v>
      </c>
      <c r="S37" s="56"/>
      <c r="T37" s="50" t="s">
        <v>395</v>
      </c>
      <c r="U37" s="56"/>
      <c r="V37" s="56" t="s">
        <v>280</v>
      </c>
      <c r="W37" s="56"/>
      <c r="X37" s="56" t="s">
        <v>393</v>
      </c>
      <c r="Y37" s="55">
        <v>0</v>
      </c>
      <c r="Z37" s="56"/>
      <c r="AA37" s="56"/>
      <c r="AB37" s="56"/>
      <c r="AC37" s="56"/>
      <c r="AD37" s="55">
        <v>0</v>
      </c>
      <c r="AE37" s="56"/>
      <c r="AF37" s="56"/>
      <c r="AG37" s="56"/>
      <c r="AH37" s="98" t="s">
        <v>305</v>
      </c>
      <c r="AI37" s="97" t="str">
        <f t="shared" ref="AI37:AI51" si="2">IF(AH37=AG37,1,"")</f>
        <v/>
      </c>
      <c r="AJ37" s="56"/>
      <c r="AK37" s="55">
        <v>0</v>
      </c>
      <c r="AL37" s="56"/>
      <c r="AM37" s="56"/>
      <c r="AN37" s="55">
        <v>0</v>
      </c>
      <c r="AO37" s="56"/>
      <c r="AP37" s="56"/>
      <c r="AQ37" s="56"/>
      <c r="AR37" s="55">
        <v>0</v>
      </c>
      <c r="AS37" s="56"/>
      <c r="AT37" s="56"/>
      <c r="AU37" s="56"/>
      <c r="AV37" s="56"/>
      <c r="AW37" s="55">
        <v>0</v>
      </c>
      <c r="AX37" s="56"/>
      <c r="AY37" s="56"/>
      <c r="AZ37" s="56"/>
      <c r="BA37" s="98"/>
      <c r="BB37" s="97"/>
      <c r="BC37" s="56"/>
      <c r="BD37" s="55">
        <v>0</v>
      </c>
      <c r="BE37" s="56"/>
      <c r="BF37" s="56"/>
      <c r="BG37" s="55">
        <v>0</v>
      </c>
      <c r="BH37" s="56"/>
      <c r="BI37" s="56"/>
      <c r="BJ37" s="56"/>
      <c r="BK37" s="56"/>
      <c r="BL37" s="55">
        <v>0</v>
      </c>
      <c r="BM37" s="56"/>
      <c r="BN37" s="56"/>
      <c r="BO37" s="56"/>
      <c r="BP37" s="56"/>
      <c r="BQ37" s="55">
        <v>0</v>
      </c>
      <c r="BR37" s="56"/>
      <c r="BS37" s="56"/>
      <c r="BT37" s="55">
        <v>0</v>
      </c>
      <c r="BU37" s="56"/>
      <c r="BV37" s="56" t="s">
        <v>296</v>
      </c>
      <c r="BW37" s="55">
        <v>1</v>
      </c>
      <c r="BX37" s="56" t="s">
        <v>396</v>
      </c>
      <c r="BY37" s="56" t="s">
        <v>301</v>
      </c>
      <c r="BZ37" s="56" t="s">
        <v>297</v>
      </c>
      <c r="CA37" s="55">
        <v>0</v>
      </c>
      <c r="CB37" s="56"/>
      <c r="CC37" s="56"/>
      <c r="CD37" s="56" t="s">
        <v>324</v>
      </c>
      <c r="CE37" s="97"/>
      <c r="CF37" s="97" t="str">
        <f>IF(CE37=CD37,1,"")</f>
        <v/>
      </c>
      <c r="CG37" s="56" t="s">
        <v>287</v>
      </c>
      <c r="CH37" s="55">
        <v>0</v>
      </c>
      <c r="CI37" s="56"/>
      <c r="CJ37" s="56"/>
      <c r="CK37" s="55">
        <v>0</v>
      </c>
      <c r="CL37" s="56"/>
      <c r="CM37" s="56" t="s">
        <v>296</v>
      </c>
      <c r="CN37" s="55">
        <v>1</v>
      </c>
      <c r="CO37" s="56" t="s">
        <v>397</v>
      </c>
      <c r="CP37" s="56"/>
      <c r="CQ37" s="56" t="s">
        <v>303</v>
      </c>
      <c r="CR37" s="56" t="s">
        <v>302</v>
      </c>
      <c r="CS37" s="55">
        <v>1</v>
      </c>
      <c r="CT37" s="56" t="s">
        <v>398</v>
      </c>
      <c r="CU37" s="56"/>
      <c r="CV37" s="56" t="s">
        <v>305</v>
      </c>
      <c r="CW37" s="98" t="s">
        <v>305</v>
      </c>
      <c r="CX37" s="97">
        <f>IF(CW37=CV37,1,"")</f>
        <v>1</v>
      </c>
      <c r="CY37" s="56"/>
      <c r="CZ37" s="55">
        <v>0</v>
      </c>
      <c r="DA37" s="56"/>
      <c r="DB37" s="56"/>
      <c r="DC37" s="55">
        <v>0</v>
      </c>
      <c r="DD37" s="56"/>
      <c r="DE37" s="56" t="s">
        <v>299</v>
      </c>
      <c r="DF37" s="55">
        <v>1</v>
      </c>
      <c r="DG37" s="56" t="s">
        <v>399</v>
      </c>
      <c r="DH37" s="56"/>
      <c r="DI37" s="56" t="s">
        <v>303</v>
      </c>
      <c r="DJ37" s="56" t="s">
        <v>331</v>
      </c>
      <c r="DK37" s="55">
        <v>0</v>
      </c>
      <c r="DL37" s="56"/>
      <c r="DM37" s="56"/>
      <c r="DN37" s="56" t="s">
        <v>305</v>
      </c>
      <c r="DO37" s="98" t="s">
        <v>305</v>
      </c>
      <c r="DP37" s="97">
        <f>IF(DO37=DN37,1,"")</f>
        <v>1</v>
      </c>
      <c r="DQ37" s="56"/>
      <c r="DR37" s="55">
        <v>0</v>
      </c>
      <c r="DS37" s="56"/>
      <c r="DT37" s="56"/>
      <c r="DU37" s="55">
        <v>0</v>
      </c>
      <c r="DV37" s="56"/>
      <c r="DW37" s="56" t="s">
        <v>299</v>
      </c>
      <c r="DX37" s="55">
        <v>1</v>
      </c>
      <c r="DY37" s="56" t="s">
        <v>400</v>
      </c>
      <c r="DZ37" s="56"/>
      <c r="EA37" s="56" t="s">
        <v>294</v>
      </c>
      <c r="EB37" s="56" t="s">
        <v>331</v>
      </c>
      <c r="EC37" s="55">
        <v>0</v>
      </c>
      <c r="ED37" s="56"/>
      <c r="EE37" s="56"/>
      <c r="EF37" s="56" t="s">
        <v>288</v>
      </c>
      <c r="EG37" s="98" t="s">
        <v>298</v>
      </c>
      <c r="EH37" s="97" t="str">
        <f>IF(EG37=EF37,1,"")</f>
        <v/>
      </c>
      <c r="EI37" s="56" t="s">
        <v>302</v>
      </c>
      <c r="EJ37" s="55">
        <v>0</v>
      </c>
      <c r="EK37" s="56"/>
      <c r="EL37" s="56"/>
      <c r="EM37" s="56"/>
      <c r="EN37" s="56"/>
      <c r="EO37" s="56" t="s">
        <v>299</v>
      </c>
      <c r="EP37" s="55">
        <v>1</v>
      </c>
      <c r="EQ37" s="56" t="s">
        <v>401</v>
      </c>
      <c r="ER37" s="56" t="s">
        <v>294</v>
      </c>
      <c r="ES37" s="56" t="s">
        <v>331</v>
      </c>
      <c r="ET37" s="55">
        <v>0</v>
      </c>
      <c r="EU37" s="56"/>
      <c r="EV37" s="56"/>
      <c r="EW37" s="56" t="s">
        <v>288</v>
      </c>
      <c r="EX37" s="98" t="s">
        <v>305</v>
      </c>
      <c r="EY37" s="97" t="str">
        <f>IF(EX37=EW37,1,"")</f>
        <v/>
      </c>
      <c r="EZ37" s="55">
        <v>0</v>
      </c>
      <c r="FA37" s="56"/>
      <c r="FB37" s="56"/>
      <c r="FC37" s="56"/>
      <c r="FD37" s="55">
        <v>0</v>
      </c>
      <c r="FE37" s="56"/>
      <c r="FF37" s="56" t="s">
        <v>328</v>
      </c>
      <c r="FG37" s="55">
        <v>0</v>
      </c>
      <c r="FH37" s="56"/>
      <c r="FI37" s="56"/>
      <c r="FJ37" s="56"/>
      <c r="FK37" s="56"/>
      <c r="FL37" s="56"/>
      <c r="FM37" s="56"/>
      <c r="FN37" s="56"/>
      <c r="FO37" s="56"/>
      <c r="FP37" s="55">
        <v>0</v>
      </c>
      <c r="FQ37" s="56"/>
      <c r="FR37" s="56"/>
      <c r="FS37" s="56"/>
      <c r="FT37" s="50"/>
      <c r="FU37" s="56" t="s">
        <v>351</v>
      </c>
      <c r="FV37" s="56"/>
      <c r="FW37" s="56"/>
      <c r="FX37" s="55">
        <v>-1</v>
      </c>
      <c r="FY37" s="55">
        <v>-1</v>
      </c>
      <c r="FZ37" s="55">
        <v>-1</v>
      </c>
      <c r="GA37" s="55">
        <v>-1</v>
      </c>
      <c r="GB37" s="55">
        <v>-1</v>
      </c>
      <c r="GC37" s="55">
        <v>-1</v>
      </c>
      <c r="GD37" s="55">
        <v>-1</v>
      </c>
      <c r="GE37" s="55">
        <v>-1</v>
      </c>
      <c r="GF37" s="55">
        <v>-1</v>
      </c>
      <c r="GG37" s="55">
        <v>-1</v>
      </c>
      <c r="GH37" s="55">
        <v>-1</v>
      </c>
      <c r="GI37" s="55">
        <v>-1</v>
      </c>
      <c r="GJ37" s="55">
        <v>-1</v>
      </c>
      <c r="GK37" s="55">
        <v>-1</v>
      </c>
      <c r="GL37" s="55">
        <v>-1</v>
      </c>
      <c r="GM37" s="55">
        <v>-15</v>
      </c>
      <c r="GN37" s="57"/>
      <c r="GO37" s="57"/>
      <c r="GP37" s="56"/>
      <c r="GQ37" s="56" t="s">
        <v>320</v>
      </c>
      <c r="GR37" s="56" t="s">
        <v>277</v>
      </c>
      <c r="GS37" s="55">
        <v>15</v>
      </c>
      <c r="GT37" s="55">
        <v>15</v>
      </c>
      <c r="GU37" s="55">
        <v>59</v>
      </c>
      <c r="GV37" s="55">
        <v>39</v>
      </c>
      <c r="GW37" s="58"/>
    </row>
    <row r="38" spans="1:205" customFormat="1" x14ac:dyDescent="0.25">
      <c r="A38" s="55">
        <v>186</v>
      </c>
      <c r="B38" s="56" t="s">
        <v>347</v>
      </c>
      <c r="C38" s="56">
        <v>57.5</v>
      </c>
      <c r="D38" s="56" t="s">
        <v>353</v>
      </c>
      <c r="E38" s="56" t="s">
        <v>377</v>
      </c>
      <c r="F38" s="56" t="s">
        <v>281</v>
      </c>
      <c r="G38" s="56" t="s">
        <v>282</v>
      </c>
      <c r="H38" s="56" t="s">
        <v>281</v>
      </c>
      <c r="I38" s="56" t="s">
        <v>282</v>
      </c>
      <c r="J38" s="56" t="s">
        <v>282</v>
      </c>
      <c r="K38" s="56" t="s">
        <v>281</v>
      </c>
      <c r="L38" s="56" t="s">
        <v>282</v>
      </c>
      <c r="M38" s="56" t="s">
        <v>282</v>
      </c>
      <c r="N38" s="56" t="s">
        <v>282</v>
      </c>
      <c r="O38" s="55">
        <v>0</v>
      </c>
      <c r="P38" s="56"/>
      <c r="Q38" s="56"/>
      <c r="R38" s="56" t="s">
        <v>337</v>
      </c>
      <c r="S38" s="56"/>
      <c r="T38" s="50" t="s">
        <v>424</v>
      </c>
      <c r="U38" s="56"/>
      <c r="V38" s="56"/>
      <c r="W38" s="56"/>
      <c r="X38" s="56" t="s">
        <v>346</v>
      </c>
      <c r="Y38" s="55">
        <v>1</v>
      </c>
      <c r="Z38" s="56" t="s">
        <v>365</v>
      </c>
      <c r="AA38" s="56"/>
      <c r="AB38" s="56" t="s">
        <v>303</v>
      </c>
      <c r="AC38" s="56" t="s">
        <v>331</v>
      </c>
      <c r="AD38" s="55">
        <v>0</v>
      </c>
      <c r="AE38" s="56"/>
      <c r="AF38" s="56"/>
      <c r="AG38" s="56" t="s">
        <v>305</v>
      </c>
      <c r="AH38" s="98" t="s">
        <v>298</v>
      </c>
      <c r="AI38" s="97" t="str">
        <f t="shared" si="2"/>
        <v/>
      </c>
      <c r="AJ38" s="56" t="s">
        <v>331</v>
      </c>
      <c r="AK38" s="55">
        <v>1</v>
      </c>
      <c r="AL38" s="56" t="s">
        <v>302</v>
      </c>
      <c r="AM38" s="56"/>
      <c r="AN38" s="55">
        <v>1</v>
      </c>
      <c r="AO38" s="56" t="s">
        <v>496</v>
      </c>
      <c r="AP38" s="56"/>
      <c r="AQ38" s="56" t="s">
        <v>296</v>
      </c>
      <c r="AR38" s="55">
        <v>1</v>
      </c>
      <c r="AS38" s="56" t="s">
        <v>497</v>
      </c>
      <c r="AT38" s="56"/>
      <c r="AU38" s="56" t="s">
        <v>294</v>
      </c>
      <c r="AV38" s="56" t="s">
        <v>287</v>
      </c>
      <c r="AW38" s="55">
        <v>1</v>
      </c>
      <c r="AX38" s="56" t="s">
        <v>339</v>
      </c>
      <c r="AY38" s="56"/>
      <c r="AZ38" s="56" t="s">
        <v>288</v>
      </c>
      <c r="BA38" s="98" t="s">
        <v>840</v>
      </c>
      <c r="BB38" s="97">
        <v>1</v>
      </c>
      <c r="BC38" s="56" t="s">
        <v>287</v>
      </c>
      <c r="BD38" s="55">
        <v>1</v>
      </c>
      <c r="BE38" s="56" t="s">
        <v>339</v>
      </c>
      <c r="BF38" s="56"/>
      <c r="BG38" s="55">
        <v>1</v>
      </c>
      <c r="BH38" s="56" t="s">
        <v>498</v>
      </c>
      <c r="BI38" s="56" t="s">
        <v>296</v>
      </c>
      <c r="BJ38" s="56" t="s">
        <v>294</v>
      </c>
      <c r="BK38" s="56" t="s">
        <v>297</v>
      </c>
      <c r="BL38" s="55">
        <v>1</v>
      </c>
      <c r="BM38" s="56" t="s">
        <v>499</v>
      </c>
      <c r="BN38" s="56"/>
      <c r="BO38" s="56" t="s">
        <v>288</v>
      </c>
      <c r="BP38" s="56" t="s">
        <v>500</v>
      </c>
      <c r="BQ38" s="55">
        <v>1</v>
      </c>
      <c r="BR38" s="56" t="s">
        <v>297</v>
      </c>
      <c r="BS38" s="56"/>
      <c r="BT38" s="55">
        <v>0</v>
      </c>
      <c r="BU38" s="56"/>
      <c r="BV38" s="56" t="s">
        <v>296</v>
      </c>
      <c r="BW38" s="55">
        <v>0</v>
      </c>
      <c r="BX38" s="56"/>
      <c r="BY38" s="56" t="s">
        <v>301</v>
      </c>
      <c r="BZ38" s="56" t="s">
        <v>297</v>
      </c>
      <c r="CA38" s="55">
        <v>0</v>
      </c>
      <c r="CB38" s="56"/>
      <c r="CC38" s="56"/>
      <c r="CD38" s="56"/>
      <c r="CE38" s="97"/>
      <c r="CF38" s="97"/>
      <c r="CG38" s="56"/>
      <c r="CH38" s="55">
        <v>0</v>
      </c>
      <c r="CI38" s="56"/>
      <c r="CJ38" s="56"/>
      <c r="CK38" s="55">
        <v>0</v>
      </c>
      <c r="CL38" s="56"/>
      <c r="CM38" s="56"/>
      <c r="CN38" s="55">
        <v>1</v>
      </c>
      <c r="CO38" s="56" t="s">
        <v>501</v>
      </c>
      <c r="CP38" s="56"/>
      <c r="CQ38" s="56" t="s">
        <v>303</v>
      </c>
      <c r="CR38" s="56" t="s">
        <v>297</v>
      </c>
      <c r="CS38" s="55">
        <v>0</v>
      </c>
      <c r="CT38" s="56"/>
      <c r="CU38" s="56"/>
      <c r="CV38" s="56" t="s">
        <v>305</v>
      </c>
      <c r="CW38" s="98" t="s">
        <v>298</v>
      </c>
      <c r="CX38" s="97"/>
      <c r="CY38" s="56" t="s">
        <v>500</v>
      </c>
      <c r="CZ38" s="55">
        <v>0</v>
      </c>
      <c r="DA38" s="56"/>
      <c r="DB38" s="56"/>
      <c r="DC38" s="55">
        <v>0</v>
      </c>
      <c r="DD38" s="56"/>
      <c r="DE38" s="56" t="s">
        <v>296</v>
      </c>
      <c r="DF38" s="55">
        <v>1</v>
      </c>
      <c r="DG38" s="56" t="s">
        <v>502</v>
      </c>
      <c r="DH38" s="56"/>
      <c r="DI38" s="56" t="s">
        <v>303</v>
      </c>
      <c r="DJ38" s="56" t="s">
        <v>331</v>
      </c>
      <c r="DK38" s="55">
        <v>1</v>
      </c>
      <c r="DL38" s="56" t="s">
        <v>499</v>
      </c>
      <c r="DM38" s="56"/>
      <c r="DN38" s="56" t="s">
        <v>305</v>
      </c>
      <c r="DO38" s="98" t="s">
        <v>305</v>
      </c>
      <c r="DP38" s="97">
        <f>IF(DO38=DN38,1,"")</f>
        <v>1</v>
      </c>
      <c r="DQ38" s="56" t="s">
        <v>331</v>
      </c>
      <c r="DR38" s="55">
        <v>1</v>
      </c>
      <c r="DS38" s="56" t="s">
        <v>499</v>
      </c>
      <c r="DT38" s="56"/>
      <c r="DU38" s="55">
        <v>0</v>
      </c>
      <c r="DV38" s="56"/>
      <c r="DW38" s="56" t="s">
        <v>296</v>
      </c>
      <c r="DX38" s="55">
        <v>1</v>
      </c>
      <c r="DY38" s="56" t="s">
        <v>503</v>
      </c>
      <c r="DZ38" s="56"/>
      <c r="EA38" s="56" t="s">
        <v>303</v>
      </c>
      <c r="EB38" s="56" t="s">
        <v>331</v>
      </c>
      <c r="EC38" s="55">
        <v>0</v>
      </c>
      <c r="ED38" s="56"/>
      <c r="EE38" s="56"/>
      <c r="EF38" s="56" t="s">
        <v>298</v>
      </c>
      <c r="EG38" s="98" t="s">
        <v>298</v>
      </c>
      <c r="EH38" s="97">
        <f>IF(EG38=EF38,1,"")</f>
        <v>1</v>
      </c>
      <c r="EI38" s="56" t="s">
        <v>331</v>
      </c>
      <c r="EJ38" s="55">
        <v>0</v>
      </c>
      <c r="EK38" s="56"/>
      <c r="EL38" s="56"/>
      <c r="EM38" s="56" t="s">
        <v>504</v>
      </c>
      <c r="EN38" s="56"/>
      <c r="EO38" s="56" t="s">
        <v>328</v>
      </c>
      <c r="EP38" s="55">
        <v>1</v>
      </c>
      <c r="EQ38" s="56" t="s">
        <v>374</v>
      </c>
      <c r="ER38" s="56" t="s">
        <v>303</v>
      </c>
      <c r="ES38" s="56" t="s">
        <v>331</v>
      </c>
      <c r="ET38" s="55">
        <v>0</v>
      </c>
      <c r="EU38" s="56"/>
      <c r="EV38" s="56"/>
      <c r="EW38" s="56" t="s">
        <v>305</v>
      </c>
      <c r="EX38" s="98" t="s">
        <v>298</v>
      </c>
      <c r="EY38" s="97" t="str">
        <f>IF(EX38=EW38,1,"")</f>
        <v/>
      </c>
      <c r="EZ38" s="55">
        <v>0</v>
      </c>
      <c r="FA38" s="56"/>
      <c r="FB38" s="56"/>
      <c r="FC38" s="56"/>
      <c r="FD38" s="55">
        <v>0</v>
      </c>
      <c r="FE38" s="56"/>
      <c r="FF38" s="56" t="s">
        <v>328</v>
      </c>
      <c r="FG38" s="55">
        <v>1</v>
      </c>
      <c r="FH38" s="56" t="s">
        <v>505</v>
      </c>
      <c r="FI38" s="56"/>
      <c r="FJ38" s="56"/>
      <c r="FK38" s="56"/>
      <c r="FL38" s="56"/>
      <c r="FM38" s="56"/>
      <c r="FN38" s="56"/>
      <c r="FO38" s="56"/>
      <c r="FP38" s="55">
        <v>0</v>
      </c>
      <c r="FQ38" s="56"/>
      <c r="FR38" s="56"/>
      <c r="FS38" s="56"/>
      <c r="FT38" s="50"/>
      <c r="FU38" s="56" t="s">
        <v>351</v>
      </c>
      <c r="FV38" s="56" t="s">
        <v>506</v>
      </c>
      <c r="FW38" s="56"/>
      <c r="FX38" s="55">
        <v>-1</v>
      </c>
      <c r="FY38" s="55">
        <v>-1</v>
      </c>
      <c r="FZ38" s="55">
        <v>-1</v>
      </c>
      <c r="GA38" s="55">
        <v>-1</v>
      </c>
      <c r="GB38" s="55">
        <v>-1</v>
      </c>
      <c r="GC38" s="55">
        <v>-1</v>
      </c>
      <c r="GD38" s="55">
        <v>-1</v>
      </c>
      <c r="GE38" s="55">
        <v>-1</v>
      </c>
      <c r="GF38" s="55">
        <v>-1</v>
      </c>
      <c r="GG38" s="55">
        <v>-1</v>
      </c>
      <c r="GH38" s="55">
        <v>-1</v>
      </c>
      <c r="GI38" s="55">
        <v>-1</v>
      </c>
      <c r="GJ38" s="55">
        <v>-1</v>
      </c>
      <c r="GK38" s="55">
        <v>-1</v>
      </c>
      <c r="GL38" s="55">
        <v>-1</v>
      </c>
      <c r="GM38" s="55">
        <v>-15</v>
      </c>
      <c r="GN38" s="57"/>
      <c r="GO38" s="57"/>
      <c r="GP38" s="56" t="s">
        <v>319</v>
      </c>
      <c r="GQ38" s="56" t="s">
        <v>320</v>
      </c>
      <c r="GR38" s="56" t="s">
        <v>277</v>
      </c>
      <c r="GS38" s="55">
        <v>15</v>
      </c>
      <c r="GT38" s="55">
        <v>15</v>
      </c>
      <c r="GU38" s="55">
        <v>31</v>
      </c>
      <c r="GV38" s="55">
        <v>12</v>
      </c>
      <c r="GW38" s="58"/>
    </row>
    <row r="39" spans="1:205" s="56" customFormat="1" x14ac:dyDescent="0.25">
      <c r="A39" s="1">
        <v>193</v>
      </c>
      <c r="B39" s="19" t="s">
        <v>347</v>
      </c>
      <c r="C39" s="19">
        <v>57.5</v>
      </c>
      <c r="D39" s="2" t="s">
        <v>353</v>
      </c>
      <c r="E39" s="2" t="s">
        <v>320</v>
      </c>
      <c r="F39" s="2" t="s">
        <v>282</v>
      </c>
      <c r="G39" s="2" t="s">
        <v>282</v>
      </c>
      <c r="H39" s="2" t="s">
        <v>282</v>
      </c>
      <c r="I39" s="2" t="s">
        <v>282</v>
      </c>
      <c r="J39" s="2" t="s">
        <v>282</v>
      </c>
      <c r="K39" s="2" t="s">
        <v>281</v>
      </c>
      <c r="L39" s="2" t="s">
        <v>282</v>
      </c>
      <c r="M39" s="2" t="s">
        <v>282</v>
      </c>
      <c r="N39" s="2" t="s">
        <v>282</v>
      </c>
      <c r="O39" s="1">
        <v>0</v>
      </c>
      <c r="P39" s="2"/>
      <c r="Q39" s="2"/>
      <c r="R39" s="2" t="s">
        <v>337</v>
      </c>
      <c r="S39" s="2"/>
      <c r="T39" s="2" t="s">
        <v>378</v>
      </c>
      <c r="U39" s="2"/>
      <c r="V39" s="2"/>
      <c r="W39" s="2"/>
      <c r="X39" s="2" t="s">
        <v>346</v>
      </c>
      <c r="Y39" s="1">
        <v>0</v>
      </c>
      <c r="Z39" s="2"/>
      <c r="AA39" s="2"/>
      <c r="AB39" s="2" t="s">
        <v>303</v>
      </c>
      <c r="AC39" s="2" t="s">
        <v>331</v>
      </c>
      <c r="AD39" s="1">
        <v>0</v>
      </c>
      <c r="AE39" s="2"/>
      <c r="AF39" s="2"/>
      <c r="AG39" s="2" t="s">
        <v>298</v>
      </c>
      <c r="AH39" s="98" t="s">
        <v>298</v>
      </c>
      <c r="AI39" s="97">
        <f t="shared" si="2"/>
        <v>1</v>
      </c>
      <c r="AJ39" s="2" t="s">
        <v>331</v>
      </c>
      <c r="AK39" s="1">
        <v>0</v>
      </c>
      <c r="AL39" s="2"/>
      <c r="AM39" s="2"/>
      <c r="AN39" s="1">
        <v>0</v>
      </c>
      <c r="AO39" s="2"/>
      <c r="AP39" s="2"/>
      <c r="AQ39" s="2" t="s">
        <v>366</v>
      </c>
      <c r="AR39" s="1">
        <v>0</v>
      </c>
      <c r="AS39" s="2"/>
      <c r="AT39" s="2"/>
      <c r="AU39" s="2" t="s">
        <v>301</v>
      </c>
      <c r="AV39" s="2" t="s">
        <v>287</v>
      </c>
      <c r="AW39" s="1">
        <v>0</v>
      </c>
      <c r="AX39" s="2"/>
      <c r="AY39" s="2"/>
      <c r="AZ39" s="2"/>
      <c r="BA39" s="98"/>
      <c r="BB39" s="97"/>
      <c r="BC39" s="2"/>
      <c r="BD39" s="1">
        <v>0</v>
      </c>
      <c r="BE39" s="2"/>
      <c r="BF39" s="2"/>
      <c r="BG39" s="1">
        <v>0</v>
      </c>
      <c r="BH39" s="2"/>
      <c r="BI39" s="2"/>
      <c r="BJ39" s="2" t="s">
        <v>310</v>
      </c>
      <c r="BK39" s="2" t="s">
        <v>339</v>
      </c>
      <c r="BL39" s="1">
        <v>1</v>
      </c>
      <c r="BM39" s="2"/>
      <c r="BN39" s="2" t="s">
        <v>297</v>
      </c>
      <c r="BO39" s="2" t="s">
        <v>324</v>
      </c>
      <c r="BP39" s="2" t="s">
        <v>339</v>
      </c>
      <c r="BQ39" s="1">
        <v>0</v>
      </c>
      <c r="BR39" s="2"/>
      <c r="BS39" s="2"/>
      <c r="BT39" s="1">
        <v>0</v>
      </c>
      <c r="BU39" s="2"/>
      <c r="BV39" s="2" t="s">
        <v>296</v>
      </c>
      <c r="BW39" s="1">
        <v>1</v>
      </c>
      <c r="BX39" s="2" t="s">
        <v>548</v>
      </c>
      <c r="BY39" s="2" t="s">
        <v>286</v>
      </c>
      <c r="BZ39" s="2" t="s">
        <v>297</v>
      </c>
      <c r="CA39" s="1">
        <v>0</v>
      </c>
      <c r="CB39" s="2"/>
      <c r="CC39" s="2"/>
      <c r="CD39" s="2" t="s">
        <v>288</v>
      </c>
      <c r="CE39" s="97" t="s">
        <v>288</v>
      </c>
      <c r="CF39" s="97">
        <f>IF(CE39=CD39,1,"")</f>
        <v>1</v>
      </c>
      <c r="CG39" s="2" t="s">
        <v>287</v>
      </c>
      <c r="CH39" s="1">
        <v>0</v>
      </c>
      <c r="CI39" s="2"/>
      <c r="CJ39" s="2"/>
      <c r="CK39" s="1">
        <v>1</v>
      </c>
      <c r="CL39" s="2" t="s">
        <v>549</v>
      </c>
      <c r="CM39" s="2" t="s">
        <v>328</v>
      </c>
      <c r="CN39" s="1">
        <v>0</v>
      </c>
      <c r="CO39" s="2"/>
      <c r="CP39" s="2"/>
      <c r="CQ39" s="2" t="s">
        <v>294</v>
      </c>
      <c r="CR39" s="2" t="s">
        <v>297</v>
      </c>
      <c r="CS39" s="1">
        <v>0</v>
      </c>
      <c r="CT39" s="2"/>
      <c r="CU39" s="2"/>
      <c r="CV39" s="2" t="s">
        <v>288</v>
      </c>
      <c r="CW39" s="98"/>
      <c r="CX39" s="97" t="str">
        <f>IF(CW39=CV39,1,"")</f>
        <v/>
      </c>
      <c r="CY39" s="2" t="s">
        <v>297</v>
      </c>
      <c r="CZ39" s="1">
        <v>0</v>
      </c>
      <c r="DA39" s="2"/>
      <c r="DB39" s="2"/>
      <c r="DC39" s="1">
        <v>0</v>
      </c>
      <c r="DD39" s="2"/>
      <c r="DE39" s="2" t="s">
        <v>299</v>
      </c>
      <c r="DF39" s="1">
        <v>0</v>
      </c>
      <c r="DG39" s="2"/>
      <c r="DH39" s="2"/>
      <c r="DI39" s="2" t="s">
        <v>301</v>
      </c>
      <c r="DJ39" s="2" t="s">
        <v>339</v>
      </c>
      <c r="DK39" s="1">
        <v>1</v>
      </c>
      <c r="DL39" s="2" t="s">
        <v>297</v>
      </c>
      <c r="DM39" s="2"/>
      <c r="DN39" s="2" t="s">
        <v>324</v>
      </c>
      <c r="DO39" s="98"/>
      <c r="DP39" s="97" t="str">
        <f>IF(DO39=DN39,1,"")</f>
        <v/>
      </c>
      <c r="DQ39" s="2" t="s">
        <v>339</v>
      </c>
      <c r="DR39" s="1">
        <v>0</v>
      </c>
      <c r="DS39" s="2"/>
      <c r="DT39" s="2"/>
      <c r="DU39" s="1">
        <v>0</v>
      </c>
      <c r="DV39" s="2"/>
      <c r="DW39" s="2" t="s">
        <v>328</v>
      </c>
      <c r="DX39" s="1">
        <v>1</v>
      </c>
      <c r="DY39" s="2" t="s">
        <v>550</v>
      </c>
      <c r="DZ39" s="2"/>
      <c r="EA39" s="2" t="s">
        <v>303</v>
      </c>
      <c r="EB39" s="2" t="s">
        <v>331</v>
      </c>
      <c r="EC39" s="1">
        <v>1</v>
      </c>
      <c r="ED39" s="2" t="s">
        <v>297</v>
      </c>
      <c r="EE39" s="2"/>
      <c r="EF39" s="2" t="s">
        <v>298</v>
      </c>
      <c r="EG39" s="98" t="s">
        <v>305</v>
      </c>
      <c r="EH39" s="97" t="str">
        <f>IF(EG39=EF39,1,"")</f>
        <v/>
      </c>
      <c r="EI39" s="2" t="s">
        <v>331</v>
      </c>
      <c r="EJ39" s="1">
        <v>0</v>
      </c>
      <c r="EK39" s="2"/>
      <c r="EL39" s="2"/>
      <c r="EM39" s="2"/>
      <c r="EN39" s="2"/>
      <c r="EO39" s="2" t="s">
        <v>328</v>
      </c>
      <c r="EP39" s="1">
        <v>0</v>
      </c>
      <c r="EQ39" s="2"/>
      <c r="ER39" s="2" t="s">
        <v>303</v>
      </c>
      <c r="ES39" s="2" t="s">
        <v>331</v>
      </c>
      <c r="ET39" s="1">
        <v>0</v>
      </c>
      <c r="EU39" s="2"/>
      <c r="EV39" s="2"/>
      <c r="EW39" s="2" t="s">
        <v>298</v>
      </c>
      <c r="EX39" s="98" t="s">
        <v>298</v>
      </c>
      <c r="EY39" s="97">
        <f>IF(EX39=EW39,1,"")</f>
        <v>1</v>
      </c>
      <c r="EZ39" s="1">
        <v>0</v>
      </c>
      <c r="FA39" s="2"/>
      <c r="FB39" s="2"/>
      <c r="FC39" s="2" t="s">
        <v>551</v>
      </c>
      <c r="FD39" s="1">
        <v>0</v>
      </c>
      <c r="FE39" s="2"/>
      <c r="FF39" s="2" t="s">
        <v>296</v>
      </c>
      <c r="FG39" s="1">
        <v>1</v>
      </c>
      <c r="FH39" s="2" t="s">
        <v>552</v>
      </c>
      <c r="FI39" s="2"/>
      <c r="FJ39" s="2"/>
      <c r="FK39" s="2"/>
      <c r="FL39" s="2"/>
      <c r="FM39" s="2"/>
      <c r="FN39" s="2"/>
      <c r="FO39" s="2"/>
      <c r="FP39" s="1">
        <v>0</v>
      </c>
      <c r="FQ39" s="2"/>
      <c r="FR39" s="2"/>
      <c r="FS39" s="2"/>
      <c r="FT39"/>
      <c r="FU39" s="2" t="s">
        <v>317</v>
      </c>
      <c r="FV39" s="2" t="s">
        <v>553</v>
      </c>
      <c r="FW39" s="2"/>
      <c r="FX39" s="1">
        <v>-1</v>
      </c>
      <c r="FY39" s="1">
        <v>-1</v>
      </c>
      <c r="FZ39" s="1">
        <v>-1</v>
      </c>
      <c r="GA39" s="1">
        <v>-1</v>
      </c>
      <c r="GB39" s="1">
        <v>-1</v>
      </c>
      <c r="GC39" s="1">
        <v>-1</v>
      </c>
      <c r="GD39" s="1">
        <v>-1</v>
      </c>
      <c r="GE39" s="1">
        <v>-1</v>
      </c>
      <c r="GF39" s="1">
        <v>-1</v>
      </c>
      <c r="GG39" s="1">
        <v>-1</v>
      </c>
      <c r="GH39" s="1">
        <v>-1</v>
      </c>
      <c r="GI39" s="1">
        <v>-1</v>
      </c>
      <c r="GJ39" s="1">
        <v>-1</v>
      </c>
      <c r="GK39" s="1">
        <v>-1</v>
      </c>
      <c r="GL39" s="1">
        <v>-1</v>
      </c>
      <c r="GM39" s="1">
        <v>-15</v>
      </c>
      <c r="GN39" s="3"/>
      <c r="GO39" s="3"/>
      <c r="GP39" s="2" t="s">
        <v>319</v>
      </c>
      <c r="GQ39" s="2" t="s">
        <v>320</v>
      </c>
      <c r="GR39" s="2" t="s">
        <v>277</v>
      </c>
      <c r="GS39" s="1">
        <v>15</v>
      </c>
      <c r="GT39" s="1">
        <v>15</v>
      </c>
      <c r="GU39" s="1">
        <v>44</v>
      </c>
      <c r="GV39" s="1">
        <v>19</v>
      </c>
      <c r="GW39" s="4"/>
    </row>
    <row r="40" spans="1:205" s="45" customFormat="1" ht="13.8" thickBot="1" x14ac:dyDescent="0.3">
      <c r="A40" s="13">
        <v>195</v>
      </c>
      <c r="B40" s="21" t="s">
        <v>347</v>
      </c>
      <c r="C40" s="21">
        <v>57.5</v>
      </c>
      <c r="D40" s="14" t="s">
        <v>279</v>
      </c>
      <c r="E40" s="14" t="s">
        <v>280</v>
      </c>
      <c r="F40" s="14" t="s">
        <v>281</v>
      </c>
      <c r="G40" s="14" t="s">
        <v>281</v>
      </c>
      <c r="H40" s="14" t="s">
        <v>282</v>
      </c>
      <c r="I40" s="14" t="s">
        <v>282</v>
      </c>
      <c r="J40" s="14" t="s">
        <v>281</v>
      </c>
      <c r="K40" s="14" t="s">
        <v>281</v>
      </c>
      <c r="L40" s="14" t="s">
        <v>282</v>
      </c>
      <c r="M40" s="14" t="s">
        <v>282</v>
      </c>
      <c r="N40" s="14" t="s">
        <v>282</v>
      </c>
      <c r="O40" s="13">
        <v>0</v>
      </c>
      <c r="P40" s="14"/>
      <c r="Q40" s="14"/>
      <c r="R40" s="14" t="s">
        <v>337</v>
      </c>
      <c r="S40" s="14"/>
      <c r="T40" s="14" t="s">
        <v>757</v>
      </c>
      <c r="U40" s="14"/>
      <c r="V40" s="14"/>
      <c r="W40" s="14"/>
      <c r="X40" s="14" t="s">
        <v>346</v>
      </c>
      <c r="Y40" s="13">
        <v>0</v>
      </c>
      <c r="Z40" s="14"/>
      <c r="AA40" s="14"/>
      <c r="AB40" s="14" t="s">
        <v>301</v>
      </c>
      <c r="AC40" s="14" t="s">
        <v>331</v>
      </c>
      <c r="AD40" s="13">
        <v>0</v>
      </c>
      <c r="AE40" s="14"/>
      <c r="AF40" s="14"/>
      <c r="AG40" s="14" t="s">
        <v>288</v>
      </c>
      <c r="AH40" s="98" t="s">
        <v>305</v>
      </c>
      <c r="AI40" s="97" t="str">
        <f t="shared" si="2"/>
        <v/>
      </c>
      <c r="AJ40" s="14" t="s">
        <v>331</v>
      </c>
      <c r="AK40" s="13">
        <v>0</v>
      </c>
      <c r="AL40" s="14"/>
      <c r="AM40" s="14"/>
      <c r="AN40" s="13">
        <v>1</v>
      </c>
      <c r="AO40" s="14" t="s">
        <v>554</v>
      </c>
      <c r="AP40" s="14"/>
      <c r="AQ40" s="14" t="s">
        <v>366</v>
      </c>
      <c r="AR40" s="13">
        <v>1</v>
      </c>
      <c r="AS40" s="14" t="s">
        <v>341</v>
      </c>
      <c r="AT40" s="14"/>
      <c r="AU40" s="14" t="s">
        <v>301</v>
      </c>
      <c r="AV40" s="14" t="s">
        <v>297</v>
      </c>
      <c r="AW40" s="13">
        <v>0</v>
      </c>
      <c r="AX40" s="14"/>
      <c r="AY40" s="14"/>
      <c r="AZ40" s="14" t="s">
        <v>288</v>
      </c>
      <c r="BA40" s="98" t="s">
        <v>840</v>
      </c>
      <c r="BB40" s="97">
        <v>1</v>
      </c>
      <c r="BC40" s="14" t="s">
        <v>287</v>
      </c>
      <c r="BD40" s="13">
        <v>0</v>
      </c>
      <c r="BE40" s="14"/>
      <c r="BF40" s="14"/>
      <c r="BG40" s="13">
        <v>0</v>
      </c>
      <c r="BH40" s="14"/>
      <c r="BI40" s="14" t="s">
        <v>328</v>
      </c>
      <c r="BJ40" s="14" t="s">
        <v>301</v>
      </c>
      <c r="BK40" s="14" t="s">
        <v>297</v>
      </c>
      <c r="BL40" s="13">
        <v>1</v>
      </c>
      <c r="BM40" s="14" t="s">
        <v>531</v>
      </c>
      <c r="BN40" s="14"/>
      <c r="BO40" s="14" t="s">
        <v>324</v>
      </c>
      <c r="BP40" s="14" t="s">
        <v>339</v>
      </c>
      <c r="BQ40" s="13">
        <v>0</v>
      </c>
      <c r="BR40" s="14"/>
      <c r="BS40" s="14"/>
      <c r="BT40" s="13">
        <v>1</v>
      </c>
      <c r="BU40" s="14" t="s">
        <v>555</v>
      </c>
      <c r="BV40" s="14" t="s">
        <v>299</v>
      </c>
      <c r="BW40" s="13">
        <v>1</v>
      </c>
      <c r="BX40" s="14" t="s">
        <v>556</v>
      </c>
      <c r="BY40" s="14" t="s">
        <v>294</v>
      </c>
      <c r="BZ40" s="14" t="s">
        <v>297</v>
      </c>
      <c r="CA40" s="13">
        <v>0</v>
      </c>
      <c r="CB40" s="14"/>
      <c r="CC40" s="14"/>
      <c r="CD40" s="14" t="s">
        <v>288</v>
      </c>
      <c r="CE40" s="97"/>
      <c r="CF40" s="97" t="str">
        <f>IF(CE40=CD40,1,"")</f>
        <v/>
      </c>
      <c r="CG40" s="14" t="s">
        <v>521</v>
      </c>
      <c r="CH40" s="13">
        <v>0</v>
      </c>
      <c r="CI40" s="14"/>
      <c r="CJ40" s="14"/>
      <c r="CK40" s="13">
        <v>0</v>
      </c>
      <c r="CL40" s="14"/>
      <c r="CM40" s="14" t="s">
        <v>299</v>
      </c>
      <c r="CN40" s="13">
        <v>1</v>
      </c>
      <c r="CO40" s="14" t="s">
        <v>557</v>
      </c>
      <c r="CP40" s="14"/>
      <c r="CQ40" s="14" t="s">
        <v>303</v>
      </c>
      <c r="CR40" s="14" t="s">
        <v>297</v>
      </c>
      <c r="CS40" s="13">
        <v>0</v>
      </c>
      <c r="CT40" s="14"/>
      <c r="CU40" s="14"/>
      <c r="CV40" s="14" t="s">
        <v>298</v>
      </c>
      <c r="CW40" s="98" t="s">
        <v>298</v>
      </c>
      <c r="CX40" s="97">
        <f>IF(CW40=CV40,1,"")</f>
        <v>1</v>
      </c>
      <c r="CY40" s="14" t="s">
        <v>302</v>
      </c>
      <c r="CZ40" s="13">
        <v>0</v>
      </c>
      <c r="DA40" s="14"/>
      <c r="DB40" s="14"/>
      <c r="DC40" s="13">
        <v>0</v>
      </c>
      <c r="DD40" s="14"/>
      <c r="DE40" s="14" t="s">
        <v>328</v>
      </c>
      <c r="DF40" s="13">
        <v>2</v>
      </c>
      <c r="DG40" s="14" t="s">
        <v>329</v>
      </c>
      <c r="DH40" s="14" t="s">
        <v>558</v>
      </c>
      <c r="DI40" s="14" t="s">
        <v>303</v>
      </c>
      <c r="DJ40" s="14" t="s">
        <v>302</v>
      </c>
      <c r="DK40" s="13">
        <v>0</v>
      </c>
      <c r="DL40" s="14"/>
      <c r="DM40" s="14"/>
      <c r="DN40" s="14" t="s">
        <v>305</v>
      </c>
      <c r="DO40" s="98" t="s">
        <v>305</v>
      </c>
      <c r="DP40" s="97">
        <f>IF(DO40=DN40,1,"")</f>
        <v>1</v>
      </c>
      <c r="DQ40" s="14" t="s">
        <v>331</v>
      </c>
      <c r="DR40" s="13">
        <v>0</v>
      </c>
      <c r="DS40" s="14"/>
      <c r="DT40" s="14"/>
      <c r="DU40" s="13">
        <v>0</v>
      </c>
      <c r="DV40" s="14"/>
      <c r="DW40" s="14" t="s">
        <v>292</v>
      </c>
      <c r="DX40" s="13">
        <v>1</v>
      </c>
      <c r="DY40" s="14" t="s">
        <v>559</v>
      </c>
      <c r="DZ40" s="14"/>
      <c r="EA40" s="14" t="s">
        <v>303</v>
      </c>
      <c r="EB40" s="14" t="s">
        <v>331</v>
      </c>
      <c r="EC40" s="13">
        <v>0</v>
      </c>
      <c r="ED40" s="14"/>
      <c r="EE40" s="14"/>
      <c r="EF40" s="14" t="s">
        <v>298</v>
      </c>
      <c r="EG40" s="98" t="s">
        <v>288</v>
      </c>
      <c r="EH40" s="97" t="str">
        <f>IF(EG40=EF40,1,"")</f>
        <v/>
      </c>
      <c r="EI40" s="14"/>
      <c r="EJ40" s="13">
        <v>0</v>
      </c>
      <c r="EK40" s="14"/>
      <c r="EL40" s="14"/>
      <c r="EM40" s="14"/>
      <c r="EN40" s="14"/>
      <c r="EO40" s="14" t="s">
        <v>328</v>
      </c>
      <c r="EP40" s="13">
        <v>1</v>
      </c>
      <c r="EQ40" s="14" t="s">
        <v>560</v>
      </c>
      <c r="ER40" s="14" t="s">
        <v>303</v>
      </c>
      <c r="ES40" s="14" t="s">
        <v>331</v>
      </c>
      <c r="ET40" s="13">
        <v>0</v>
      </c>
      <c r="EU40" s="14"/>
      <c r="EV40" s="14"/>
      <c r="EW40" s="14" t="s">
        <v>305</v>
      </c>
      <c r="EX40" s="98" t="s">
        <v>305</v>
      </c>
      <c r="EY40" s="97">
        <f>IF(EX40=EW40,1,"")</f>
        <v>1</v>
      </c>
      <c r="EZ40" s="13">
        <v>0</v>
      </c>
      <c r="FA40" s="14"/>
      <c r="FB40" s="14"/>
      <c r="FC40" s="14" t="s">
        <v>561</v>
      </c>
      <c r="FD40" s="13">
        <v>0</v>
      </c>
      <c r="FE40" s="14"/>
      <c r="FF40" s="14" t="s">
        <v>299</v>
      </c>
      <c r="FG40" s="13">
        <v>0</v>
      </c>
      <c r="FH40" s="14"/>
      <c r="FI40" s="14"/>
      <c r="FJ40" s="14"/>
      <c r="FK40" s="14"/>
      <c r="FL40" s="14"/>
      <c r="FM40" s="14"/>
      <c r="FN40" s="14"/>
      <c r="FO40" s="14"/>
      <c r="FP40" s="13">
        <v>1</v>
      </c>
      <c r="FQ40" s="14" t="s">
        <v>562</v>
      </c>
      <c r="FR40" s="14"/>
      <c r="FS40" s="14"/>
      <c r="FT40" s="17"/>
      <c r="FU40" s="14" t="s">
        <v>335</v>
      </c>
      <c r="FV40" s="14" t="s">
        <v>563</v>
      </c>
      <c r="FW40" s="14" t="s">
        <v>564</v>
      </c>
      <c r="FX40" s="13">
        <v>-1</v>
      </c>
      <c r="FY40" s="13">
        <v>-1</v>
      </c>
      <c r="FZ40" s="13">
        <v>-1</v>
      </c>
      <c r="GA40" s="13">
        <v>-1</v>
      </c>
      <c r="GB40" s="13">
        <v>-1</v>
      </c>
      <c r="GC40" s="13">
        <v>-1</v>
      </c>
      <c r="GD40" s="13">
        <v>-1</v>
      </c>
      <c r="GE40" s="13">
        <v>-1</v>
      </c>
      <c r="GF40" s="13">
        <v>-1</v>
      </c>
      <c r="GG40" s="13">
        <v>-1</v>
      </c>
      <c r="GH40" s="13">
        <v>-1</v>
      </c>
      <c r="GI40" s="13">
        <v>-1</v>
      </c>
      <c r="GJ40" s="13">
        <v>-1</v>
      </c>
      <c r="GK40" s="13">
        <v>-1</v>
      </c>
      <c r="GL40" s="13">
        <v>-1</v>
      </c>
      <c r="GM40" s="13">
        <v>-15</v>
      </c>
      <c r="GN40" s="15"/>
      <c r="GO40" s="15"/>
      <c r="GP40" s="14" t="s">
        <v>319</v>
      </c>
      <c r="GQ40" s="14" t="s">
        <v>320</v>
      </c>
      <c r="GR40" s="14" t="s">
        <v>277</v>
      </c>
      <c r="GS40" s="13">
        <v>15</v>
      </c>
      <c r="GT40" s="13">
        <v>15</v>
      </c>
      <c r="GU40" s="13">
        <v>34</v>
      </c>
      <c r="GV40" s="13">
        <v>10</v>
      </c>
      <c r="GW40" s="16"/>
    </row>
    <row r="41" spans="1:205" s="49" customFormat="1" x14ac:dyDescent="0.25">
      <c r="A41" s="65">
        <v>163</v>
      </c>
      <c r="B41" s="61" t="s">
        <v>347</v>
      </c>
      <c r="C41" s="61">
        <v>57.5</v>
      </c>
      <c r="D41" s="61" t="s">
        <v>353</v>
      </c>
      <c r="E41" s="61" t="s">
        <v>320</v>
      </c>
      <c r="F41" s="61" t="s">
        <v>282</v>
      </c>
      <c r="G41" s="61" t="s">
        <v>282</v>
      </c>
      <c r="H41" s="61" t="s">
        <v>282</v>
      </c>
      <c r="I41" s="61" t="s">
        <v>282</v>
      </c>
      <c r="J41" s="61" t="s">
        <v>282</v>
      </c>
      <c r="K41" s="61" t="s">
        <v>281</v>
      </c>
      <c r="L41" s="61" t="s">
        <v>282</v>
      </c>
      <c r="M41" s="61" t="s">
        <v>282</v>
      </c>
      <c r="N41" s="61" t="s">
        <v>282</v>
      </c>
      <c r="O41" s="65">
        <v>0</v>
      </c>
      <c r="P41" s="61"/>
      <c r="Q41" s="61"/>
      <c r="R41" s="61" t="s">
        <v>355</v>
      </c>
      <c r="S41" s="61"/>
      <c r="T41" s="61"/>
      <c r="U41" s="61" t="s">
        <v>322</v>
      </c>
      <c r="V41" s="61" t="s">
        <v>280</v>
      </c>
      <c r="W41" s="61"/>
      <c r="X41" s="61" t="s">
        <v>350</v>
      </c>
      <c r="Y41" s="65">
        <v>0</v>
      </c>
      <c r="Z41" s="61"/>
      <c r="AA41" s="61"/>
      <c r="AB41" s="61" t="s">
        <v>294</v>
      </c>
      <c r="AC41" s="61" t="s">
        <v>331</v>
      </c>
      <c r="AD41" s="65">
        <v>0</v>
      </c>
      <c r="AE41" s="61"/>
      <c r="AF41" s="61"/>
      <c r="AG41" s="61"/>
      <c r="AH41" s="98" t="s">
        <v>305</v>
      </c>
      <c r="AI41" s="97" t="str">
        <f t="shared" si="2"/>
        <v/>
      </c>
      <c r="AJ41" s="61" t="s">
        <v>331</v>
      </c>
      <c r="AK41" s="65">
        <v>0</v>
      </c>
      <c r="AL41" s="61"/>
      <c r="AM41" s="61"/>
      <c r="AN41" s="65">
        <v>0</v>
      </c>
      <c r="AO41" s="61"/>
      <c r="AP41" s="61"/>
      <c r="AQ41" s="61" t="s">
        <v>328</v>
      </c>
      <c r="AR41" s="65"/>
      <c r="AS41" s="61"/>
      <c r="AT41" s="61"/>
      <c r="AU41" s="61"/>
      <c r="AV41" s="61"/>
      <c r="AW41" s="65"/>
      <c r="AX41" s="61"/>
      <c r="AY41" s="61"/>
      <c r="AZ41" s="61"/>
      <c r="BA41" s="98"/>
      <c r="BB41" s="97"/>
      <c r="BC41" s="61"/>
      <c r="BD41" s="65"/>
      <c r="BE41" s="61"/>
      <c r="BF41" s="61"/>
      <c r="BG41" s="65"/>
      <c r="BH41" s="61"/>
      <c r="BI41" s="61"/>
      <c r="BJ41" s="61"/>
      <c r="BK41" s="61"/>
      <c r="BL41" s="65"/>
      <c r="BM41" s="61"/>
      <c r="BN41" s="61"/>
      <c r="BO41" s="61"/>
      <c r="BP41" s="61"/>
      <c r="BQ41" s="65"/>
      <c r="BR41" s="61"/>
      <c r="BS41" s="61"/>
      <c r="BT41" s="65"/>
      <c r="BU41" s="61"/>
      <c r="BV41" s="61"/>
      <c r="BW41" s="65"/>
      <c r="BX41" s="61"/>
      <c r="BY41" s="61"/>
      <c r="BZ41" s="61"/>
      <c r="CA41" s="65"/>
      <c r="CB41" s="61"/>
      <c r="CC41" s="61"/>
      <c r="CD41" s="61"/>
      <c r="CE41" s="97"/>
      <c r="CF41" s="97"/>
      <c r="CG41" s="61"/>
      <c r="CH41" s="65"/>
      <c r="CI41" s="61"/>
      <c r="CJ41" s="61"/>
      <c r="CK41" s="65"/>
      <c r="CL41" s="61"/>
      <c r="CM41" s="61"/>
      <c r="CN41" s="65"/>
      <c r="CO41" s="61"/>
      <c r="CP41" s="61"/>
      <c r="CQ41" s="61"/>
      <c r="CR41" s="61"/>
      <c r="CS41" s="65"/>
      <c r="CT41" s="61"/>
      <c r="CU41" s="61"/>
      <c r="CV41" s="61"/>
      <c r="CW41" s="98"/>
      <c r="CX41" s="97"/>
      <c r="CY41" s="61"/>
      <c r="CZ41" s="65"/>
      <c r="DA41" s="61"/>
      <c r="DB41" s="61"/>
      <c r="DC41" s="65"/>
      <c r="DD41" s="61"/>
      <c r="DE41" s="61"/>
      <c r="DF41" s="65"/>
      <c r="DG41" s="61"/>
      <c r="DH41" s="61"/>
      <c r="DI41" s="61"/>
      <c r="DJ41" s="61"/>
      <c r="DK41" s="65"/>
      <c r="DL41" s="61"/>
      <c r="DM41" s="61"/>
      <c r="DN41" s="61"/>
      <c r="DO41" s="98"/>
      <c r="DP41" s="97"/>
      <c r="DQ41" s="61"/>
      <c r="DR41" s="65"/>
      <c r="DS41" s="61"/>
      <c r="DT41" s="61"/>
      <c r="DU41" s="65"/>
      <c r="DV41" s="61"/>
      <c r="DW41" s="61"/>
      <c r="DX41" s="65"/>
      <c r="DY41" s="61"/>
      <c r="DZ41" s="61"/>
      <c r="EA41" s="61"/>
      <c r="EB41" s="61"/>
      <c r="EC41" s="65"/>
      <c r="ED41" s="61"/>
      <c r="EE41" s="61"/>
      <c r="EF41" s="61"/>
      <c r="EG41" s="98"/>
      <c r="EH41" s="97"/>
      <c r="EI41" s="61"/>
      <c r="EJ41" s="65"/>
      <c r="EK41" s="61"/>
      <c r="EL41" s="61"/>
      <c r="EM41" s="61"/>
      <c r="EN41" s="61"/>
      <c r="EO41" s="61"/>
      <c r="EP41" s="65"/>
      <c r="EQ41" s="61"/>
      <c r="ER41" s="61"/>
      <c r="ES41" s="61"/>
      <c r="ET41" s="65"/>
      <c r="EU41" s="61"/>
      <c r="EV41" s="61"/>
      <c r="EW41" s="61"/>
      <c r="EX41" s="98"/>
      <c r="EY41" s="97"/>
      <c r="EZ41" s="65"/>
      <c r="FA41" s="61"/>
      <c r="FB41" s="61"/>
      <c r="FC41" s="61"/>
      <c r="FD41" s="65"/>
      <c r="FE41" s="61"/>
      <c r="FF41" s="61"/>
      <c r="FG41" s="65"/>
      <c r="FH41" s="61"/>
      <c r="FI41" s="61"/>
      <c r="FJ41" s="61"/>
      <c r="FK41" s="61"/>
      <c r="FL41" s="61"/>
      <c r="FM41" s="61"/>
      <c r="FN41" s="61"/>
      <c r="FO41" s="61"/>
      <c r="FP41" s="65"/>
      <c r="FQ41" s="61"/>
      <c r="FR41" s="61"/>
      <c r="FS41" s="61"/>
      <c r="FU41" s="61"/>
      <c r="FV41" s="61"/>
      <c r="FW41" s="61"/>
      <c r="FX41" s="65">
        <v>-1</v>
      </c>
      <c r="FY41" s="65">
        <v>-1</v>
      </c>
      <c r="FZ41" s="65">
        <v>-1</v>
      </c>
      <c r="GA41" s="65">
        <v>-1</v>
      </c>
      <c r="GB41" s="65">
        <v>-1</v>
      </c>
      <c r="GC41" s="65">
        <v>-1</v>
      </c>
      <c r="GD41" s="65"/>
      <c r="GE41" s="65"/>
      <c r="GF41" s="65"/>
      <c r="GG41" s="65"/>
      <c r="GH41" s="65"/>
      <c r="GI41" s="65"/>
      <c r="GJ41" s="65"/>
      <c r="GK41" s="65"/>
      <c r="GL41" s="65"/>
      <c r="GM41" s="65">
        <v>-6</v>
      </c>
      <c r="GN41" s="66"/>
      <c r="GO41" s="66"/>
      <c r="GP41" s="61"/>
      <c r="GQ41" s="61" t="s">
        <v>277</v>
      </c>
      <c r="GR41" s="61" t="s">
        <v>277</v>
      </c>
      <c r="GS41" s="65">
        <v>6</v>
      </c>
      <c r="GT41" s="65">
        <v>6</v>
      </c>
      <c r="GU41" s="65">
        <v>41</v>
      </c>
      <c r="GV41" s="65">
        <v>19</v>
      </c>
      <c r="GW41" s="67"/>
    </row>
    <row r="42" spans="1:205" s="49" customFormat="1" x14ac:dyDescent="0.25">
      <c r="A42" s="65">
        <v>164</v>
      </c>
      <c r="B42" s="61" t="s">
        <v>347</v>
      </c>
      <c r="C42" s="61">
        <v>57.5</v>
      </c>
      <c r="D42" s="61" t="s">
        <v>353</v>
      </c>
      <c r="E42" s="61" t="s">
        <v>320</v>
      </c>
      <c r="F42" s="61" t="s">
        <v>281</v>
      </c>
      <c r="G42" s="61" t="s">
        <v>282</v>
      </c>
      <c r="H42" s="61" t="s">
        <v>282</v>
      </c>
      <c r="I42" s="61" t="s">
        <v>282</v>
      </c>
      <c r="J42" s="61" t="s">
        <v>282</v>
      </c>
      <c r="K42" s="61" t="s">
        <v>282</v>
      </c>
      <c r="L42" s="61" t="s">
        <v>282</v>
      </c>
      <c r="M42" s="61" t="s">
        <v>282</v>
      </c>
      <c r="N42" s="61" t="s">
        <v>282</v>
      </c>
      <c r="O42" s="65">
        <v>0</v>
      </c>
      <c r="P42" s="61"/>
      <c r="Q42" s="61"/>
      <c r="R42" s="61" t="s">
        <v>355</v>
      </c>
      <c r="S42" s="61"/>
      <c r="T42" s="61"/>
      <c r="U42" s="61" t="s">
        <v>322</v>
      </c>
      <c r="V42" s="61"/>
      <c r="W42" s="61"/>
      <c r="X42" s="61" t="s">
        <v>350</v>
      </c>
      <c r="Y42" s="65"/>
      <c r="Z42" s="61"/>
      <c r="AA42" s="61"/>
      <c r="AB42" s="61"/>
      <c r="AC42" s="61"/>
      <c r="AD42" s="65"/>
      <c r="AE42" s="61"/>
      <c r="AF42" s="61"/>
      <c r="AG42" s="61"/>
      <c r="AH42" s="98" t="s">
        <v>305</v>
      </c>
      <c r="AI42" s="97" t="str">
        <f t="shared" si="2"/>
        <v/>
      </c>
      <c r="AJ42" s="61"/>
      <c r="AK42" s="65"/>
      <c r="AL42" s="61"/>
      <c r="AM42" s="61"/>
      <c r="AN42" s="65"/>
      <c r="AO42" s="61"/>
      <c r="AP42" s="61"/>
      <c r="AQ42" s="61"/>
      <c r="AR42" s="65"/>
      <c r="AS42" s="61"/>
      <c r="AT42" s="61"/>
      <c r="AU42" s="61"/>
      <c r="AV42" s="61"/>
      <c r="AW42" s="65"/>
      <c r="AX42" s="61"/>
      <c r="AY42" s="61"/>
      <c r="AZ42" s="61"/>
      <c r="BA42" s="98"/>
      <c r="BB42" s="97"/>
      <c r="BC42" s="61"/>
      <c r="BD42" s="65"/>
      <c r="BE42" s="61"/>
      <c r="BF42" s="61"/>
      <c r="BG42" s="65"/>
      <c r="BH42" s="61"/>
      <c r="BI42" s="61"/>
      <c r="BJ42" s="61"/>
      <c r="BK42" s="61"/>
      <c r="BL42" s="65"/>
      <c r="BM42" s="61"/>
      <c r="BN42" s="61"/>
      <c r="BO42" s="61"/>
      <c r="BP42" s="61"/>
      <c r="BQ42" s="65"/>
      <c r="BR42" s="61"/>
      <c r="BS42" s="61"/>
      <c r="BT42" s="65"/>
      <c r="BU42" s="61"/>
      <c r="BV42" s="61"/>
      <c r="BW42" s="65"/>
      <c r="BX42" s="61"/>
      <c r="BY42" s="61"/>
      <c r="BZ42" s="61"/>
      <c r="CA42" s="65"/>
      <c r="CB42" s="61"/>
      <c r="CC42" s="61"/>
      <c r="CD42" s="61"/>
      <c r="CE42" s="97"/>
      <c r="CF42" s="97"/>
      <c r="CG42" s="61"/>
      <c r="CH42" s="65"/>
      <c r="CI42" s="61"/>
      <c r="CJ42" s="61"/>
      <c r="CK42" s="65"/>
      <c r="CL42" s="61"/>
      <c r="CM42" s="61"/>
      <c r="CN42" s="65"/>
      <c r="CO42" s="61"/>
      <c r="CP42" s="61"/>
      <c r="CQ42" s="61"/>
      <c r="CR42" s="61"/>
      <c r="CS42" s="65"/>
      <c r="CT42" s="61"/>
      <c r="CU42" s="61"/>
      <c r="CV42" s="61"/>
      <c r="CW42" s="98"/>
      <c r="CX42" s="97"/>
      <c r="CY42" s="61"/>
      <c r="CZ42" s="65"/>
      <c r="DA42" s="61"/>
      <c r="DB42" s="61"/>
      <c r="DC42" s="65"/>
      <c r="DD42" s="61"/>
      <c r="DE42" s="61"/>
      <c r="DF42" s="65"/>
      <c r="DG42" s="61"/>
      <c r="DH42" s="61"/>
      <c r="DI42" s="61"/>
      <c r="DJ42" s="61"/>
      <c r="DK42" s="65"/>
      <c r="DL42" s="61"/>
      <c r="DM42" s="61"/>
      <c r="DN42" s="61"/>
      <c r="DO42" s="98"/>
      <c r="DP42" s="97"/>
      <c r="DQ42" s="61"/>
      <c r="DR42" s="65"/>
      <c r="DS42" s="61"/>
      <c r="DT42" s="61"/>
      <c r="DU42" s="65"/>
      <c r="DV42" s="61"/>
      <c r="DW42" s="61"/>
      <c r="DX42" s="65"/>
      <c r="DY42" s="61"/>
      <c r="DZ42" s="61"/>
      <c r="EA42" s="61"/>
      <c r="EB42" s="61"/>
      <c r="EC42" s="65"/>
      <c r="ED42" s="61"/>
      <c r="EE42" s="61"/>
      <c r="EF42" s="61"/>
      <c r="EG42" s="98"/>
      <c r="EH42" s="97"/>
      <c r="EI42" s="61"/>
      <c r="EJ42" s="65"/>
      <c r="EK42" s="61"/>
      <c r="EL42" s="61"/>
      <c r="EM42" s="61"/>
      <c r="EN42" s="61"/>
      <c r="EO42" s="61"/>
      <c r="EP42" s="65"/>
      <c r="EQ42" s="61"/>
      <c r="ER42" s="61"/>
      <c r="ES42" s="61"/>
      <c r="ET42" s="65"/>
      <c r="EU42" s="61"/>
      <c r="EV42" s="61"/>
      <c r="EW42" s="61"/>
      <c r="EX42" s="98"/>
      <c r="EY42" s="97"/>
      <c r="EZ42" s="65"/>
      <c r="FA42" s="61"/>
      <c r="FB42" s="61"/>
      <c r="FC42" s="61"/>
      <c r="FD42" s="65"/>
      <c r="FE42" s="61"/>
      <c r="FF42" s="61"/>
      <c r="FG42" s="65"/>
      <c r="FH42" s="61"/>
      <c r="FI42" s="61"/>
      <c r="FJ42" s="61"/>
      <c r="FK42" s="61"/>
      <c r="FL42" s="61"/>
      <c r="FM42" s="61"/>
      <c r="FN42" s="61"/>
      <c r="FO42" s="61"/>
      <c r="FP42" s="65"/>
      <c r="FQ42" s="61"/>
      <c r="FR42" s="61"/>
      <c r="FS42" s="61"/>
      <c r="FU42" s="61"/>
      <c r="FV42" s="61"/>
      <c r="FW42" s="61"/>
      <c r="FX42" s="65">
        <v>-1</v>
      </c>
      <c r="FY42" s="65">
        <v>-1</v>
      </c>
      <c r="FZ42" s="65">
        <v>-1</v>
      </c>
      <c r="GA42" s="65">
        <v>-1</v>
      </c>
      <c r="GB42" s="65">
        <v>-1</v>
      </c>
      <c r="GC42" s="65"/>
      <c r="GD42" s="65"/>
      <c r="GE42" s="65"/>
      <c r="GF42" s="65"/>
      <c r="GG42" s="65"/>
      <c r="GH42" s="65"/>
      <c r="GI42" s="65"/>
      <c r="GJ42" s="65"/>
      <c r="GK42" s="65"/>
      <c r="GL42" s="65"/>
      <c r="GM42" s="65">
        <v>-5</v>
      </c>
      <c r="GN42" s="66"/>
      <c r="GO42" s="66"/>
      <c r="GP42" s="61"/>
      <c r="GQ42" s="61" t="s">
        <v>277</v>
      </c>
      <c r="GR42" s="61" t="s">
        <v>277</v>
      </c>
      <c r="GS42" s="65">
        <v>5</v>
      </c>
      <c r="GT42" s="65">
        <v>5</v>
      </c>
      <c r="GU42" s="65">
        <v>14</v>
      </c>
      <c r="GV42" s="65">
        <v>1</v>
      </c>
      <c r="GW42" s="67"/>
    </row>
    <row r="43" spans="1:205" s="50" customFormat="1" x14ac:dyDescent="0.25">
      <c r="A43" s="65">
        <v>165</v>
      </c>
      <c r="B43" s="61" t="s">
        <v>347</v>
      </c>
      <c r="C43" s="61">
        <v>57.5</v>
      </c>
      <c r="D43" s="61" t="s">
        <v>353</v>
      </c>
      <c r="E43" s="61" t="s">
        <v>320</v>
      </c>
      <c r="F43" s="61" t="s">
        <v>282</v>
      </c>
      <c r="G43" s="61" t="s">
        <v>282</v>
      </c>
      <c r="H43" s="61" t="s">
        <v>282</v>
      </c>
      <c r="I43" s="61" t="s">
        <v>282</v>
      </c>
      <c r="J43" s="61" t="s">
        <v>282</v>
      </c>
      <c r="K43" s="61" t="s">
        <v>281</v>
      </c>
      <c r="L43" s="61" t="s">
        <v>282</v>
      </c>
      <c r="M43" s="61" t="s">
        <v>282</v>
      </c>
      <c r="N43" s="61" t="s">
        <v>282</v>
      </c>
      <c r="O43" s="65">
        <v>0</v>
      </c>
      <c r="P43" s="61"/>
      <c r="Q43" s="61"/>
      <c r="R43" s="61" t="s">
        <v>355</v>
      </c>
      <c r="S43" s="61"/>
      <c r="T43" s="61"/>
      <c r="U43" s="61" t="s">
        <v>322</v>
      </c>
      <c r="V43" s="61"/>
      <c r="W43" s="61"/>
      <c r="X43" s="61" t="s">
        <v>350</v>
      </c>
      <c r="Y43" s="65">
        <v>0</v>
      </c>
      <c r="Z43" s="61"/>
      <c r="AA43" s="61"/>
      <c r="AB43" s="61" t="s">
        <v>294</v>
      </c>
      <c r="AC43" s="61" t="s">
        <v>331</v>
      </c>
      <c r="AD43" s="65">
        <v>0</v>
      </c>
      <c r="AE43" s="61"/>
      <c r="AF43" s="61"/>
      <c r="AG43" s="61" t="s">
        <v>305</v>
      </c>
      <c r="AH43" s="98" t="s">
        <v>305</v>
      </c>
      <c r="AI43" s="97">
        <f t="shared" si="2"/>
        <v>1</v>
      </c>
      <c r="AJ43" s="61" t="s">
        <v>297</v>
      </c>
      <c r="AK43" s="65">
        <v>0</v>
      </c>
      <c r="AL43" s="61"/>
      <c r="AM43" s="61"/>
      <c r="AN43" s="65">
        <v>0</v>
      </c>
      <c r="AO43" s="61"/>
      <c r="AP43" s="61"/>
      <c r="AQ43" s="61" t="s">
        <v>299</v>
      </c>
      <c r="AR43" s="65"/>
      <c r="AS43" s="61"/>
      <c r="AT43" s="61"/>
      <c r="AU43" s="61"/>
      <c r="AV43" s="61"/>
      <c r="AW43" s="65"/>
      <c r="AX43" s="61"/>
      <c r="AY43" s="61"/>
      <c r="AZ43" s="61"/>
      <c r="BA43" s="98"/>
      <c r="BB43" s="97"/>
      <c r="BC43" s="61"/>
      <c r="BD43" s="65"/>
      <c r="BE43" s="61"/>
      <c r="BF43" s="61"/>
      <c r="BG43" s="65"/>
      <c r="BH43" s="61"/>
      <c r="BI43" s="61"/>
      <c r="BJ43" s="61"/>
      <c r="BK43" s="61"/>
      <c r="BL43" s="65"/>
      <c r="BM43" s="61"/>
      <c r="BN43" s="61"/>
      <c r="BO43" s="61"/>
      <c r="BP43" s="61"/>
      <c r="BQ43" s="65"/>
      <c r="BR43" s="61"/>
      <c r="BS43" s="61"/>
      <c r="BT43" s="65"/>
      <c r="BU43" s="61"/>
      <c r="BV43" s="61"/>
      <c r="BW43" s="65"/>
      <c r="BX43" s="61"/>
      <c r="BY43" s="61"/>
      <c r="BZ43" s="61"/>
      <c r="CA43" s="65"/>
      <c r="CB43" s="61"/>
      <c r="CC43" s="61"/>
      <c r="CD43" s="61"/>
      <c r="CE43" s="97"/>
      <c r="CF43" s="97"/>
      <c r="CG43" s="61"/>
      <c r="CH43" s="65"/>
      <c r="CI43" s="61"/>
      <c r="CJ43" s="61"/>
      <c r="CK43" s="65"/>
      <c r="CL43" s="61"/>
      <c r="CM43" s="61"/>
      <c r="CN43" s="65"/>
      <c r="CO43" s="61"/>
      <c r="CP43" s="61"/>
      <c r="CQ43" s="61"/>
      <c r="CR43" s="61"/>
      <c r="CS43" s="65"/>
      <c r="CT43" s="61"/>
      <c r="CU43" s="61"/>
      <c r="CV43" s="61"/>
      <c r="CW43" s="98"/>
      <c r="CX43" s="97"/>
      <c r="CY43" s="61"/>
      <c r="CZ43" s="65"/>
      <c r="DA43" s="61"/>
      <c r="DB43" s="61"/>
      <c r="DC43" s="65"/>
      <c r="DD43" s="61"/>
      <c r="DE43" s="61"/>
      <c r="DF43" s="65"/>
      <c r="DG43" s="61"/>
      <c r="DH43" s="61"/>
      <c r="DI43" s="61"/>
      <c r="DJ43" s="61"/>
      <c r="DK43" s="65"/>
      <c r="DL43" s="61"/>
      <c r="DM43" s="61"/>
      <c r="DN43" s="61"/>
      <c r="DO43" s="98"/>
      <c r="DP43" s="97"/>
      <c r="DQ43" s="61"/>
      <c r="DR43" s="65"/>
      <c r="DS43" s="61"/>
      <c r="DT43" s="61"/>
      <c r="DU43" s="65"/>
      <c r="DV43" s="61"/>
      <c r="DW43" s="61"/>
      <c r="DX43" s="65"/>
      <c r="DY43" s="61"/>
      <c r="DZ43" s="61"/>
      <c r="EA43" s="61"/>
      <c r="EB43" s="61"/>
      <c r="EC43" s="65"/>
      <c r="ED43" s="61"/>
      <c r="EE43" s="61"/>
      <c r="EF43" s="61"/>
      <c r="EG43" s="98"/>
      <c r="EH43" s="97"/>
      <c r="EI43" s="61"/>
      <c r="EJ43" s="65"/>
      <c r="EK43" s="61"/>
      <c r="EL43" s="61"/>
      <c r="EM43" s="61"/>
      <c r="EN43" s="61"/>
      <c r="EO43" s="61"/>
      <c r="EP43" s="65"/>
      <c r="EQ43" s="61"/>
      <c r="ER43" s="61"/>
      <c r="ES43" s="61"/>
      <c r="ET43" s="65"/>
      <c r="EU43" s="61"/>
      <c r="EV43" s="61"/>
      <c r="EW43" s="61"/>
      <c r="EX43" s="98"/>
      <c r="EY43" s="97"/>
      <c r="EZ43" s="65"/>
      <c r="FA43" s="61"/>
      <c r="FB43" s="61"/>
      <c r="FC43" s="61"/>
      <c r="FD43" s="65"/>
      <c r="FE43" s="61"/>
      <c r="FF43" s="61"/>
      <c r="FG43" s="65"/>
      <c r="FH43" s="61"/>
      <c r="FI43" s="61"/>
      <c r="FJ43" s="61"/>
      <c r="FK43" s="61"/>
      <c r="FL43" s="61"/>
      <c r="FM43" s="61"/>
      <c r="FN43" s="61"/>
      <c r="FO43" s="61"/>
      <c r="FP43" s="65"/>
      <c r="FQ43" s="61"/>
      <c r="FR43" s="61"/>
      <c r="FS43" s="61"/>
      <c r="FT43" s="49"/>
      <c r="FU43" s="61"/>
      <c r="FV43" s="61"/>
      <c r="FW43" s="61"/>
      <c r="FX43" s="65">
        <v>-1</v>
      </c>
      <c r="FY43" s="65">
        <v>-1</v>
      </c>
      <c r="FZ43" s="65">
        <v>-1</v>
      </c>
      <c r="GA43" s="65">
        <v>-1</v>
      </c>
      <c r="GB43" s="65">
        <v>-1</v>
      </c>
      <c r="GC43" s="65">
        <v>-1</v>
      </c>
      <c r="GD43" s="65"/>
      <c r="GE43" s="65"/>
      <c r="GF43" s="65"/>
      <c r="GG43" s="65"/>
      <c r="GH43" s="65"/>
      <c r="GI43" s="65"/>
      <c r="GJ43" s="65"/>
      <c r="GK43" s="65"/>
      <c r="GL43" s="65"/>
      <c r="GM43" s="65">
        <v>-6</v>
      </c>
      <c r="GN43" s="66"/>
      <c r="GO43" s="66"/>
      <c r="GP43" s="61"/>
      <c r="GQ43" s="61" t="s">
        <v>277</v>
      </c>
      <c r="GR43" s="61" t="s">
        <v>277</v>
      </c>
      <c r="GS43" s="65">
        <v>6</v>
      </c>
      <c r="GT43" s="65">
        <v>6</v>
      </c>
      <c r="GU43" s="65">
        <v>35</v>
      </c>
      <c r="GV43" s="65">
        <v>11</v>
      </c>
      <c r="GW43" s="67"/>
    </row>
    <row r="44" spans="1:205" s="48" customFormat="1" x14ac:dyDescent="0.25">
      <c r="A44" s="65">
        <v>211</v>
      </c>
      <c r="B44" s="61" t="s">
        <v>347</v>
      </c>
      <c r="C44" s="61">
        <v>57.5</v>
      </c>
      <c r="D44" s="61" t="s">
        <v>353</v>
      </c>
      <c r="E44" s="61" t="s">
        <v>377</v>
      </c>
      <c r="F44" s="61" t="s">
        <v>281</v>
      </c>
      <c r="G44" s="61" t="s">
        <v>282</v>
      </c>
      <c r="H44" s="61" t="s">
        <v>281</v>
      </c>
      <c r="I44" s="61" t="s">
        <v>282</v>
      </c>
      <c r="J44" s="61" t="s">
        <v>282</v>
      </c>
      <c r="K44" s="61" t="s">
        <v>281</v>
      </c>
      <c r="L44" s="61" t="s">
        <v>282</v>
      </c>
      <c r="M44" s="61" t="s">
        <v>282</v>
      </c>
      <c r="N44" s="61" t="s">
        <v>282</v>
      </c>
      <c r="O44" s="65">
        <v>0</v>
      </c>
      <c r="P44" s="61"/>
      <c r="Q44" s="61"/>
      <c r="R44" s="61" t="s">
        <v>355</v>
      </c>
      <c r="S44" s="61"/>
      <c r="T44" s="61"/>
      <c r="U44" s="61" t="s">
        <v>284</v>
      </c>
      <c r="V44" s="61"/>
      <c r="W44" s="61"/>
      <c r="X44" s="61" t="s">
        <v>350</v>
      </c>
      <c r="Y44" s="65">
        <v>1</v>
      </c>
      <c r="Z44" s="61" t="s">
        <v>635</v>
      </c>
      <c r="AA44" s="61"/>
      <c r="AB44" s="61" t="s">
        <v>303</v>
      </c>
      <c r="AC44" s="61" t="s">
        <v>331</v>
      </c>
      <c r="AD44" s="65">
        <v>0</v>
      </c>
      <c r="AE44" s="61"/>
      <c r="AF44" s="61"/>
      <c r="AG44" s="61" t="s">
        <v>305</v>
      </c>
      <c r="AH44" s="98" t="s">
        <v>305</v>
      </c>
      <c r="AI44" s="97">
        <f t="shared" si="2"/>
        <v>1</v>
      </c>
      <c r="AJ44" s="61" t="s">
        <v>500</v>
      </c>
      <c r="AK44" s="65">
        <v>0</v>
      </c>
      <c r="AL44" s="61"/>
      <c r="AM44" s="61"/>
      <c r="AN44" s="65">
        <v>0</v>
      </c>
      <c r="AO44" s="61"/>
      <c r="AP44" s="61"/>
      <c r="AQ44" s="61" t="s">
        <v>299</v>
      </c>
      <c r="AR44" s="65">
        <v>1</v>
      </c>
      <c r="AS44" s="61" t="s">
        <v>636</v>
      </c>
      <c r="AT44" s="61"/>
      <c r="AU44" s="61" t="s">
        <v>294</v>
      </c>
      <c r="AV44" s="61" t="s">
        <v>287</v>
      </c>
      <c r="AW44" s="65">
        <v>1</v>
      </c>
      <c r="AX44" s="61" t="s">
        <v>339</v>
      </c>
      <c r="AY44" s="61"/>
      <c r="AZ44" s="61" t="s">
        <v>288</v>
      </c>
      <c r="BA44" s="98" t="s">
        <v>840</v>
      </c>
      <c r="BB44" s="97">
        <v>1</v>
      </c>
      <c r="BC44" s="61" t="s">
        <v>287</v>
      </c>
      <c r="BD44" s="65">
        <v>1</v>
      </c>
      <c r="BE44" s="61" t="s">
        <v>339</v>
      </c>
      <c r="BF44" s="61"/>
      <c r="BG44" s="65">
        <v>0</v>
      </c>
      <c r="BH44" s="61"/>
      <c r="BI44" s="61" t="s">
        <v>299</v>
      </c>
      <c r="BJ44" s="61" t="s">
        <v>303</v>
      </c>
      <c r="BK44" s="61" t="s">
        <v>331</v>
      </c>
      <c r="BL44" s="65">
        <v>0</v>
      </c>
      <c r="BM44" s="61"/>
      <c r="BN44" s="61"/>
      <c r="BO44" s="61" t="s">
        <v>298</v>
      </c>
      <c r="BP44" s="61" t="s">
        <v>297</v>
      </c>
      <c r="BQ44" s="65">
        <v>0</v>
      </c>
      <c r="BR44" s="61"/>
      <c r="BS44" s="61"/>
      <c r="BT44" s="65">
        <v>0</v>
      </c>
      <c r="BU44" s="61"/>
      <c r="BV44" s="61" t="s">
        <v>292</v>
      </c>
      <c r="BW44" s="65">
        <v>1</v>
      </c>
      <c r="BX44" s="61" t="s">
        <v>637</v>
      </c>
      <c r="BY44" s="61" t="s">
        <v>303</v>
      </c>
      <c r="BZ44" s="61" t="s">
        <v>297</v>
      </c>
      <c r="CA44" s="65">
        <v>0</v>
      </c>
      <c r="CB44" s="61"/>
      <c r="CC44" s="61"/>
      <c r="CD44" s="61" t="s">
        <v>288</v>
      </c>
      <c r="CE44" s="97" t="s">
        <v>288</v>
      </c>
      <c r="CF44" s="97">
        <f t="shared" ref="CF44:CF51" si="3">IF(CE44=CD44,1,"")</f>
        <v>1</v>
      </c>
      <c r="CG44" s="61" t="s">
        <v>297</v>
      </c>
      <c r="CH44" s="65">
        <v>0</v>
      </c>
      <c r="CI44" s="61"/>
      <c r="CJ44" s="61"/>
      <c r="CK44" s="65">
        <v>0</v>
      </c>
      <c r="CL44" s="61"/>
      <c r="CM44" s="61" t="s">
        <v>366</v>
      </c>
      <c r="CN44" s="65">
        <v>1</v>
      </c>
      <c r="CO44" s="61" t="s">
        <v>397</v>
      </c>
      <c r="CP44" s="61"/>
      <c r="CQ44" s="61" t="s">
        <v>303</v>
      </c>
      <c r="CR44" s="61" t="s">
        <v>500</v>
      </c>
      <c r="CS44" s="65">
        <v>1</v>
      </c>
      <c r="CT44" s="61" t="s">
        <v>297</v>
      </c>
      <c r="CU44" s="61"/>
      <c r="CV44" s="61" t="s">
        <v>298</v>
      </c>
      <c r="CW44" s="98" t="s">
        <v>298</v>
      </c>
      <c r="CX44" s="97">
        <f t="shared" ref="CX44:CX51" si="4">IF(CW44=CV44,1,"")</f>
        <v>1</v>
      </c>
      <c r="CY44" s="61" t="s">
        <v>500</v>
      </c>
      <c r="CZ44" s="65">
        <v>0</v>
      </c>
      <c r="DA44" s="61"/>
      <c r="DB44" s="61"/>
      <c r="DC44" s="65">
        <v>0</v>
      </c>
      <c r="DD44" s="61"/>
      <c r="DE44" s="61" t="s">
        <v>296</v>
      </c>
      <c r="DF44" s="65">
        <v>1</v>
      </c>
      <c r="DG44" s="61" t="s">
        <v>372</v>
      </c>
      <c r="DH44" s="61"/>
      <c r="DI44" s="61" t="s">
        <v>303</v>
      </c>
      <c r="DJ44" s="61" t="s">
        <v>297</v>
      </c>
      <c r="DK44" s="65">
        <v>1</v>
      </c>
      <c r="DL44" s="61" t="s">
        <v>638</v>
      </c>
      <c r="DM44" s="61"/>
      <c r="DN44" s="61" t="s">
        <v>305</v>
      </c>
      <c r="DO44" s="98" t="s">
        <v>305</v>
      </c>
      <c r="DP44" s="97">
        <f>IF(DO44=DN44,1,"")</f>
        <v>1</v>
      </c>
      <c r="DQ44" s="61" t="s">
        <v>500</v>
      </c>
      <c r="DR44" s="65">
        <v>0</v>
      </c>
      <c r="DS44" s="61"/>
      <c r="DT44" s="61"/>
      <c r="DU44" s="65">
        <v>0</v>
      </c>
      <c r="DV44" s="61"/>
      <c r="DW44" s="61" t="s">
        <v>299</v>
      </c>
      <c r="DX44" s="65">
        <v>1</v>
      </c>
      <c r="DY44" s="61" t="s">
        <v>308</v>
      </c>
      <c r="DZ44" s="61"/>
      <c r="EA44" s="61" t="s">
        <v>303</v>
      </c>
      <c r="EB44" s="61" t="s">
        <v>331</v>
      </c>
      <c r="EC44" s="65">
        <v>0</v>
      </c>
      <c r="ED44" s="61"/>
      <c r="EE44" s="61"/>
      <c r="EF44" s="61" t="s">
        <v>298</v>
      </c>
      <c r="EG44" s="98" t="s">
        <v>305</v>
      </c>
      <c r="EH44" s="97" t="str">
        <f>IF(EG44=EF44,1,"")</f>
        <v/>
      </c>
      <c r="EI44" s="61" t="s">
        <v>331</v>
      </c>
      <c r="EJ44" s="65">
        <v>0</v>
      </c>
      <c r="EK44" s="61"/>
      <c r="EL44" s="61"/>
      <c r="EM44" s="61"/>
      <c r="EN44" s="61"/>
      <c r="EO44" s="61" t="s">
        <v>296</v>
      </c>
      <c r="EP44" s="65">
        <v>1</v>
      </c>
      <c r="EQ44" s="61" t="s">
        <v>513</v>
      </c>
      <c r="ER44" s="61" t="s">
        <v>303</v>
      </c>
      <c r="ES44" s="61" t="s">
        <v>331</v>
      </c>
      <c r="ET44" s="65">
        <v>0</v>
      </c>
      <c r="EU44" s="61"/>
      <c r="EV44" s="61"/>
      <c r="EW44" s="61" t="s">
        <v>298</v>
      </c>
      <c r="EX44" s="98" t="s">
        <v>305</v>
      </c>
      <c r="EY44" s="97" t="str">
        <f t="shared" ref="EY44:EY51" si="5">IF(EX44=EW44,1,"")</f>
        <v/>
      </c>
      <c r="EZ44" s="65">
        <v>0</v>
      </c>
      <c r="FA44" s="61"/>
      <c r="FB44" s="61"/>
      <c r="FC44" s="61"/>
      <c r="FD44" s="65">
        <v>0</v>
      </c>
      <c r="FE44" s="61"/>
      <c r="FF44" s="61" t="s">
        <v>296</v>
      </c>
      <c r="FG44" s="65">
        <v>0</v>
      </c>
      <c r="FH44" s="61"/>
      <c r="FI44" s="61"/>
      <c r="FJ44" s="61"/>
      <c r="FK44" s="61"/>
      <c r="FL44" s="61"/>
      <c r="FM44" s="61"/>
      <c r="FN44" s="61"/>
      <c r="FO44" s="61"/>
      <c r="FP44" s="65">
        <v>0</v>
      </c>
      <c r="FQ44" s="61"/>
      <c r="FR44" s="61"/>
      <c r="FS44" s="61"/>
      <c r="FT44" s="49"/>
      <c r="FU44" s="61" t="s">
        <v>317</v>
      </c>
      <c r="FV44" s="61" t="s">
        <v>639</v>
      </c>
      <c r="FW44" s="61"/>
      <c r="FX44" s="65">
        <v>-1</v>
      </c>
      <c r="FY44" s="65">
        <v>-1</v>
      </c>
      <c r="FZ44" s="65">
        <v>-1</v>
      </c>
      <c r="GA44" s="65">
        <v>-1</v>
      </c>
      <c r="GB44" s="65">
        <v>-1</v>
      </c>
      <c r="GC44" s="65">
        <v>-1</v>
      </c>
      <c r="GD44" s="65">
        <v>-1</v>
      </c>
      <c r="GE44" s="65">
        <v>-1</v>
      </c>
      <c r="GF44" s="65">
        <v>-1</v>
      </c>
      <c r="GG44" s="65">
        <v>-1</v>
      </c>
      <c r="GH44" s="65">
        <v>-1</v>
      </c>
      <c r="GI44" s="65">
        <v>-1</v>
      </c>
      <c r="GJ44" s="65">
        <v>-1</v>
      </c>
      <c r="GK44" s="65">
        <v>-1</v>
      </c>
      <c r="GL44" s="65">
        <v>-1</v>
      </c>
      <c r="GM44" s="65">
        <v>-15</v>
      </c>
      <c r="GN44" s="66"/>
      <c r="GO44" s="66"/>
      <c r="GP44" s="61" t="s">
        <v>319</v>
      </c>
      <c r="GQ44" s="61" t="s">
        <v>320</v>
      </c>
      <c r="GR44" s="61" t="s">
        <v>277</v>
      </c>
      <c r="GS44" s="65">
        <v>15</v>
      </c>
      <c r="GT44" s="65">
        <v>15</v>
      </c>
      <c r="GU44" s="65">
        <v>34</v>
      </c>
      <c r="GV44" s="65">
        <v>9</v>
      </c>
      <c r="GW44" s="67"/>
    </row>
    <row r="45" spans="1:205" s="50" customFormat="1" x14ac:dyDescent="0.25">
      <c r="A45" s="65">
        <v>219</v>
      </c>
      <c r="B45" s="61" t="s">
        <v>347</v>
      </c>
      <c r="C45" s="61">
        <v>57.5</v>
      </c>
      <c r="D45" s="61" t="s">
        <v>279</v>
      </c>
      <c r="E45" s="61" t="s">
        <v>377</v>
      </c>
      <c r="F45" s="61" t="s">
        <v>281</v>
      </c>
      <c r="G45" s="61" t="s">
        <v>282</v>
      </c>
      <c r="H45" s="61" t="s">
        <v>282</v>
      </c>
      <c r="I45" s="61" t="s">
        <v>282</v>
      </c>
      <c r="J45" s="61" t="s">
        <v>282</v>
      </c>
      <c r="K45" s="61" t="s">
        <v>281</v>
      </c>
      <c r="L45" s="61" t="s">
        <v>282</v>
      </c>
      <c r="M45" s="61" t="s">
        <v>281</v>
      </c>
      <c r="N45" s="61" t="s">
        <v>282</v>
      </c>
      <c r="O45" s="65">
        <v>0</v>
      </c>
      <c r="P45" s="61"/>
      <c r="Q45" s="61"/>
      <c r="R45" s="61" t="s">
        <v>355</v>
      </c>
      <c r="S45" s="61"/>
      <c r="T45" s="61"/>
      <c r="U45" s="61" t="s">
        <v>322</v>
      </c>
      <c r="V45" s="61"/>
      <c r="W45" s="61"/>
      <c r="X45" s="61" t="s">
        <v>350</v>
      </c>
      <c r="Y45" s="65">
        <v>1</v>
      </c>
      <c r="Z45" s="61" t="s">
        <v>374</v>
      </c>
      <c r="AA45" s="61"/>
      <c r="AB45" s="61" t="s">
        <v>303</v>
      </c>
      <c r="AC45" s="61" t="s">
        <v>331</v>
      </c>
      <c r="AD45" s="65">
        <v>0</v>
      </c>
      <c r="AE45" s="61"/>
      <c r="AF45" s="61"/>
      <c r="AG45" s="61" t="s">
        <v>305</v>
      </c>
      <c r="AH45" s="98" t="s">
        <v>305</v>
      </c>
      <c r="AI45" s="97">
        <f t="shared" si="2"/>
        <v>1</v>
      </c>
      <c r="AJ45" s="61" t="s">
        <v>331</v>
      </c>
      <c r="AK45" s="65">
        <v>0</v>
      </c>
      <c r="AL45" s="61"/>
      <c r="AM45" s="61"/>
      <c r="AN45" s="65">
        <v>0</v>
      </c>
      <c r="AO45" s="61"/>
      <c r="AP45" s="61"/>
      <c r="AQ45" s="61" t="s">
        <v>292</v>
      </c>
      <c r="AR45" s="65">
        <v>0</v>
      </c>
      <c r="AS45" s="61"/>
      <c r="AT45" s="61"/>
      <c r="AU45" s="61"/>
      <c r="AV45" s="61"/>
      <c r="AW45" s="65">
        <v>0</v>
      </c>
      <c r="AX45" s="61"/>
      <c r="AY45" s="61"/>
      <c r="AZ45" s="61"/>
      <c r="BA45" s="98"/>
      <c r="BB45" s="97"/>
      <c r="BC45" s="61"/>
      <c r="BD45" s="65">
        <v>0</v>
      </c>
      <c r="BE45" s="61"/>
      <c r="BF45" s="61"/>
      <c r="BG45" s="65">
        <v>0</v>
      </c>
      <c r="BH45" s="61"/>
      <c r="BI45" s="61"/>
      <c r="BJ45" s="61" t="s">
        <v>301</v>
      </c>
      <c r="BK45" s="61" t="s">
        <v>339</v>
      </c>
      <c r="BL45" s="65">
        <v>0</v>
      </c>
      <c r="BM45" s="61"/>
      <c r="BN45" s="61"/>
      <c r="BO45" s="61" t="s">
        <v>324</v>
      </c>
      <c r="BP45" s="61" t="s">
        <v>339</v>
      </c>
      <c r="BQ45" s="65">
        <v>0</v>
      </c>
      <c r="BR45" s="61"/>
      <c r="BS45" s="61"/>
      <c r="BT45" s="65">
        <v>0</v>
      </c>
      <c r="BU45" s="61"/>
      <c r="BV45" s="61" t="s">
        <v>292</v>
      </c>
      <c r="BW45" s="65">
        <v>1</v>
      </c>
      <c r="BX45" s="61" t="s">
        <v>663</v>
      </c>
      <c r="BY45" s="61" t="s">
        <v>294</v>
      </c>
      <c r="BZ45" s="61" t="s">
        <v>297</v>
      </c>
      <c r="CA45" s="65">
        <v>0</v>
      </c>
      <c r="CB45" s="61"/>
      <c r="CC45" s="61"/>
      <c r="CD45" s="61" t="s">
        <v>305</v>
      </c>
      <c r="CE45" s="97" t="s">
        <v>298</v>
      </c>
      <c r="CF45" s="97" t="str">
        <f t="shared" si="3"/>
        <v/>
      </c>
      <c r="CG45" s="61" t="s">
        <v>302</v>
      </c>
      <c r="CH45" s="65">
        <v>0</v>
      </c>
      <c r="CI45" s="61"/>
      <c r="CJ45" s="61"/>
      <c r="CK45" s="65">
        <v>0</v>
      </c>
      <c r="CL45" s="61"/>
      <c r="CM45" s="61" t="s">
        <v>328</v>
      </c>
      <c r="CN45" s="65">
        <v>1</v>
      </c>
      <c r="CO45" s="61" t="s">
        <v>664</v>
      </c>
      <c r="CP45" s="61"/>
      <c r="CQ45" s="61" t="s">
        <v>294</v>
      </c>
      <c r="CR45" s="61" t="s">
        <v>297</v>
      </c>
      <c r="CS45" s="65">
        <v>0</v>
      </c>
      <c r="CT45" s="61"/>
      <c r="CU45" s="61"/>
      <c r="CV45" s="61" t="s">
        <v>288</v>
      </c>
      <c r="CW45" s="98" t="s">
        <v>837</v>
      </c>
      <c r="CX45" s="97">
        <f t="shared" si="4"/>
        <v>1</v>
      </c>
      <c r="CY45" s="61" t="s">
        <v>297</v>
      </c>
      <c r="CZ45" s="65">
        <v>0</v>
      </c>
      <c r="DA45" s="61"/>
      <c r="DB45" s="61"/>
      <c r="DC45" s="65">
        <v>0</v>
      </c>
      <c r="DD45" s="61"/>
      <c r="DE45" s="61" t="s">
        <v>292</v>
      </c>
      <c r="DF45" s="65">
        <v>0</v>
      </c>
      <c r="DG45" s="61"/>
      <c r="DH45" s="61"/>
      <c r="DI45" s="61"/>
      <c r="DJ45" s="61"/>
      <c r="DK45" s="65">
        <v>0</v>
      </c>
      <c r="DL45" s="61"/>
      <c r="DM45" s="61"/>
      <c r="DN45" s="61"/>
      <c r="DO45" s="98"/>
      <c r="DP45" s="97"/>
      <c r="DQ45" s="61"/>
      <c r="DR45" s="65">
        <v>0</v>
      </c>
      <c r="DS45" s="61"/>
      <c r="DT45" s="61"/>
      <c r="DU45" s="65">
        <v>0</v>
      </c>
      <c r="DV45" s="61"/>
      <c r="DW45" s="61"/>
      <c r="DX45" s="65">
        <v>1</v>
      </c>
      <c r="DY45" s="61" t="s">
        <v>411</v>
      </c>
      <c r="DZ45" s="61"/>
      <c r="EA45" s="61" t="s">
        <v>294</v>
      </c>
      <c r="EB45" s="61" t="s">
        <v>331</v>
      </c>
      <c r="EC45" s="65">
        <v>0</v>
      </c>
      <c r="ED45" s="61"/>
      <c r="EE45" s="61"/>
      <c r="EF45" s="61" t="s">
        <v>305</v>
      </c>
      <c r="EG45" s="98" t="s">
        <v>305</v>
      </c>
      <c r="EH45" s="97">
        <f>IF(EG45=EF45,1,"")</f>
        <v>1</v>
      </c>
      <c r="EI45" s="61" t="s">
        <v>331</v>
      </c>
      <c r="EJ45" s="65">
        <v>0</v>
      </c>
      <c r="EK45" s="61"/>
      <c r="EL45" s="61"/>
      <c r="EM45" s="61"/>
      <c r="EN45" s="61"/>
      <c r="EO45" s="61" t="s">
        <v>292</v>
      </c>
      <c r="EP45" s="65">
        <v>1</v>
      </c>
      <c r="EQ45" s="61" t="s">
        <v>384</v>
      </c>
      <c r="ER45" s="61" t="s">
        <v>301</v>
      </c>
      <c r="ES45" s="61" t="s">
        <v>297</v>
      </c>
      <c r="ET45" s="65">
        <v>0</v>
      </c>
      <c r="EU45" s="61"/>
      <c r="EV45" s="61"/>
      <c r="EW45" s="61" t="s">
        <v>288</v>
      </c>
      <c r="EX45" s="98" t="s">
        <v>288</v>
      </c>
      <c r="EY45" s="97">
        <f t="shared" si="5"/>
        <v>1</v>
      </c>
      <c r="EZ45" s="65">
        <v>0</v>
      </c>
      <c r="FA45" s="61"/>
      <c r="FB45" s="61"/>
      <c r="FC45" s="61"/>
      <c r="FD45" s="65">
        <v>0</v>
      </c>
      <c r="FE45" s="61"/>
      <c r="FF45" s="61" t="s">
        <v>328</v>
      </c>
      <c r="FG45" s="65">
        <v>0</v>
      </c>
      <c r="FH45" s="61"/>
      <c r="FI45" s="61"/>
      <c r="FJ45" s="61"/>
      <c r="FK45" s="61"/>
      <c r="FL45" s="61"/>
      <c r="FM45" s="61"/>
      <c r="FN45" s="61"/>
      <c r="FO45" s="61"/>
      <c r="FP45" s="65">
        <v>0</v>
      </c>
      <c r="FQ45" s="61"/>
      <c r="FR45" s="61"/>
      <c r="FS45" s="61"/>
      <c r="FT45" s="49"/>
      <c r="FU45" s="61" t="s">
        <v>351</v>
      </c>
      <c r="FV45" s="61" t="s">
        <v>665</v>
      </c>
      <c r="FW45" s="61"/>
      <c r="FX45" s="65">
        <v>-1</v>
      </c>
      <c r="FY45" s="65">
        <v>-1</v>
      </c>
      <c r="FZ45" s="65">
        <v>-1</v>
      </c>
      <c r="GA45" s="65">
        <v>-1</v>
      </c>
      <c r="GB45" s="65">
        <v>-1</v>
      </c>
      <c r="GC45" s="65">
        <v>-1</v>
      </c>
      <c r="GD45" s="65">
        <v>-1</v>
      </c>
      <c r="GE45" s="65">
        <v>-1</v>
      </c>
      <c r="GF45" s="65">
        <v>-1</v>
      </c>
      <c r="GG45" s="65">
        <v>-1</v>
      </c>
      <c r="GH45" s="65">
        <v>-1</v>
      </c>
      <c r="GI45" s="65">
        <v>-1</v>
      </c>
      <c r="GJ45" s="65">
        <v>-1</v>
      </c>
      <c r="GK45" s="65">
        <v>-1</v>
      </c>
      <c r="GL45" s="65">
        <v>-1</v>
      </c>
      <c r="GM45" s="65">
        <v>-15</v>
      </c>
      <c r="GN45" s="66"/>
      <c r="GO45" s="66"/>
      <c r="GP45" s="61"/>
      <c r="GQ45" s="61" t="s">
        <v>320</v>
      </c>
      <c r="GR45" s="61" t="s">
        <v>277</v>
      </c>
      <c r="GS45" s="65">
        <v>15</v>
      </c>
      <c r="GT45" s="65">
        <v>15</v>
      </c>
      <c r="GU45" s="65">
        <v>53</v>
      </c>
      <c r="GV45" s="65">
        <v>29</v>
      </c>
      <c r="GW45" s="67"/>
    </row>
    <row r="46" spans="1:205" s="70" customFormat="1" ht="13.8" thickBot="1" x14ac:dyDescent="0.3">
      <c r="A46" s="13">
        <v>241</v>
      </c>
      <c r="B46" s="21" t="s">
        <v>347</v>
      </c>
      <c r="C46" s="21">
        <v>57.5</v>
      </c>
      <c r="D46" s="14" t="s">
        <v>353</v>
      </c>
      <c r="E46" s="14" t="s">
        <v>422</v>
      </c>
      <c r="F46" s="14" t="s">
        <v>281</v>
      </c>
      <c r="G46" s="14" t="s">
        <v>282</v>
      </c>
      <c r="H46" s="14" t="s">
        <v>282</v>
      </c>
      <c r="I46" s="14" t="s">
        <v>282</v>
      </c>
      <c r="J46" s="14" t="s">
        <v>282</v>
      </c>
      <c r="K46" s="14" t="s">
        <v>281</v>
      </c>
      <c r="L46" s="14" t="s">
        <v>282</v>
      </c>
      <c r="M46" s="14" t="s">
        <v>282</v>
      </c>
      <c r="N46" s="14" t="s">
        <v>282</v>
      </c>
      <c r="O46" s="13">
        <v>0</v>
      </c>
      <c r="P46" s="14"/>
      <c r="Q46" s="14"/>
      <c r="R46" s="14" t="s">
        <v>355</v>
      </c>
      <c r="S46" s="14"/>
      <c r="T46" s="14"/>
      <c r="U46" s="14" t="s">
        <v>710</v>
      </c>
      <c r="V46" s="14"/>
      <c r="W46" s="14"/>
      <c r="X46" s="14" t="s">
        <v>350</v>
      </c>
      <c r="Y46" s="13">
        <v>1</v>
      </c>
      <c r="Z46" s="14" t="s">
        <v>711</v>
      </c>
      <c r="AA46" s="14"/>
      <c r="AB46" s="14" t="s">
        <v>294</v>
      </c>
      <c r="AC46" s="14" t="s">
        <v>331</v>
      </c>
      <c r="AD46" s="13">
        <v>0</v>
      </c>
      <c r="AE46" s="14"/>
      <c r="AF46" s="14"/>
      <c r="AG46" s="14" t="s">
        <v>305</v>
      </c>
      <c r="AH46" s="98" t="s">
        <v>305</v>
      </c>
      <c r="AI46" s="97">
        <f t="shared" si="2"/>
        <v>1</v>
      </c>
      <c r="AJ46" s="14" t="s">
        <v>331</v>
      </c>
      <c r="AK46" s="13">
        <v>0</v>
      </c>
      <c r="AL46" s="14"/>
      <c r="AM46" s="14"/>
      <c r="AN46" s="13">
        <v>1</v>
      </c>
      <c r="AO46" s="14" t="s">
        <v>712</v>
      </c>
      <c r="AP46" s="14"/>
      <c r="AQ46" s="14" t="s">
        <v>366</v>
      </c>
      <c r="AR46" s="13">
        <v>1</v>
      </c>
      <c r="AS46" s="14" t="s">
        <v>293</v>
      </c>
      <c r="AT46" s="14"/>
      <c r="AU46" s="14" t="s">
        <v>301</v>
      </c>
      <c r="AV46" s="14" t="s">
        <v>297</v>
      </c>
      <c r="AW46" s="13">
        <v>0</v>
      </c>
      <c r="AX46" s="14"/>
      <c r="AY46" s="14"/>
      <c r="AZ46" s="14" t="s">
        <v>288</v>
      </c>
      <c r="BA46" s="99" t="s">
        <v>840</v>
      </c>
      <c r="BB46" s="97">
        <v>1</v>
      </c>
      <c r="BC46" s="14" t="s">
        <v>302</v>
      </c>
      <c r="BD46" s="13">
        <v>0</v>
      </c>
      <c r="BE46" s="14"/>
      <c r="BF46" s="14"/>
      <c r="BG46" s="13">
        <v>1</v>
      </c>
      <c r="BH46" s="14" t="s">
        <v>713</v>
      </c>
      <c r="BI46" s="14" t="s">
        <v>292</v>
      </c>
      <c r="BJ46" s="14" t="s">
        <v>303</v>
      </c>
      <c r="BK46" s="14" t="s">
        <v>331</v>
      </c>
      <c r="BL46" s="13">
        <v>1</v>
      </c>
      <c r="BM46" s="14" t="s">
        <v>714</v>
      </c>
      <c r="BN46" s="14"/>
      <c r="BO46" s="14" t="s">
        <v>298</v>
      </c>
      <c r="BP46" s="14" t="s">
        <v>331</v>
      </c>
      <c r="BQ46" s="13">
        <v>0</v>
      </c>
      <c r="BR46" s="14"/>
      <c r="BS46" s="14"/>
      <c r="BT46" s="13">
        <v>0</v>
      </c>
      <c r="BU46" s="14"/>
      <c r="BV46" s="14" t="s">
        <v>296</v>
      </c>
      <c r="BW46" s="13">
        <v>1</v>
      </c>
      <c r="BX46" s="14" t="s">
        <v>405</v>
      </c>
      <c r="BY46" s="14" t="s">
        <v>294</v>
      </c>
      <c r="BZ46" s="14" t="s">
        <v>297</v>
      </c>
      <c r="CA46" s="13">
        <v>0</v>
      </c>
      <c r="CB46" s="14"/>
      <c r="CC46" s="14"/>
      <c r="CD46" s="14" t="s">
        <v>288</v>
      </c>
      <c r="CE46" s="97" t="s">
        <v>288</v>
      </c>
      <c r="CF46" s="97">
        <f t="shared" si="3"/>
        <v>1</v>
      </c>
      <c r="CG46" s="14" t="s">
        <v>302</v>
      </c>
      <c r="CH46" s="13">
        <v>0</v>
      </c>
      <c r="CI46" s="14"/>
      <c r="CJ46" s="14"/>
      <c r="CK46" s="13">
        <v>0</v>
      </c>
      <c r="CL46" s="14"/>
      <c r="CM46" s="14" t="s">
        <v>299</v>
      </c>
      <c r="CN46" s="13">
        <v>1</v>
      </c>
      <c r="CO46" s="14" t="s">
        <v>359</v>
      </c>
      <c r="CP46" s="14"/>
      <c r="CQ46" s="14" t="s">
        <v>294</v>
      </c>
      <c r="CR46" s="14" t="s">
        <v>297</v>
      </c>
      <c r="CS46" s="13">
        <v>0</v>
      </c>
      <c r="CT46" s="14"/>
      <c r="CU46" s="14"/>
      <c r="CV46" s="14" t="s">
        <v>305</v>
      </c>
      <c r="CW46" s="98" t="s">
        <v>305</v>
      </c>
      <c r="CX46" s="97">
        <f t="shared" si="4"/>
        <v>1</v>
      </c>
      <c r="CY46" s="14" t="s">
        <v>331</v>
      </c>
      <c r="CZ46" s="13">
        <v>0</v>
      </c>
      <c r="DA46" s="14"/>
      <c r="DB46" s="14"/>
      <c r="DC46" s="13">
        <v>1</v>
      </c>
      <c r="DD46" s="14" t="s">
        <v>715</v>
      </c>
      <c r="DE46" s="14" t="s">
        <v>296</v>
      </c>
      <c r="DF46" s="13">
        <v>0</v>
      </c>
      <c r="DG46" s="14"/>
      <c r="DH46" s="14"/>
      <c r="DI46" s="14"/>
      <c r="DJ46" s="14"/>
      <c r="DK46" s="13">
        <v>0</v>
      </c>
      <c r="DL46" s="14"/>
      <c r="DM46" s="14"/>
      <c r="DN46" s="14"/>
      <c r="DO46" s="98"/>
      <c r="DP46" s="97"/>
      <c r="DQ46" s="14"/>
      <c r="DR46" s="13">
        <v>0</v>
      </c>
      <c r="DS46" s="14"/>
      <c r="DT46" s="14"/>
      <c r="DU46" s="13">
        <v>0</v>
      </c>
      <c r="DV46" s="14"/>
      <c r="DW46" s="14"/>
      <c r="DX46" s="13">
        <v>1</v>
      </c>
      <c r="DY46" s="14" t="s">
        <v>512</v>
      </c>
      <c r="DZ46" s="14"/>
      <c r="EA46" s="14" t="s">
        <v>303</v>
      </c>
      <c r="EB46" s="14" t="s">
        <v>331</v>
      </c>
      <c r="EC46" s="13">
        <v>0</v>
      </c>
      <c r="ED46" s="14"/>
      <c r="EE46" s="14"/>
      <c r="EF46" s="14" t="s">
        <v>298</v>
      </c>
      <c r="EG46" s="98" t="s">
        <v>298</v>
      </c>
      <c r="EH46" s="97"/>
      <c r="EI46" s="14" t="s">
        <v>331</v>
      </c>
      <c r="EJ46" s="13">
        <v>0</v>
      </c>
      <c r="EK46" s="14"/>
      <c r="EL46" s="14"/>
      <c r="EM46" s="14" t="s">
        <v>716</v>
      </c>
      <c r="EN46" s="14"/>
      <c r="EO46" s="14" t="s">
        <v>366</v>
      </c>
      <c r="EP46" s="13">
        <v>1</v>
      </c>
      <c r="EQ46" s="14" t="s">
        <v>374</v>
      </c>
      <c r="ER46" s="14" t="s">
        <v>294</v>
      </c>
      <c r="ES46" s="14" t="s">
        <v>331</v>
      </c>
      <c r="ET46" s="13">
        <v>0</v>
      </c>
      <c r="EU46" s="14"/>
      <c r="EV46" s="14"/>
      <c r="EW46" s="14" t="s">
        <v>305</v>
      </c>
      <c r="EX46" s="98" t="s">
        <v>305</v>
      </c>
      <c r="EY46" s="97">
        <f t="shared" si="5"/>
        <v>1</v>
      </c>
      <c r="EZ46" s="13">
        <v>0</v>
      </c>
      <c r="FA46" s="14"/>
      <c r="FB46" s="14"/>
      <c r="FC46" s="14"/>
      <c r="FD46" s="13">
        <v>1</v>
      </c>
      <c r="FE46" s="14" t="s">
        <v>717</v>
      </c>
      <c r="FF46" s="14" t="s">
        <v>366</v>
      </c>
      <c r="FG46" s="13">
        <v>1</v>
      </c>
      <c r="FH46" s="14" t="s">
        <v>718</v>
      </c>
      <c r="FI46" s="14"/>
      <c r="FJ46" s="14"/>
      <c r="FK46" s="14"/>
      <c r="FL46" s="14" t="s">
        <v>397</v>
      </c>
      <c r="FM46" s="14" t="s">
        <v>719</v>
      </c>
      <c r="FN46" s="14"/>
      <c r="FO46" s="14"/>
      <c r="FP46" s="13">
        <v>1</v>
      </c>
      <c r="FQ46" s="14" t="s">
        <v>720</v>
      </c>
      <c r="FR46" s="14"/>
      <c r="FS46" s="14"/>
      <c r="FT46" s="17"/>
      <c r="FU46" s="14" t="s">
        <v>335</v>
      </c>
      <c r="FV46" s="14" t="s">
        <v>721</v>
      </c>
      <c r="FW46" s="14"/>
      <c r="FX46" s="13">
        <v>-1</v>
      </c>
      <c r="FY46" s="13">
        <v>-1</v>
      </c>
      <c r="FZ46" s="13">
        <v>-1</v>
      </c>
      <c r="GA46" s="13">
        <v>-1</v>
      </c>
      <c r="GB46" s="13">
        <v>-1</v>
      </c>
      <c r="GC46" s="13">
        <v>-1</v>
      </c>
      <c r="GD46" s="13">
        <v>-1</v>
      </c>
      <c r="GE46" s="13">
        <v>-1</v>
      </c>
      <c r="GF46" s="13">
        <v>-1</v>
      </c>
      <c r="GG46" s="13">
        <v>-1</v>
      </c>
      <c r="GH46" s="13">
        <v>-1</v>
      </c>
      <c r="GI46" s="13">
        <v>-1</v>
      </c>
      <c r="GJ46" s="13">
        <v>-1</v>
      </c>
      <c r="GK46" s="13">
        <v>-1</v>
      </c>
      <c r="GL46" s="13">
        <v>-1</v>
      </c>
      <c r="GM46" s="13">
        <v>-15</v>
      </c>
      <c r="GN46" s="15"/>
      <c r="GO46" s="15"/>
      <c r="GP46" s="14" t="s">
        <v>319</v>
      </c>
      <c r="GQ46" s="14" t="s">
        <v>320</v>
      </c>
      <c r="GR46" s="14" t="s">
        <v>277</v>
      </c>
      <c r="GS46" s="13">
        <v>15</v>
      </c>
      <c r="GT46" s="13">
        <v>15</v>
      </c>
      <c r="GU46" s="13">
        <v>34</v>
      </c>
      <c r="GV46" s="13">
        <v>14</v>
      </c>
      <c r="GW46" s="16"/>
    </row>
    <row r="47" spans="1:205" s="49" customFormat="1" x14ac:dyDescent="0.25">
      <c r="A47" s="38">
        <v>204</v>
      </c>
      <c r="B47" s="39" t="s">
        <v>347</v>
      </c>
      <c r="C47" s="39">
        <v>57.5</v>
      </c>
      <c r="D47" s="39" t="s">
        <v>279</v>
      </c>
      <c r="E47" s="39" t="s">
        <v>377</v>
      </c>
      <c r="F47" s="39" t="s">
        <v>281</v>
      </c>
      <c r="G47" s="39" t="s">
        <v>281</v>
      </c>
      <c r="H47" s="39" t="s">
        <v>282</v>
      </c>
      <c r="I47" s="39" t="s">
        <v>282</v>
      </c>
      <c r="J47" s="39" t="s">
        <v>282</v>
      </c>
      <c r="K47" s="39" t="s">
        <v>281</v>
      </c>
      <c r="L47" s="39" t="s">
        <v>282</v>
      </c>
      <c r="M47" s="39" t="s">
        <v>282</v>
      </c>
      <c r="N47" s="39" t="s">
        <v>282</v>
      </c>
      <c r="O47" s="38">
        <v>0</v>
      </c>
      <c r="P47" s="39"/>
      <c r="Q47" s="39"/>
      <c r="R47" s="39" t="s">
        <v>423</v>
      </c>
      <c r="S47" s="39"/>
      <c r="T47" s="39"/>
      <c r="U47" s="39"/>
      <c r="V47" s="39" t="s">
        <v>280</v>
      </c>
      <c r="W47" s="40" t="s">
        <v>424</v>
      </c>
      <c r="X47" s="39" t="s">
        <v>350</v>
      </c>
      <c r="Y47" s="38">
        <v>1</v>
      </c>
      <c r="Z47" s="39" t="s">
        <v>585</v>
      </c>
      <c r="AA47" s="39"/>
      <c r="AB47" s="39" t="s">
        <v>310</v>
      </c>
      <c r="AC47" s="39" t="s">
        <v>297</v>
      </c>
      <c r="AD47" s="38">
        <v>0</v>
      </c>
      <c r="AE47" s="39"/>
      <c r="AF47" s="39"/>
      <c r="AG47" s="39" t="s">
        <v>288</v>
      </c>
      <c r="AH47" s="98" t="s">
        <v>305</v>
      </c>
      <c r="AI47" s="97" t="str">
        <f t="shared" si="2"/>
        <v/>
      </c>
      <c r="AJ47" s="39" t="s">
        <v>287</v>
      </c>
      <c r="AK47" s="38">
        <v>0</v>
      </c>
      <c r="AL47" s="39"/>
      <c r="AM47" s="39"/>
      <c r="AN47" s="38">
        <v>1</v>
      </c>
      <c r="AO47" s="39" t="s">
        <v>586</v>
      </c>
      <c r="AP47" s="39"/>
      <c r="AQ47" s="39" t="s">
        <v>328</v>
      </c>
      <c r="AR47" s="38">
        <v>1</v>
      </c>
      <c r="AS47" s="39" t="s">
        <v>405</v>
      </c>
      <c r="AT47" s="39"/>
      <c r="AU47" s="39" t="s">
        <v>294</v>
      </c>
      <c r="AV47" s="39" t="s">
        <v>287</v>
      </c>
      <c r="AW47" s="38">
        <v>0</v>
      </c>
      <c r="AX47" s="39"/>
      <c r="AY47" s="39"/>
      <c r="AZ47" s="39" t="s">
        <v>288</v>
      </c>
      <c r="BA47" s="98" t="s">
        <v>324</v>
      </c>
      <c r="BB47" s="97" t="str">
        <f>IF(BA47=AZ47,1,"")</f>
        <v/>
      </c>
      <c r="BC47" s="39" t="s">
        <v>287</v>
      </c>
      <c r="BD47" s="38">
        <v>0</v>
      </c>
      <c r="BE47" s="39"/>
      <c r="BF47" s="39"/>
      <c r="BG47" s="38">
        <v>0</v>
      </c>
      <c r="BH47" s="39"/>
      <c r="BI47" s="39" t="s">
        <v>328</v>
      </c>
      <c r="BJ47" s="39" t="s">
        <v>303</v>
      </c>
      <c r="BK47" s="39" t="s">
        <v>297</v>
      </c>
      <c r="BL47" s="38">
        <v>1</v>
      </c>
      <c r="BM47" s="39" t="s">
        <v>339</v>
      </c>
      <c r="BN47" s="39"/>
      <c r="BO47" s="39" t="s">
        <v>324</v>
      </c>
      <c r="BP47" s="39" t="s">
        <v>339</v>
      </c>
      <c r="BQ47" s="38">
        <v>0</v>
      </c>
      <c r="BR47" s="39"/>
      <c r="BS47" s="39"/>
      <c r="BT47" s="38">
        <v>1</v>
      </c>
      <c r="BU47" s="39" t="s">
        <v>587</v>
      </c>
      <c r="BV47" s="39" t="s">
        <v>296</v>
      </c>
      <c r="BW47" s="38">
        <v>1</v>
      </c>
      <c r="BX47" s="39" t="s">
        <v>588</v>
      </c>
      <c r="BY47" s="39" t="s">
        <v>303</v>
      </c>
      <c r="BZ47" s="39" t="s">
        <v>297</v>
      </c>
      <c r="CA47" s="38">
        <v>0</v>
      </c>
      <c r="CB47" s="39"/>
      <c r="CC47" s="39"/>
      <c r="CD47" s="39" t="s">
        <v>288</v>
      </c>
      <c r="CE47" s="97" t="s">
        <v>288</v>
      </c>
      <c r="CF47" s="97">
        <f t="shared" si="3"/>
        <v>1</v>
      </c>
      <c r="CG47" s="39" t="s">
        <v>287</v>
      </c>
      <c r="CH47" s="38">
        <v>0</v>
      </c>
      <c r="CI47" s="39"/>
      <c r="CJ47" s="39"/>
      <c r="CK47" s="38">
        <v>0</v>
      </c>
      <c r="CL47" s="39"/>
      <c r="CM47" s="39" t="s">
        <v>296</v>
      </c>
      <c r="CN47" s="38">
        <v>1</v>
      </c>
      <c r="CO47" s="39" t="s">
        <v>589</v>
      </c>
      <c r="CP47" s="39"/>
      <c r="CQ47" s="39" t="s">
        <v>303</v>
      </c>
      <c r="CR47" s="39" t="s">
        <v>297</v>
      </c>
      <c r="CS47" s="38">
        <v>1</v>
      </c>
      <c r="CT47" s="39" t="s">
        <v>590</v>
      </c>
      <c r="CU47" s="39"/>
      <c r="CV47" s="39" t="s">
        <v>305</v>
      </c>
      <c r="CW47" s="98" t="s">
        <v>305</v>
      </c>
      <c r="CX47" s="97">
        <f t="shared" si="4"/>
        <v>1</v>
      </c>
      <c r="CY47" s="39" t="s">
        <v>287</v>
      </c>
      <c r="CZ47" s="38">
        <v>0</v>
      </c>
      <c r="DA47" s="39"/>
      <c r="DB47" s="39"/>
      <c r="DC47" s="38">
        <v>0</v>
      </c>
      <c r="DD47" s="39"/>
      <c r="DE47" s="39" t="s">
        <v>296</v>
      </c>
      <c r="DF47" s="38">
        <v>1</v>
      </c>
      <c r="DG47" s="39" t="s">
        <v>591</v>
      </c>
      <c r="DH47" s="39"/>
      <c r="DI47" s="39" t="s">
        <v>303</v>
      </c>
      <c r="DJ47" s="39" t="s">
        <v>331</v>
      </c>
      <c r="DK47" s="38">
        <v>0</v>
      </c>
      <c r="DL47" s="39"/>
      <c r="DM47" s="39"/>
      <c r="DN47" s="39" t="s">
        <v>298</v>
      </c>
      <c r="DO47" s="98" t="s">
        <v>298</v>
      </c>
      <c r="DP47" s="97">
        <f>IF(DO47=DN47,1,"")</f>
        <v>1</v>
      </c>
      <c r="DQ47" s="39" t="s">
        <v>331</v>
      </c>
      <c r="DR47" s="38">
        <v>0</v>
      </c>
      <c r="DS47" s="39"/>
      <c r="DT47" s="39"/>
      <c r="DU47" s="38">
        <v>1</v>
      </c>
      <c r="DV47" s="39" t="s">
        <v>406</v>
      </c>
      <c r="DW47" s="39" t="s">
        <v>296</v>
      </c>
      <c r="DX47" s="38">
        <v>1</v>
      </c>
      <c r="DY47" s="39" t="s">
        <v>592</v>
      </c>
      <c r="DZ47" s="39"/>
      <c r="EA47" s="39" t="s">
        <v>303</v>
      </c>
      <c r="EB47" s="39" t="s">
        <v>331</v>
      </c>
      <c r="EC47" s="38">
        <v>0</v>
      </c>
      <c r="ED47" s="39"/>
      <c r="EE47" s="39"/>
      <c r="EF47" s="39" t="s">
        <v>298</v>
      </c>
      <c r="EG47" s="98" t="s">
        <v>298</v>
      </c>
      <c r="EH47" s="97">
        <f>IF(EG47=EF47,1,"")</f>
        <v>1</v>
      </c>
      <c r="EI47" s="39" t="s">
        <v>331</v>
      </c>
      <c r="EJ47" s="38">
        <v>0</v>
      </c>
      <c r="EK47" s="39"/>
      <c r="EL47" s="39"/>
      <c r="EM47" s="39" t="s">
        <v>593</v>
      </c>
      <c r="EN47" s="39"/>
      <c r="EO47" s="39" t="s">
        <v>296</v>
      </c>
      <c r="EP47" s="38">
        <v>1</v>
      </c>
      <c r="EQ47" s="39" t="s">
        <v>594</v>
      </c>
      <c r="ER47" s="39" t="s">
        <v>303</v>
      </c>
      <c r="ES47" s="39" t="s">
        <v>331</v>
      </c>
      <c r="ET47" s="38">
        <v>1</v>
      </c>
      <c r="EU47" s="39" t="s">
        <v>287</v>
      </c>
      <c r="EV47" s="39"/>
      <c r="EW47" s="39" t="s">
        <v>305</v>
      </c>
      <c r="EX47" s="98" t="s">
        <v>288</v>
      </c>
      <c r="EY47" s="97" t="str">
        <f t="shared" si="5"/>
        <v/>
      </c>
      <c r="EZ47" s="38">
        <v>1</v>
      </c>
      <c r="FA47" s="39" t="s">
        <v>467</v>
      </c>
      <c r="FB47" s="39"/>
      <c r="FC47" s="39" t="s">
        <v>593</v>
      </c>
      <c r="FD47" s="38">
        <v>1</v>
      </c>
      <c r="FE47" s="39" t="s">
        <v>406</v>
      </c>
      <c r="FF47" s="39" t="s">
        <v>296</v>
      </c>
      <c r="FG47" s="38">
        <v>2</v>
      </c>
      <c r="FH47" s="39" t="s">
        <v>595</v>
      </c>
      <c r="FI47" s="39" t="s">
        <v>596</v>
      </c>
      <c r="FJ47" s="39"/>
      <c r="FK47" s="39"/>
      <c r="FL47" s="39" t="s">
        <v>597</v>
      </c>
      <c r="FM47" s="39" t="s">
        <v>598</v>
      </c>
      <c r="FN47" s="39"/>
      <c r="FO47" s="39"/>
      <c r="FP47" s="38">
        <v>1</v>
      </c>
      <c r="FQ47" s="39" t="s">
        <v>599</v>
      </c>
      <c r="FR47" s="39"/>
      <c r="FS47" s="39"/>
      <c r="FT47" s="40"/>
      <c r="FU47" s="39" t="s">
        <v>317</v>
      </c>
      <c r="FV47" s="39" t="s">
        <v>600</v>
      </c>
      <c r="FW47" s="39"/>
      <c r="FX47" s="38">
        <v>-1</v>
      </c>
      <c r="FY47" s="38">
        <v>-1</v>
      </c>
      <c r="FZ47" s="38">
        <v>-1</v>
      </c>
      <c r="GA47" s="38">
        <v>-1</v>
      </c>
      <c r="GB47" s="38">
        <v>-1</v>
      </c>
      <c r="GC47" s="38">
        <v>-1</v>
      </c>
      <c r="GD47" s="38">
        <v>-1</v>
      </c>
      <c r="GE47" s="38">
        <v>-1</v>
      </c>
      <c r="GF47" s="38">
        <v>-1</v>
      </c>
      <c r="GG47" s="38">
        <v>-1</v>
      </c>
      <c r="GH47" s="38">
        <v>-1</v>
      </c>
      <c r="GI47" s="38">
        <v>-1</v>
      </c>
      <c r="GJ47" s="38">
        <v>-1</v>
      </c>
      <c r="GK47" s="38">
        <v>-1</v>
      </c>
      <c r="GL47" s="38">
        <v>-1</v>
      </c>
      <c r="GM47" s="38">
        <v>-15</v>
      </c>
      <c r="GN47" s="41"/>
      <c r="GO47" s="41"/>
      <c r="GP47" s="39" t="s">
        <v>319</v>
      </c>
      <c r="GQ47" s="39" t="s">
        <v>320</v>
      </c>
      <c r="GR47" s="39" t="s">
        <v>277</v>
      </c>
      <c r="GS47" s="38">
        <v>15</v>
      </c>
      <c r="GT47" s="38">
        <v>15</v>
      </c>
      <c r="GU47" s="38">
        <v>23</v>
      </c>
      <c r="GV47" s="38">
        <v>5</v>
      </c>
      <c r="GW47" s="42"/>
    </row>
    <row r="48" spans="1:205" s="49" customFormat="1" x14ac:dyDescent="0.25">
      <c r="A48" s="38">
        <v>205</v>
      </c>
      <c r="B48" s="39" t="s">
        <v>347</v>
      </c>
      <c r="C48" s="39">
        <v>57.5</v>
      </c>
      <c r="D48" s="39" t="s">
        <v>353</v>
      </c>
      <c r="E48" s="39" t="s">
        <v>377</v>
      </c>
      <c r="F48" s="39" t="s">
        <v>281</v>
      </c>
      <c r="G48" s="39" t="s">
        <v>281</v>
      </c>
      <c r="H48" s="39" t="s">
        <v>282</v>
      </c>
      <c r="I48" s="39" t="s">
        <v>282</v>
      </c>
      <c r="J48" s="39" t="s">
        <v>282</v>
      </c>
      <c r="K48" s="39" t="s">
        <v>281</v>
      </c>
      <c r="L48" s="39" t="s">
        <v>282</v>
      </c>
      <c r="M48" s="39" t="s">
        <v>282</v>
      </c>
      <c r="N48" s="39" t="s">
        <v>282</v>
      </c>
      <c r="O48" s="38">
        <v>0</v>
      </c>
      <c r="P48" s="39"/>
      <c r="Q48" s="39"/>
      <c r="R48" s="39" t="s">
        <v>423</v>
      </c>
      <c r="S48" s="39"/>
      <c r="T48" s="39"/>
      <c r="U48" s="39"/>
      <c r="V48" s="39"/>
      <c r="W48" s="40" t="s">
        <v>424</v>
      </c>
      <c r="X48" s="39" t="s">
        <v>350</v>
      </c>
      <c r="Y48" s="38">
        <v>1</v>
      </c>
      <c r="Z48" s="39" t="s">
        <v>585</v>
      </c>
      <c r="AA48" s="39"/>
      <c r="AB48" s="39" t="s">
        <v>294</v>
      </c>
      <c r="AC48" s="39" t="s">
        <v>521</v>
      </c>
      <c r="AD48" s="38">
        <v>0</v>
      </c>
      <c r="AE48" s="39"/>
      <c r="AF48" s="39"/>
      <c r="AG48" s="39" t="s">
        <v>305</v>
      </c>
      <c r="AH48" s="98" t="s">
        <v>305</v>
      </c>
      <c r="AI48" s="97">
        <f t="shared" si="2"/>
        <v>1</v>
      </c>
      <c r="AJ48" s="39" t="s">
        <v>302</v>
      </c>
      <c r="AK48" s="38">
        <v>0</v>
      </c>
      <c r="AL48" s="39"/>
      <c r="AM48" s="39"/>
      <c r="AN48" s="38">
        <v>0</v>
      </c>
      <c r="AO48" s="39"/>
      <c r="AP48" s="39"/>
      <c r="AQ48" s="39" t="s">
        <v>299</v>
      </c>
      <c r="AR48" s="38">
        <v>1</v>
      </c>
      <c r="AS48" s="39" t="s">
        <v>405</v>
      </c>
      <c r="AT48" s="39"/>
      <c r="AU48" s="39" t="s">
        <v>303</v>
      </c>
      <c r="AV48" s="39" t="s">
        <v>287</v>
      </c>
      <c r="AW48" s="38">
        <v>0</v>
      </c>
      <c r="AX48" s="39"/>
      <c r="AY48" s="39"/>
      <c r="AZ48" s="39" t="s">
        <v>305</v>
      </c>
      <c r="BA48" s="98" t="s">
        <v>324</v>
      </c>
      <c r="BB48" s="97" t="str">
        <f>IF(BA48=AZ48,1,"")</f>
        <v/>
      </c>
      <c r="BC48" s="39" t="s">
        <v>287</v>
      </c>
      <c r="BD48" s="38">
        <v>0</v>
      </c>
      <c r="BE48" s="39"/>
      <c r="BF48" s="39"/>
      <c r="BG48" s="38">
        <v>0</v>
      </c>
      <c r="BH48" s="39"/>
      <c r="BI48" s="39" t="s">
        <v>299</v>
      </c>
      <c r="BJ48" s="39" t="s">
        <v>294</v>
      </c>
      <c r="BK48" s="39" t="s">
        <v>297</v>
      </c>
      <c r="BL48" s="38">
        <v>0</v>
      </c>
      <c r="BM48" s="39"/>
      <c r="BN48" s="39"/>
      <c r="BO48" s="39" t="s">
        <v>324</v>
      </c>
      <c r="BP48" s="39" t="s">
        <v>297</v>
      </c>
      <c r="BQ48" s="38">
        <v>0</v>
      </c>
      <c r="BR48" s="39"/>
      <c r="BS48" s="39"/>
      <c r="BT48" s="38">
        <v>0</v>
      </c>
      <c r="BU48" s="39"/>
      <c r="BV48" s="39" t="s">
        <v>299</v>
      </c>
      <c r="BW48" s="38">
        <v>1</v>
      </c>
      <c r="BX48" s="39" t="s">
        <v>588</v>
      </c>
      <c r="BY48" s="39" t="s">
        <v>303</v>
      </c>
      <c r="BZ48" s="39" t="s">
        <v>297</v>
      </c>
      <c r="CA48" s="38">
        <v>0</v>
      </c>
      <c r="CB48" s="39"/>
      <c r="CC48" s="39"/>
      <c r="CD48" s="39" t="s">
        <v>305</v>
      </c>
      <c r="CE48" s="97" t="s">
        <v>288</v>
      </c>
      <c r="CF48" s="97" t="str">
        <f t="shared" si="3"/>
        <v/>
      </c>
      <c r="CG48" s="39" t="s">
        <v>297</v>
      </c>
      <c r="CH48" s="38">
        <v>0</v>
      </c>
      <c r="CI48" s="39"/>
      <c r="CJ48" s="39"/>
      <c r="CK48" s="38">
        <v>0</v>
      </c>
      <c r="CL48" s="39"/>
      <c r="CM48" s="39" t="s">
        <v>299</v>
      </c>
      <c r="CN48" s="38">
        <v>1</v>
      </c>
      <c r="CO48" s="39" t="s">
        <v>601</v>
      </c>
      <c r="CP48" s="39"/>
      <c r="CQ48" s="39" t="s">
        <v>294</v>
      </c>
      <c r="CR48" s="39" t="s">
        <v>297</v>
      </c>
      <c r="CS48" s="38">
        <v>0</v>
      </c>
      <c r="CT48" s="39"/>
      <c r="CU48" s="39"/>
      <c r="CV48" s="39" t="s">
        <v>305</v>
      </c>
      <c r="CW48" s="98" t="s">
        <v>305</v>
      </c>
      <c r="CX48" s="97">
        <f t="shared" si="4"/>
        <v>1</v>
      </c>
      <c r="CY48" s="39" t="s">
        <v>297</v>
      </c>
      <c r="CZ48" s="38">
        <v>0</v>
      </c>
      <c r="DA48" s="39"/>
      <c r="DB48" s="39"/>
      <c r="DC48" s="38">
        <v>0</v>
      </c>
      <c r="DD48" s="39"/>
      <c r="DE48" s="39" t="s">
        <v>299</v>
      </c>
      <c r="DF48" s="38">
        <v>1</v>
      </c>
      <c r="DG48" s="39" t="s">
        <v>602</v>
      </c>
      <c r="DH48" s="39"/>
      <c r="DI48" s="39" t="s">
        <v>303</v>
      </c>
      <c r="DJ48" s="39" t="s">
        <v>331</v>
      </c>
      <c r="DK48" s="38">
        <v>0</v>
      </c>
      <c r="DL48" s="39"/>
      <c r="DM48" s="39"/>
      <c r="DN48" s="39" t="s">
        <v>298</v>
      </c>
      <c r="DO48" s="98" t="s">
        <v>298</v>
      </c>
      <c r="DP48" s="97">
        <f>IF(DO48=DN48,1,"")</f>
        <v>1</v>
      </c>
      <c r="DQ48" s="39" t="s">
        <v>331</v>
      </c>
      <c r="DR48" s="38">
        <v>0</v>
      </c>
      <c r="DS48" s="39"/>
      <c r="DT48" s="39"/>
      <c r="DU48" s="38">
        <v>0</v>
      </c>
      <c r="DV48" s="39"/>
      <c r="DW48" s="39" t="s">
        <v>299</v>
      </c>
      <c r="DX48" s="38">
        <v>1</v>
      </c>
      <c r="DY48" s="39" t="s">
        <v>603</v>
      </c>
      <c r="DZ48" s="39"/>
      <c r="EA48" s="39" t="s">
        <v>303</v>
      </c>
      <c r="EB48" s="39" t="s">
        <v>331</v>
      </c>
      <c r="EC48" s="38">
        <v>0</v>
      </c>
      <c r="ED48" s="39"/>
      <c r="EE48" s="39"/>
      <c r="EF48" s="39" t="s">
        <v>298</v>
      </c>
      <c r="EG48" s="98" t="s">
        <v>298</v>
      </c>
      <c r="EH48" s="97">
        <f>IF(EG48=EF48,1,"")</f>
        <v>1</v>
      </c>
      <c r="EI48" s="39" t="s">
        <v>331</v>
      </c>
      <c r="EJ48" s="38">
        <v>0</v>
      </c>
      <c r="EK48" s="39"/>
      <c r="EL48" s="39"/>
      <c r="EM48" s="39" t="s">
        <v>604</v>
      </c>
      <c r="EN48" s="39"/>
      <c r="EO48" s="39" t="s">
        <v>299</v>
      </c>
      <c r="EP48" s="38">
        <v>1</v>
      </c>
      <c r="EQ48" s="39" t="s">
        <v>374</v>
      </c>
      <c r="ER48" s="39" t="s">
        <v>303</v>
      </c>
      <c r="ES48" s="39" t="s">
        <v>331</v>
      </c>
      <c r="ET48" s="38">
        <v>0</v>
      </c>
      <c r="EU48" s="39"/>
      <c r="EV48" s="39"/>
      <c r="EW48" s="39" t="s">
        <v>305</v>
      </c>
      <c r="EX48" s="98" t="s">
        <v>288</v>
      </c>
      <c r="EY48" s="97" t="str">
        <f t="shared" si="5"/>
        <v/>
      </c>
      <c r="EZ48" s="38">
        <v>0</v>
      </c>
      <c r="FA48" s="39"/>
      <c r="FB48" s="39"/>
      <c r="FC48" s="39" t="s">
        <v>605</v>
      </c>
      <c r="FD48" s="38">
        <v>0</v>
      </c>
      <c r="FE48" s="39"/>
      <c r="FF48" s="39" t="s">
        <v>299</v>
      </c>
      <c r="FG48" s="38">
        <v>1</v>
      </c>
      <c r="FH48" s="39" t="s">
        <v>606</v>
      </c>
      <c r="FI48" s="39"/>
      <c r="FJ48" s="39"/>
      <c r="FK48" s="39"/>
      <c r="FL48" s="39" t="s">
        <v>453</v>
      </c>
      <c r="FM48" s="39" t="s">
        <v>607</v>
      </c>
      <c r="FN48" s="39"/>
      <c r="FO48" s="39"/>
      <c r="FP48" s="38">
        <v>0</v>
      </c>
      <c r="FQ48" s="39"/>
      <c r="FR48" s="39"/>
      <c r="FS48" s="39"/>
      <c r="FT48" s="40"/>
      <c r="FU48" s="39" t="s">
        <v>317</v>
      </c>
      <c r="FV48" s="39" t="s">
        <v>608</v>
      </c>
      <c r="FW48" s="39"/>
      <c r="FX48" s="38">
        <v>-1</v>
      </c>
      <c r="FY48" s="38">
        <v>-1</v>
      </c>
      <c r="FZ48" s="38">
        <v>-1</v>
      </c>
      <c r="GA48" s="38">
        <v>-1</v>
      </c>
      <c r="GB48" s="38">
        <v>-1</v>
      </c>
      <c r="GC48" s="38">
        <v>-1</v>
      </c>
      <c r="GD48" s="38">
        <v>-1</v>
      </c>
      <c r="GE48" s="38">
        <v>-1</v>
      </c>
      <c r="GF48" s="38">
        <v>-1</v>
      </c>
      <c r="GG48" s="38">
        <v>-1</v>
      </c>
      <c r="GH48" s="38">
        <v>-1</v>
      </c>
      <c r="GI48" s="38">
        <v>-1</v>
      </c>
      <c r="GJ48" s="38">
        <v>-1</v>
      </c>
      <c r="GK48" s="38">
        <v>-1</v>
      </c>
      <c r="GL48" s="38">
        <v>-1</v>
      </c>
      <c r="GM48" s="38">
        <v>-15</v>
      </c>
      <c r="GN48" s="41"/>
      <c r="GO48" s="41"/>
      <c r="GP48" s="39" t="s">
        <v>319</v>
      </c>
      <c r="GQ48" s="39" t="s">
        <v>320</v>
      </c>
      <c r="GR48" s="39" t="s">
        <v>277</v>
      </c>
      <c r="GS48" s="38">
        <v>15</v>
      </c>
      <c r="GT48" s="38">
        <v>15</v>
      </c>
      <c r="GU48" s="38">
        <v>33</v>
      </c>
      <c r="GV48" s="38">
        <v>7</v>
      </c>
      <c r="GW48" s="42"/>
    </row>
    <row r="49" spans="1:205" s="62" customFormat="1" ht="13.8" thickBot="1" x14ac:dyDescent="0.3">
      <c r="A49" s="43">
        <v>209</v>
      </c>
      <c r="B49" s="44" t="s">
        <v>347</v>
      </c>
      <c r="C49" s="44">
        <v>57.5</v>
      </c>
      <c r="D49" s="44" t="s">
        <v>353</v>
      </c>
      <c r="E49" s="44" t="s">
        <v>377</v>
      </c>
      <c r="F49" s="44" t="s">
        <v>281</v>
      </c>
      <c r="G49" s="44" t="s">
        <v>282</v>
      </c>
      <c r="H49" s="44" t="s">
        <v>281</v>
      </c>
      <c r="I49" s="44" t="s">
        <v>282</v>
      </c>
      <c r="J49" s="44" t="s">
        <v>282</v>
      </c>
      <c r="K49" s="44" t="s">
        <v>281</v>
      </c>
      <c r="L49" s="44" t="s">
        <v>282</v>
      </c>
      <c r="M49" s="44" t="s">
        <v>282</v>
      </c>
      <c r="N49" s="44" t="s">
        <v>282</v>
      </c>
      <c r="O49" s="43">
        <v>0</v>
      </c>
      <c r="P49" s="44"/>
      <c r="Q49" s="44"/>
      <c r="R49" s="44" t="s">
        <v>423</v>
      </c>
      <c r="S49" s="44"/>
      <c r="T49" s="44"/>
      <c r="U49" s="44"/>
      <c r="V49" s="44"/>
      <c r="W49" s="45" t="s">
        <v>464</v>
      </c>
      <c r="X49" s="44" t="s">
        <v>350</v>
      </c>
      <c r="Y49" s="43">
        <v>1</v>
      </c>
      <c r="Z49" s="44" t="s">
        <v>585</v>
      </c>
      <c r="AA49" s="44"/>
      <c r="AB49" s="44" t="s">
        <v>301</v>
      </c>
      <c r="AC49" s="44" t="s">
        <v>297</v>
      </c>
      <c r="AD49" s="43">
        <v>0</v>
      </c>
      <c r="AE49" s="44"/>
      <c r="AF49" s="44"/>
      <c r="AG49" s="44" t="s">
        <v>305</v>
      </c>
      <c r="AH49" s="98" t="s">
        <v>305</v>
      </c>
      <c r="AI49" s="97">
        <f t="shared" si="2"/>
        <v>1</v>
      </c>
      <c r="AJ49" s="44" t="s">
        <v>297</v>
      </c>
      <c r="AK49" s="43">
        <v>0</v>
      </c>
      <c r="AL49" s="44"/>
      <c r="AM49" s="44"/>
      <c r="AN49" s="43">
        <v>1</v>
      </c>
      <c r="AO49" s="44" t="s">
        <v>628</v>
      </c>
      <c r="AP49" s="44"/>
      <c r="AQ49" s="44" t="s">
        <v>299</v>
      </c>
      <c r="AR49" s="43">
        <v>1</v>
      </c>
      <c r="AS49" s="44" t="s">
        <v>405</v>
      </c>
      <c r="AT49" s="44"/>
      <c r="AU49" s="44" t="s">
        <v>303</v>
      </c>
      <c r="AV49" s="44" t="s">
        <v>287</v>
      </c>
      <c r="AW49" s="43">
        <v>0</v>
      </c>
      <c r="AX49" s="44"/>
      <c r="AY49" s="44"/>
      <c r="AZ49" s="44" t="s">
        <v>288</v>
      </c>
      <c r="BA49" s="98" t="s">
        <v>324</v>
      </c>
      <c r="BB49" s="97" t="str">
        <f>IF(BA49=AZ49,1,"")</f>
        <v/>
      </c>
      <c r="BC49" s="44" t="s">
        <v>287</v>
      </c>
      <c r="BD49" s="43">
        <v>0</v>
      </c>
      <c r="BE49" s="44"/>
      <c r="BF49" s="44"/>
      <c r="BG49" s="43">
        <v>0</v>
      </c>
      <c r="BH49" s="44"/>
      <c r="BI49" s="44" t="s">
        <v>328</v>
      </c>
      <c r="BJ49" s="44" t="s">
        <v>294</v>
      </c>
      <c r="BK49" s="44" t="s">
        <v>297</v>
      </c>
      <c r="BL49" s="43">
        <v>0</v>
      </c>
      <c r="BM49" s="44"/>
      <c r="BN49" s="44"/>
      <c r="BO49" s="44" t="s">
        <v>288</v>
      </c>
      <c r="BP49" s="44" t="s">
        <v>297</v>
      </c>
      <c r="BQ49" s="43">
        <v>0</v>
      </c>
      <c r="BR49" s="44"/>
      <c r="BS49" s="44"/>
      <c r="BT49" s="43">
        <v>0</v>
      </c>
      <c r="BU49" s="44"/>
      <c r="BV49" s="44" t="s">
        <v>328</v>
      </c>
      <c r="BW49" s="43">
        <v>1</v>
      </c>
      <c r="BX49" s="44" t="s">
        <v>629</v>
      </c>
      <c r="BY49" s="44" t="s">
        <v>294</v>
      </c>
      <c r="BZ49" s="44" t="s">
        <v>297</v>
      </c>
      <c r="CA49" s="43">
        <v>0</v>
      </c>
      <c r="CB49" s="44"/>
      <c r="CC49" s="44"/>
      <c r="CD49" s="44" t="s">
        <v>298</v>
      </c>
      <c r="CE49" s="97" t="s">
        <v>298</v>
      </c>
      <c r="CF49" s="97">
        <f t="shared" si="3"/>
        <v>1</v>
      </c>
      <c r="CG49" s="44" t="s">
        <v>297</v>
      </c>
      <c r="CH49" s="43">
        <v>0</v>
      </c>
      <c r="CI49" s="44"/>
      <c r="CJ49" s="44"/>
      <c r="CK49" s="43">
        <v>0</v>
      </c>
      <c r="CL49" s="44"/>
      <c r="CM49" s="44" t="s">
        <v>328</v>
      </c>
      <c r="CN49" s="43">
        <v>1</v>
      </c>
      <c r="CO49" s="44" t="s">
        <v>630</v>
      </c>
      <c r="CP49" s="44"/>
      <c r="CQ49" s="44" t="s">
        <v>294</v>
      </c>
      <c r="CR49" s="44" t="s">
        <v>297</v>
      </c>
      <c r="CS49" s="43">
        <v>0</v>
      </c>
      <c r="CT49" s="44"/>
      <c r="CU49" s="44"/>
      <c r="CV49" s="44" t="s">
        <v>305</v>
      </c>
      <c r="CW49" s="98" t="s">
        <v>837</v>
      </c>
      <c r="CX49" s="97" t="str">
        <f t="shared" si="4"/>
        <v/>
      </c>
      <c r="CY49" s="44" t="s">
        <v>297</v>
      </c>
      <c r="CZ49" s="43">
        <v>0</v>
      </c>
      <c r="DA49" s="44"/>
      <c r="DB49" s="44"/>
      <c r="DC49" s="43">
        <v>0</v>
      </c>
      <c r="DD49" s="44"/>
      <c r="DE49" s="44" t="s">
        <v>328</v>
      </c>
      <c r="DF49" s="43">
        <v>1</v>
      </c>
      <c r="DG49" s="44" t="s">
        <v>631</v>
      </c>
      <c r="DH49" s="44"/>
      <c r="DI49" s="44" t="s">
        <v>294</v>
      </c>
      <c r="DJ49" s="44" t="s">
        <v>302</v>
      </c>
      <c r="DK49" s="43">
        <v>0</v>
      </c>
      <c r="DL49" s="44"/>
      <c r="DM49" s="44"/>
      <c r="DN49" s="44" t="s">
        <v>298</v>
      </c>
      <c r="DO49" s="98" t="s">
        <v>298</v>
      </c>
      <c r="DP49" s="97">
        <f>IF(DO49=DN49,1,"")</f>
        <v>1</v>
      </c>
      <c r="DQ49" s="44" t="s">
        <v>302</v>
      </c>
      <c r="DR49" s="43">
        <v>0</v>
      </c>
      <c r="DS49" s="44"/>
      <c r="DT49" s="44"/>
      <c r="DU49" s="43">
        <v>0</v>
      </c>
      <c r="DV49" s="44"/>
      <c r="DW49" s="44" t="s">
        <v>328</v>
      </c>
      <c r="DX49" s="43">
        <v>1</v>
      </c>
      <c r="DY49" s="44" t="s">
        <v>632</v>
      </c>
      <c r="DZ49" s="44"/>
      <c r="EA49" s="44" t="s">
        <v>303</v>
      </c>
      <c r="EB49" s="44" t="s">
        <v>331</v>
      </c>
      <c r="EC49" s="43">
        <v>0</v>
      </c>
      <c r="ED49" s="44"/>
      <c r="EE49" s="44"/>
      <c r="EF49" s="44" t="s">
        <v>298</v>
      </c>
      <c r="EG49" s="98" t="s">
        <v>298</v>
      </c>
      <c r="EH49" s="97">
        <f>IF(EG49=EF49,1,"")</f>
        <v>1</v>
      </c>
      <c r="EI49" s="44" t="s">
        <v>331</v>
      </c>
      <c r="EJ49" s="43">
        <v>0</v>
      </c>
      <c r="EK49" s="44"/>
      <c r="EL49" s="44"/>
      <c r="EM49" s="44" t="s">
        <v>633</v>
      </c>
      <c r="EN49" s="44"/>
      <c r="EO49" s="44" t="s">
        <v>299</v>
      </c>
      <c r="EP49" s="43">
        <v>1</v>
      </c>
      <c r="EQ49" s="44" t="s">
        <v>374</v>
      </c>
      <c r="ER49" s="44" t="s">
        <v>294</v>
      </c>
      <c r="ES49" s="44" t="s">
        <v>297</v>
      </c>
      <c r="ET49" s="43">
        <v>0</v>
      </c>
      <c r="EU49" s="44"/>
      <c r="EV49" s="44"/>
      <c r="EW49" s="44" t="s">
        <v>298</v>
      </c>
      <c r="EX49" s="98" t="s">
        <v>298</v>
      </c>
      <c r="EY49" s="97">
        <f t="shared" si="5"/>
        <v>1</v>
      </c>
      <c r="EZ49" s="43">
        <v>0</v>
      </c>
      <c r="FA49" s="44"/>
      <c r="FB49" s="44"/>
      <c r="FC49" s="44" t="s">
        <v>460</v>
      </c>
      <c r="FD49" s="43">
        <v>0</v>
      </c>
      <c r="FE49" s="44"/>
      <c r="FF49" s="44"/>
      <c r="FG49" s="43">
        <v>1</v>
      </c>
      <c r="FH49" s="44" t="s">
        <v>404</v>
      </c>
      <c r="FI49" s="44"/>
      <c r="FJ49" s="44"/>
      <c r="FK49" s="44"/>
      <c r="FL49" s="44"/>
      <c r="FM49" s="44"/>
      <c r="FN49" s="44"/>
      <c r="FO49" s="44"/>
      <c r="FP49" s="43">
        <v>0</v>
      </c>
      <c r="FQ49" s="44"/>
      <c r="FR49" s="44"/>
      <c r="FS49" s="44"/>
      <c r="FT49" s="45"/>
      <c r="FU49" s="44" t="s">
        <v>335</v>
      </c>
      <c r="FV49" s="44" t="s">
        <v>634</v>
      </c>
      <c r="FW49" s="44"/>
      <c r="FX49" s="43">
        <v>-1</v>
      </c>
      <c r="FY49" s="43">
        <v>-1</v>
      </c>
      <c r="FZ49" s="43">
        <v>-1</v>
      </c>
      <c r="GA49" s="43">
        <v>-1</v>
      </c>
      <c r="GB49" s="43">
        <v>-1</v>
      </c>
      <c r="GC49" s="43">
        <v>-1</v>
      </c>
      <c r="GD49" s="43">
        <v>-1</v>
      </c>
      <c r="GE49" s="43">
        <v>-1</v>
      </c>
      <c r="GF49" s="43">
        <v>-1</v>
      </c>
      <c r="GG49" s="43">
        <v>-1</v>
      </c>
      <c r="GH49" s="43">
        <v>-1</v>
      </c>
      <c r="GI49" s="43">
        <v>-1</v>
      </c>
      <c r="GJ49" s="43">
        <v>-1</v>
      </c>
      <c r="GK49" s="43">
        <v>-1</v>
      </c>
      <c r="GL49" s="43">
        <v>-1</v>
      </c>
      <c r="GM49" s="43">
        <v>-15</v>
      </c>
      <c r="GN49" s="46"/>
      <c r="GO49" s="46"/>
      <c r="GP49" s="44" t="s">
        <v>319</v>
      </c>
      <c r="GQ49" s="44" t="s">
        <v>320</v>
      </c>
      <c r="GR49" s="44" t="s">
        <v>277</v>
      </c>
      <c r="GS49" s="43">
        <v>15</v>
      </c>
      <c r="GT49" s="43">
        <v>15</v>
      </c>
      <c r="GU49" s="43">
        <v>35</v>
      </c>
      <c r="GV49" s="43">
        <v>9</v>
      </c>
      <c r="GW49" s="47"/>
    </row>
    <row r="50" spans="1:205" s="40" customFormat="1" x14ac:dyDescent="0.25">
      <c r="A50" s="51">
        <v>128</v>
      </c>
      <c r="B50" s="52" t="s">
        <v>347</v>
      </c>
      <c r="C50" s="52">
        <v>57.5</v>
      </c>
      <c r="D50" s="52" t="s">
        <v>279</v>
      </c>
      <c r="E50" s="52" t="s">
        <v>348</v>
      </c>
      <c r="F50" s="52" t="s">
        <v>281</v>
      </c>
      <c r="G50" s="52" t="s">
        <v>281</v>
      </c>
      <c r="H50" s="52" t="s">
        <v>281</v>
      </c>
      <c r="I50" s="52" t="s">
        <v>282</v>
      </c>
      <c r="J50" s="52" t="s">
        <v>282</v>
      </c>
      <c r="K50" s="52" t="s">
        <v>281</v>
      </c>
      <c r="L50" s="52" t="s">
        <v>282</v>
      </c>
      <c r="M50" s="52" t="s">
        <v>282</v>
      </c>
      <c r="N50" s="52" t="s">
        <v>281</v>
      </c>
      <c r="O50" s="51">
        <v>0</v>
      </c>
      <c r="P50" s="52"/>
      <c r="Q50" s="52"/>
      <c r="R50" s="52" t="s">
        <v>283</v>
      </c>
      <c r="S50" s="52" t="s">
        <v>322</v>
      </c>
      <c r="T50" s="52"/>
      <c r="U50" s="52"/>
      <c r="V50" s="52" t="s">
        <v>280</v>
      </c>
      <c r="W50" s="52"/>
      <c r="X50" s="52" t="s">
        <v>350</v>
      </c>
      <c r="Y50" s="51">
        <v>0</v>
      </c>
      <c r="Z50" s="52"/>
      <c r="AA50" s="52"/>
      <c r="AB50" s="52" t="s">
        <v>303</v>
      </c>
      <c r="AC50" s="52" t="s">
        <v>302</v>
      </c>
      <c r="AD50" s="51">
        <v>0</v>
      </c>
      <c r="AE50" s="52"/>
      <c r="AF50" s="52"/>
      <c r="AG50" s="52" t="s">
        <v>298</v>
      </c>
      <c r="AH50" s="98" t="s">
        <v>298</v>
      </c>
      <c r="AI50" s="97">
        <f t="shared" si="2"/>
        <v>1</v>
      </c>
      <c r="AJ50" s="52" t="s">
        <v>302</v>
      </c>
      <c r="AK50" s="51">
        <v>0</v>
      </c>
      <c r="AL50" s="52"/>
      <c r="AM50" s="52"/>
      <c r="AN50" s="51">
        <v>0</v>
      </c>
      <c r="AO50" s="52"/>
      <c r="AP50" s="52"/>
      <c r="AQ50" s="52" t="s">
        <v>296</v>
      </c>
      <c r="AR50" s="51">
        <v>0</v>
      </c>
      <c r="AS50" s="52"/>
      <c r="AT50" s="52"/>
      <c r="AU50" s="52" t="s">
        <v>301</v>
      </c>
      <c r="AV50" s="52" t="s">
        <v>287</v>
      </c>
      <c r="AW50" s="51">
        <v>0</v>
      </c>
      <c r="AX50" s="52"/>
      <c r="AY50" s="52"/>
      <c r="AZ50" s="52" t="s">
        <v>324</v>
      </c>
      <c r="BA50" s="98"/>
      <c r="BB50" s="97" t="str">
        <f>IF(BA50=AZ50,1,"")</f>
        <v/>
      </c>
      <c r="BC50" s="52" t="s">
        <v>287</v>
      </c>
      <c r="BD50" s="51">
        <v>0</v>
      </c>
      <c r="BE50" s="52"/>
      <c r="BF50" s="52"/>
      <c r="BG50" s="51">
        <v>0</v>
      </c>
      <c r="BH50" s="52"/>
      <c r="BI50" s="52" t="s">
        <v>292</v>
      </c>
      <c r="BJ50" s="52" t="s">
        <v>294</v>
      </c>
      <c r="BK50" s="52" t="s">
        <v>297</v>
      </c>
      <c r="BL50" s="51">
        <v>0</v>
      </c>
      <c r="BM50" s="52"/>
      <c r="BN50" s="52"/>
      <c r="BO50" s="52" t="s">
        <v>324</v>
      </c>
      <c r="BP50" s="52" t="s">
        <v>297</v>
      </c>
      <c r="BQ50" s="51">
        <v>0</v>
      </c>
      <c r="BR50" s="52"/>
      <c r="BS50" s="52"/>
      <c r="BT50" s="51">
        <v>0</v>
      </c>
      <c r="BU50" s="52"/>
      <c r="BV50" s="52" t="s">
        <v>296</v>
      </c>
      <c r="BW50" s="51">
        <v>0</v>
      </c>
      <c r="BX50" s="52"/>
      <c r="BY50" s="52" t="s">
        <v>301</v>
      </c>
      <c r="BZ50" s="52" t="s">
        <v>297</v>
      </c>
      <c r="CA50" s="51">
        <v>0</v>
      </c>
      <c r="CB50" s="52"/>
      <c r="CC50" s="52"/>
      <c r="CD50" s="52" t="s">
        <v>288</v>
      </c>
      <c r="CE50" s="97"/>
      <c r="CF50" s="97" t="str">
        <f t="shared" si="3"/>
        <v/>
      </c>
      <c r="CG50" s="52" t="s">
        <v>297</v>
      </c>
      <c r="CH50" s="51">
        <v>0</v>
      </c>
      <c r="CI50" s="52"/>
      <c r="CJ50" s="52"/>
      <c r="CK50" s="51">
        <v>0</v>
      </c>
      <c r="CL50" s="52"/>
      <c r="CM50" s="52" t="s">
        <v>296</v>
      </c>
      <c r="CN50" s="51">
        <v>0</v>
      </c>
      <c r="CO50" s="52"/>
      <c r="CP50" s="52"/>
      <c r="CQ50" s="52" t="s">
        <v>294</v>
      </c>
      <c r="CR50" s="52" t="s">
        <v>302</v>
      </c>
      <c r="CS50" s="51">
        <v>0</v>
      </c>
      <c r="CT50" s="52"/>
      <c r="CU50" s="52"/>
      <c r="CV50" s="52" t="s">
        <v>305</v>
      </c>
      <c r="CW50" s="98"/>
      <c r="CX50" s="97" t="str">
        <f t="shared" si="4"/>
        <v/>
      </c>
      <c r="CY50" s="52" t="s">
        <v>302</v>
      </c>
      <c r="CZ50" s="51">
        <v>0</v>
      </c>
      <c r="DA50" s="52"/>
      <c r="DB50" s="52"/>
      <c r="DC50" s="51">
        <v>0</v>
      </c>
      <c r="DD50" s="52"/>
      <c r="DE50" s="52" t="s">
        <v>296</v>
      </c>
      <c r="DF50" s="51">
        <v>0</v>
      </c>
      <c r="DG50" s="52"/>
      <c r="DH50" s="52"/>
      <c r="DI50" s="52" t="s">
        <v>294</v>
      </c>
      <c r="DJ50" s="52" t="s">
        <v>302</v>
      </c>
      <c r="DK50" s="51">
        <v>0</v>
      </c>
      <c r="DL50" s="52"/>
      <c r="DM50" s="52"/>
      <c r="DN50" s="52" t="s">
        <v>298</v>
      </c>
      <c r="DO50" s="98"/>
      <c r="DP50" s="97" t="str">
        <f>IF(DO50=DN50,1,"")</f>
        <v/>
      </c>
      <c r="DQ50" s="52" t="s">
        <v>302</v>
      </c>
      <c r="DR50" s="51">
        <v>0</v>
      </c>
      <c r="DS50" s="52"/>
      <c r="DT50" s="52"/>
      <c r="DU50" s="51">
        <v>0</v>
      </c>
      <c r="DV50" s="52"/>
      <c r="DW50" s="52" t="s">
        <v>296</v>
      </c>
      <c r="DX50" s="51">
        <v>1</v>
      </c>
      <c r="DY50" s="52" t="s">
        <v>349</v>
      </c>
      <c r="DZ50" s="52"/>
      <c r="EA50" s="52" t="s">
        <v>303</v>
      </c>
      <c r="EB50" s="52" t="s">
        <v>331</v>
      </c>
      <c r="EC50" s="51">
        <v>0</v>
      </c>
      <c r="ED50" s="52"/>
      <c r="EE50" s="52"/>
      <c r="EF50" s="52"/>
      <c r="EG50" s="98" t="s">
        <v>298</v>
      </c>
      <c r="EH50" s="97" t="str">
        <f>IF(EG50=EF50,1,"")</f>
        <v/>
      </c>
      <c r="EI50" s="52" t="s">
        <v>331</v>
      </c>
      <c r="EJ50" s="51">
        <v>0</v>
      </c>
      <c r="EK50" s="52"/>
      <c r="EL50" s="52"/>
      <c r="EM50" s="52"/>
      <c r="EN50" s="52"/>
      <c r="EO50" s="52" t="s">
        <v>296</v>
      </c>
      <c r="EP50" s="51">
        <v>0</v>
      </c>
      <c r="EQ50" s="52"/>
      <c r="ER50" s="52" t="s">
        <v>303</v>
      </c>
      <c r="ES50" s="52" t="s">
        <v>331</v>
      </c>
      <c r="ET50" s="51">
        <v>0</v>
      </c>
      <c r="EU50" s="52"/>
      <c r="EV50" s="52"/>
      <c r="EW50" s="52" t="s">
        <v>324</v>
      </c>
      <c r="EX50" s="98" t="s">
        <v>305</v>
      </c>
      <c r="EY50" s="97" t="str">
        <f t="shared" si="5"/>
        <v/>
      </c>
      <c r="EZ50" s="51">
        <v>0</v>
      </c>
      <c r="FA50" s="52"/>
      <c r="FB50" s="52"/>
      <c r="FC50" s="52"/>
      <c r="FD50" s="51">
        <v>0</v>
      </c>
      <c r="FE50" s="52"/>
      <c r="FF50" s="52"/>
      <c r="FG50" s="51">
        <v>0</v>
      </c>
      <c r="FH50" s="52"/>
      <c r="FI50" s="52"/>
      <c r="FJ50" s="52"/>
      <c r="FK50" s="52"/>
      <c r="FL50" s="52"/>
      <c r="FM50" s="52"/>
      <c r="FN50" s="52"/>
      <c r="FO50" s="52"/>
      <c r="FP50" s="51">
        <v>0</v>
      </c>
      <c r="FQ50" s="52"/>
      <c r="FR50" s="52"/>
      <c r="FS50" s="52"/>
      <c r="FT50" s="48"/>
      <c r="FU50" s="52" t="s">
        <v>351</v>
      </c>
      <c r="FV50" s="52" t="s">
        <v>352</v>
      </c>
      <c r="FW50" s="52"/>
      <c r="FX50" s="51">
        <v>-1</v>
      </c>
      <c r="FY50" s="51">
        <v>-1</v>
      </c>
      <c r="FZ50" s="51">
        <v>-1</v>
      </c>
      <c r="GA50" s="51">
        <v>-1</v>
      </c>
      <c r="GB50" s="51">
        <v>-1</v>
      </c>
      <c r="GC50" s="51">
        <v>-1</v>
      </c>
      <c r="GD50" s="51">
        <v>-1</v>
      </c>
      <c r="GE50" s="51">
        <v>-1</v>
      </c>
      <c r="GF50" s="51">
        <v>-1</v>
      </c>
      <c r="GG50" s="51">
        <v>-1</v>
      </c>
      <c r="GH50" s="51">
        <v>-1</v>
      </c>
      <c r="GI50" s="51">
        <v>-1</v>
      </c>
      <c r="GJ50" s="51">
        <v>-1</v>
      </c>
      <c r="GK50" s="51">
        <v>-1</v>
      </c>
      <c r="GL50" s="51">
        <v>-1</v>
      </c>
      <c r="GM50" s="51">
        <v>-15</v>
      </c>
      <c r="GN50" s="53"/>
      <c r="GO50" s="53"/>
      <c r="GP50" s="52"/>
      <c r="GQ50" s="52" t="s">
        <v>320</v>
      </c>
      <c r="GR50" s="52" t="s">
        <v>277</v>
      </c>
      <c r="GS50" s="51">
        <v>15</v>
      </c>
      <c r="GT50" s="51">
        <v>15</v>
      </c>
      <c r="GU50" s="51">
        <v>51</v>
      </c>
      <c r="GV50" s="51">
        <v>22</v>
      </c>
      <c r="GW50" s="54"/>
    </row>
    <row r="51" spans="1:205" customFormat="1" x14ac:dyDescent="0.25">
      <c r="A51" s="51">
        <v>152</v>
      </c>
      <c r="B51" s="52" t="s">
        <v>347</v>
      </c>
      <c r="C51" s="52">
        <v>57.5</v>
      </c>
      <c r="D51" s="52" t="s">
        <v>353</v>
      </c>
      <c r="E51" s="52" t="s">
        <v>377</v>
      </c>
      <c r="F51" s="52" t="s">
        <v>281</v>
      </c>
      <c r="G51" s="52" t="s">
        <v>281</v>
      </c>
      <c r="H51" s="52" t="s">
        <v>282</v>
      </c>
      <c r="I51" s="52" t="s">
        <v>282</v>
      </c>
      <c r="J51" s="52" t="s">
        <v>282</v>
      </c>
      <c r="K51" s="52" t="s">
        <v>281</v>
      </c>
      <c r="L51" s="52" t="s">
        <v>282</v>
      </c>
      <c r="M51" s="52" t="s">
        <v>282</v>
      </c>
      <c r="N51" s="52" t="s">
        <v>282</v>
      </c>
      <c r="O51" s="51">
        <v>0</v>
      </c>
      <c r="P51" s="52"/>
      <c r="Q51" s="52"/>
      <c r="R51" s="52" t="s">
        <v>283</v>
      </c>
      <c r="S51" s="52" t="s">
        <v>322</v>
      </c>
      <c r="T51" s="52"/>
      <c r="U51" s="52"/>
      <c r="V51" s="52"/>
      <c r="W51" s="52"/>
      <c r="X51" s="52" t="s">
        <v>437</v>
      </c>
      <c r="Y51" s="51">
        <v>0</v>
      </c>
      <c r="Z51" s="52"/>
      <c r="AA51" s="52"/>
      <c r="AB51" s="52" t="s">
        <v>303</v>
      </c>
      <c r="AC51" s="52" t="s">
        <v>302</v>
      </c>
      <c r="AD51" s="51">
        <v>0</v>
      </c>
      <c r="AE51" s="52"/>
      <c r="AF51" s="52"/>
      <c r="AG51" s="52" t="s">
        <v>305</v>
      </c>
      <c r="AH51" s="98" t="s">
        <v>298</v>
      </c>
      <c r="AI51" s="97" t="str">
        <f t="shared" si="2"/>
        <v/>
      </c>
      <c r="AJ51" s="52" t="s">
        <v>302</v>
      </c>
      <c r="AK51" s="51">
        <v>0</v>
      </c>
      <c r="AL51" s="52"/>
      <c r="AM51" s="52"/>
      <c r="AN51" s="51">
        <v>0</v>
      </c>
      <c r="AO51" s="52"/>
      <c r="AP51" s="52"/>
      <c r="AQ51" s="52" t="s">
        <v>299</v>
      </c>
      <c r="AR51" s="51">
        <v>0</v>
      </c>
      <c r="AS51" s="52"/>
      <c r="AT51" s="52"/>
      <c r="AU51" s="52" t="s">
        <v>310</v>
      </c>
      <c r="AV51" s="52" t="s">
        <v>287</v>
      </c>
      <c r="AW51" s="51">
        <v>0</v>
      </c>
      <c r="AX51" s="52"/>
      <c r="AY51" s="52"/>
      <c r="AZ51" s="52" t="s">
        <v>324</v>
      </c>
      <c r="BA51" s="98"/>
      <c r="BB51" s="97" t="str">
        <f>IF(BA51=AZ51,1,"")</f>
        <v/>
      </c>
      <c r="BC51" s="52" t="s">
        <v>339</v>
      </c>
      <c r="BD51" s="51">
        <v>1</v>
      </c>
      <c r="BE51" s="52" t="s">
        <v>434</v>
      </c>
      <c r="BF51" s="52"/>
      <c r="BG51" s="51">
        <v>1</v>
      </c>
      <c r="BH51" s="52" t="s">
        <v>435</v>
      </c>
      <c r="BI51" s="52" t="s">
        <v>296</v>
      </c>
      <c r="BJ51" s="52" t="s">
        <v>294</v>
      </c>
      <c r="BK51" s="52" t="s">
        <v>297</v>
      </c>
      <c r="BL51" s="51">
        <v>1</v>
      </c>
      <c r="BM51" s="52" t="s">
        <v>302</v>
      </c>
      <c r="BN51" s="52"/>
      <c r="BO51" s="52" t="s">
        <v>288</v>
      </c>
      <c r="BP51" s="52" t="s">
        <v>302</v>
      </c>
      <c r="BQ51" s="51">
        <v>0</v>
      </c>
      <c r="BR51" s="52"/>
      <c r="BS51" s="52"/>
      <c r="BT51" s="51">
        <v>0</v>
      </c>
      <c r="BU51" s="52"/>
      <c r="BV51" s="52" t="s">
        <v>296</v>
      </c>
      <c r="BW51" s="51">
        <v>0</v>
      </c>
      <c r="BX51" s="52"/>
      <c r="BY51" s="52" t="s">
        <v>303</v>
      </c>
      <c r="BZ51" s="52" t="s">
        <v>331</v>
      </c>
      <c r="CA51" s="51">
        <v>0</v>
      </c>
      <c r="CB51" s="52"/>
      <c r="CC51" s="52"/>
      <c r="CD51" s="52" t="s">
        <v>298</v>
      </c>
      <c r="CE51" s="97"/>
      <c r="CF51" s="97" t="str">
        <f t="shared" si="3"/>
        <v/>
      </c>
      <c r="CG51" s="52" t="s">
        <v>331</v>
      </c>
      <c r="CH51" s="51">
        <v>0</v>
      </c>
      <c r="CI51" s="52"/>
      <c r="CJ51" s="52"/>
      <c r="CK51" s="51">
        <v>0</v>
      </c>
      <c r="CL51" s="52"/>
      <c r="CM51" s="52" t="s">
        <v>296</v>
      </c>
      <c r="CN51" s="51">
        <v>0</v>
      </c>
      <c r="CO51" s="52"/>
      <c r="CP51" s="52"/>
      <c r="CQ51" s="52" t="s">
        <v>294</v>
      </c>
      <c r="CR51" s="52" t="s">
        <v>297</v>
      </c>
      <c r="CS51" s="51">
        <v>0</v>
      </c>
      <c r="CT51" s="52"/>
      <c r="CU51" s="52"/>
      <c r="CV51" s="52" t="s">
        <v>288</v>
      </c>
      <c r="CW51" s="98"/>
      <c r="CX51" s="97" t="str">
        <f t="shared" si="4"/>
        <v/>
      </c>
      <c r="CY51" s="52" t="s">
        <v>302</v>
      </c>
      <c r="CZ51" s="51">
        <v>0</v>
      </c>
      <c r="DA51" s="52"/>
      <c r="DB51" s="52"/>
      <c r="DC51" s="51">
        <v>0</v>
      </c>
      <c r="DD51" s="52"/>
      <c r="DE51" s="52" t="s">
        <v>299</v>
      </c>
      <c r="DF51" s="51">
        <v>0</v>
      </c>
      <c r="DG51" s="52"/>
      <c r="DH51" s="52"/>
      <c r="DI51" s="52" t="s">
        <v>303</v>
      </c>
      <c r="DJ51" s="52" t="s">
        <v>302</v>
      </c>
      <c r="DK51" s="51">
        <v>0</v>
      </c>
      <c r="DL51" s="52"/>
      <c r="DM51" s="52"/>
      <c r="DN51" s="52" t="s">
        <v>305</v>
      </c>
      <c r="DO51" s="98"/>
      <c r="DP51" s="97" t="str">
        <f>IF(DO51=DN51,1,"")</f>
        <v/>
      </c>
      <c r="DQ51" s="52" t="s">
        <v>302</v>
      </c>
      <c r="DR51" s="51">
        <v>0</v>
      </c>
      <c r="DS51" s="52"/>
      <c r="DT51" s="52"/>
      <c r="DU51" s="51">
        <v>0</v>
      </c>
      <c r="DV51" s="52"/>
      <c r="DW51" s="52" t="s">
        <v>299</v>
      </c>
      <c r="DX51" s="51">
        <v>0</v>
      </c>
      <c r="DY51" s="52"/>
      <c r="DZ51" s="52"/>
      <c r="EA51" s="52" t="s">
        <v>303</v>
      </c>
      <c r="EB51" s="52" t="s">
        <v>331</v>
      </c>
      <c r="EC51" s="51">
        <v>0</v>
      </c>
      <c r="ED51" s="52"/>
      <c r="EE51" s="52"/>
      <c r="EF51" s="52" t="s">
        <v>298</v>
      </c>
      <c r="EG51" s="98"/>
      <c r="EH51" s="97" t="str">
        <f>IF(EG51=EF51,1,"")</f>
        <v/>
      </c>
      <c r="EI51" s="52" t="s">
        <v>331</v>
      </c>
      <c r="EJ51" s="51">
        <v>0</v>
      </c>
      <c r="EK51" s="52"/>
      <c r="EL51" s="52"/>
      <c r="EM51" s="52"/>
      <c r="EN51" s="52"/>
      <c r="EO51" s="52" t="s">
        <v>296</v>
      </c>
      <c r="EP51" s="51">
        <v>0</v>
      </c>
      <c r="EQ51" s="52"/>
      <c r="ER51" s="52" t="s">
        <v>294</v>
      </c>
      <c r="ES51" s="52" t="s">
        <v>331</v>
      </c>
      <c r="ET51" s="51">
        <v>0</v>
      </c>
      <c r="EU51" s="52"/>
      <c r="EV51" s="52"/>
      <c r="EW51" s="52" t="s">
        <v>305</v>
      </c>
      <c r="EX51" s="98" t="s">
        <v>305</v>
      </c>
      <c r="EY51" s="97">
        <f t="shared" si="5"/>
        <v>1</v>
      </c>
      <c r="EZ51" s="51">
        <v>0</v>
      </c>
      <c r="FA51" s="52"/>
      <c r="FB51" s="52"/>
      <c r="FC51" s="52"/>
      <c r="FD51" s="51">
        <v>0</v>
      </c>
      <c r="FE51" s="52"/>
      <c r="FF51" s="52" t="s">
        <v>296</v>
      </c>
      <c r="FG51" s="51">
        <v>1</v>
      </c>
      <c r="FH51" s="52" t="s">
        <v>404</v>
      </c>
      <c r="FI51" s="52"/>
      <c r="FJ51" s="52"/>
      <c r="FK51" s="52"/>
      <c r="FL51" s="52"/>
      <c r="FM51" s="52"/>
      <c r="FN51" s="52"/>
      <c r="FO51" s="52"/>
      <c r="FP51" s="51">
        <v>1</v>
      </c>
      <c r="FQ51" s="52" t="s">
        <v>436</v>
      </c>
      <c r="FR51" s="52"/>
      <c r="FS51" s="52"/>
      <c r="FT51" s="48"/>
      <c r="FU51" s="52" t="s">
        <v>351</v>
      </c>
      <c r="FV51" s="52" t="s">
        <v>438</v>
      </c>
      <c r="FW51" s="52"/>
      <c r="FX51" s="51">
        <v>-1</v>
      </c>
      <c r="FY51" s="51">
        <v>-1</v>
      </c>
      <c r="FZ51" s="51">
        <v>-1</v>
      </c>
      <c r="GA51" s="51">
        <v>-1</v>
      </c>
      <c r="GB51" s="51">
        <v>-1</v>
      </c>
      <c r="GC51" s="51">
        <v>-1</v>
      </c>
      <c r="GD51" s="51">
        <v>-1</v>
      </c>
      <c r="GE51" s="51">
        <v>-1</v>
      </c>
      <c r="GF51" s="51">
        <v>-1</v>
      </c>
      <c r="GG51" s="51">
        <v>-1</v>
      </c>
      <c r="GH51" s="51">
        <v>-1</v>
      </c>
      <c r="GI51" s="51">
        <v>-1</v>
      </c>
      <c r="GJ51" s="51">
        <v>-1</v>
      </c>
      <c r="GK51" s="51">
        <v>-1</v>
      </c>
      <c r="GL51" s="51">
        <v>-1</v>
      </c>
      <c r="GM51" s="51">
        <v>-15</v>
      </c>
      <c r="GN51" s="53"/>
      <c r="GO51" s="53"/>
      <c r="GP51" s="52" t="s">
        <v>319</v>
      </c>
      <c r="GQ51" s="52" t="s">
        <v>320</v>
      </c>
      <c r="GR51" s="52" t="s">
        <v>277</v>
      </c>
      <c r="GS51" s="51">
        <v>15</v>
      </c>
      <c r="GT51" s="51">
        <v>15</v>
      </c>
      <c r="GU51" s="51">
        <v>45</v>
      </c>
      <c r="GV51" s="51">
        <v>17</v>
      </c>
      <c r="GW51" s="54"/>
    </row>
    <row r="52" spans="1:205" customFormat="1" x14ac:dyDescent="0.25">
      <c r="A52" s="51">
        <v>157</v>
      </c>
      <c r="B52" s="52" t="s">
        <v>347</v>
      </c>
      <c r="C52" s="52">
        <v>57.5</v>
      </c>
      <c r="D52" s="52" t="s">
        <v>353</v>
      </c>
      <c r="E52" s="52" t="s">
        <v>280</v>
      </c>
      <c r="F52" s="52" t="s">
        <v>281</v>
      </c>
      <c r="G52" s="52" t="s">
        <v>282</v>
      </c>
      <c r="H52" s="52" t="s">
        <v>281</v>
      </c>
      <c r="I52" s="52" t="s">
        <v>282</v>
      </c>
      <c r="J52" s="52" t="s">
        <v>282</v>
      </c>
      <c r="K52" s="52" t="s">
        <v>281</v>
      </c>
      <c r="L52" s="52" t="s">
        <v>282</v>
      </c>
      <c r="M52" s="52" t="s">
        <v>281</v>
      </c>
      <c r="N52" s="52" t="s">
        <v>282</v>
      </c>
      <c r="O52" s="51">
        <v>0</v>
      </c>
      <c r="P52" s="52"/>
      <c r="Q52" s="52"/>
      <c r="R52" s="52" t="s">
        <v>283</v>
      </c>
      <c r="S52" s="52" t="s">
        <v>322</v>
      </c>
      <c r="T52" s="52"/>
      <c r="U52" s="52"/>
      <c r="V52" s="52"/>
      <c r="W52" s="52"/>
      <c r="X52" s="52" t="s">
        <v>437</v>
      </c>
      <c r="Y52" s="51">
        <v>0</v>
      </c>
      <c r="Z52" s="52"/>
      <c r="AA52" s="52"/>
      <c r="AB52" s="52"/>
      <c r="AC52" s="52"/>
      <c r="AD52" s="51">
        <v>0</v>
      </c>
      <c r="AE52" s="52"/>
      <c r="AF52" s="52"/>
      <c r="AG52" s="52"/>
      <c r="AH52" s="98"/>
      <c r="AI52" s="97"/>
      <c r="AJ52" s="52"/>
      <c r="AK52" s="51">
        <v>0</v>
      </c>
      <c r="AL52" s="52"/>
      <c r="AM52" s="52"/>
      <c r="AN52" s="51">
        <v>0</v>
      </c>
      <c r="AO52" s="52"/>
      <c r="AP52" s="52"/>
      <c r="AQ52" s="52"/>
      <c r="AR52" s="51"/>
      <c r="AS52" s="52"/>
      <c r="AT52" s="52"/>
      <c r="AU52" s="52"/>
      <c r="AV52" s="52"/>
      <c r="AW52" s="51"/>
      <c r="AX52" s="52"/>
      <c r="AY52" s="52"/>
      <c r="AZ52" s="52"/>
      <c r="BA52" s="98"/>
      <c r="BB52" s="97"/>
      <c r="BC52" s="52"/>
      <c r="BD52" s="51"/>
      <c r="BE52" s="52"/>
      <c r="BF52" s="52"/>
      <c r="BG52" s="51"/>
      <c r="BH52" s="52"/>
      <c r="BI52" s="52"/>
      <c r="BJ52" s="52"/>
      <c r="BK52" s="52"/>
      <c r="BL52" s="51"/>
      <c r="BM52" s="52"/>
      <c r="BN52" s="52"/>
      <c r="BO52" s="52"/>
      <c r="BP52" s="52"/>
      <c r="BQ52" s="51"/>
      <c r="BR52" s="52"/>
      <c r="BS52" s="52"/>
      <c r="BT52" s="51"/>
      <c r="BU52" s="52"/>
      <c r="BV52" s="52"/>
      <c r="BW52" s="51"/>
      <c r="BX52" s="52"/>
      <c r="BY52" s="52"/>
      <c r="BZ52" s="52"/>
      <c r="CA52" s="51"/>
      <c r="CB52" s="52"/>
      <c r="CC52" s="52"/>
      <c r="CD52" s="52"/>
      <c r="CE52" s="97"/>
      <c r="CF52" s="97"/>
      <c r="CG52" s="52"/>
      <c r="CH52" s="51"/>
      <c r="CI52" s="52"/>
      <c r="CJ52" s="52"/>
      <c r="CK52" s="51"/>
      <c r="CL52" s="52"/>
      <c r="CM52" s="52"/>
      <c r="CN52" s="51"/>
      <c r="CO52" s="52"/>
      <c r="CP52" s="52"/>
      <c r="CQ52" s="52"/>
      <c r="CR52" s="52"/>
      <c r="CS52" s="51"/>
      <c r="CT52" s="52"/>
      <c r="CU52" s="52"/>
      <c r="CV52" s="52"/>
      <c r="CW52" s="98"/>
      <c r="CX52" s="97"/>
      <c r="CY52" s="52"/>
      <c r="CZ52" s="51"/>
      <c r="DA52" s="52"/>
      <c r="DB52" s="52"/>
      <c r="DC52" s="51"/>
      <c r="DD52" s="52"/>
      <c r="DE52" s="52"/>
      <c r="DF52" s="51"/>
      <c r="DG52" s="52"/>
      <c r="DH52" s="52"/>
      <c r="DI52" s="52"/>
      <c r="DJ52" s="52"/>
      <c r="DK52" s="51"/>
      <c r="DL52" s="52"/>
      <c r="DM52" s="52"/>
      <c r="DN52" s="52"/>
      <c r="DO52" s="98"/>
      <c r="DP52" s="97"/>
      <c r="DQ52" s="52"/>
      <c r="DR52" s="51"/>
      <c r="DS52" s="52"/>
      <c r="DT52" s="52"/>
      <c r="DU52" s="51"/>
      <c r="DV52" s="52"/>
      <c r="DW52" s="52"/>
      <c r="DX52" s="51"/>
      <c r="DY52" s="52"/>
      <c r="DZ52" s="52"/>
      <c r="EA52" s="52"/>
      <c r="EB52" s="52"/>
      <c r="EC52" s="51"/>
      <c r="ED52" s="52"/>
      <c r="EE52" s="52"/>
      <c r="EF52" s="52"/>
      <c r="EG52" s="98"/>
      <c r="EH52" s="97"/>
      <c r="EI52" s="52"/>
      <c r="EJ52" s="51"/>
      <c r="EK52" s="52"/>
      <c r="EL52" s="52"/>
      <c r="EM52" s="52"/>
      <c r="EN52" s="52"/>
      <c r="EO52" s="52"/>
      <c r="EP52" s="51"/>
      <c r="EQ52" s="52"/>
      <c r="ER52" s="52"/>
      <c r="ES52" s="52"/>
      <c r="ET52" s="51"/>
      <c r="EU52" s="52"/>
      <c r="EV52" s="52"/>
      <c r="EW52" s="52"/>
      <c r="EX52" s="98"/>
      <c r="EY52" s="97"/>
      <c r="EZ52" s="51"/>
      <c r="FA52" s="52"/>
      <c r="FB52" s="52"/>
      <c r="FC52" s="52"/>
      <c r="FD52" s="51"/>
      <c r="FE52" s="52"/>
      <c r="FF52" s="52"/>
      <c r="FG52" s="51"/>
      <c r="FH52" s="52"/>
      <c r="FI52" s="52"/>
      <c r="FJ52" s="52"/>
      <c r="FK52" s="52"/>
      <c r="FL52" s="52"/>
      <c r="FM52" s="52"/>
      <c r="FN52" s="52"/>
      <c r="FO52" s="52"/>
      <c r="FP52" s="51"/>
      <c r="FQ52" s="52"/>
      <c r="FR52" s="52"/>
      <c r="FS52" s="52"/>
      <c r="FT52" s="48"/>
      <c r="FU52" s="52"/>
      <c r="FV52" s="52"/>
      <c r="FW52" s="52"/>
      <c r="FX52" s="51">
        <v>-1</v>
      </c>
      <c r="FY52" s="51">
        <v>-1</v>
      </c>
      <c r="FZ52" s="51">
        <v>-1</v>
      </c>
      <c r="GA52" s="51">
        <v>-1</v>
      </c>
      <c r="GB52" s="51">
        <v>-1</v>
      </c>
      <c r="GC52" s="51">
        <v>-1</v>
      </c>
      <c r="GD52" s="51"/>
      <c r="GE52" s="51"/>
      <c r="GF52" s="51"/>
      <c r="GG52" s="51"/>
      <c r="GH52" s="51"/>
      <c r="GI52" s="51"/>
      <c r="GJ52" s="51"/>
      <c r="GK52" s="51"/>
      <c r="GL52" s="51"/>
      <c r="GM52" s="51">
        <v>-6</v>
      </c>
      <c r="GN52" s="53"/>
      <c r="GO52" s="53"/>
      <c r="GP52" s="52"/>
      <c r="GQ52" s="52" t="s">
        <v>277</v>
      </c>
      <c r="GR52" s="52" t="s">
        <v>277</v>
      </c>
      <c r="GS52" s="51">
        <v>5</v>
      </c>
      <c r="GT52" s="51">
        <v>6</v>
      </c>
      <c r="GU52" s="51">
        <v>65</v>
      </c>
      <c r="GV52" s="51">
        <v>50</v>
      </c>
      <c r="GW52" s="54"/>
    </row>
    <row r="53" spans="1:205" s="48" customFormat="1" x14ac:dyDescent="0.25">
      <c r="A53" s="51">
        <v>199</v>
      </c>
      <c r="B53" s="52" t="s">
        <v>347</v>
      </c>
      <c r="C53" s="52">
        <v>57.5</v>
      </c>
      <c r="D53" s="52" t="s">
        <v>353</v>
      </c>
      <c r="E53" s="52" t="s">
        <v>377</v>
      </c>
      <c r="F53" s="52" t="s">
        <v>281</v>
      </c>
      <c r="G53" s="52" t="s">
        <v>281</v>
      </c>
      <c r="H53" s="52" t="s">
        <v>282</v>
      </c>
      <c r="I53" s="52" t="s">
        <v>282</v>
      </c>
      <c r="J53" s="52" t="s">
        <v>282</v>
      </c>
      <c r="K53" s="52" t="s">
        <v>281</v>
      </c>
      <c r="L53" s="52" t="s">
        <v>282</v>
      </c>
      <c r="M53" s="52" t="s">
        <v>282</v>
      </c>
      <c r="N53" s="52" t="s">
        <v>282</v>
      </c>
      <c r="O53" s="51">
        <v>0</v>
      </c>
      <c r="P53" s="52"/>
      <c r="Q53" s="52"/>
      <c r="R53" s="52" t="s">
        <v>283</v>
      </c>
      <c r="S53" s="52" t="s">
        <v>322</v>
      </c>
      <c r="T53" s="52"/>
      <c r="U53" s="52"/>
      <c r="V53" s="52"/>
      <c r="W53" s="52"/>
      <c r="X53" s="52" t="s">
        <v>346</v>
      </c>
      <c r="Y53" s="51">
        <v>0</v>
      </c>
      <c r="Z53" s="52"/>
      <c r="AA53" s="52"/>
      <c r="AB53" s="52" t="s">
        <v>303</v>
      </c>
      <c r="AC53" s="52" t="s">
        <v>331</v>
      </c>
      <c r="AD53" s="51">
        <v>0</v>
      </c>
      <c r="AE53" s="52"/>
      <c r="AF53" s="52"/>
      <c r="AG53" s="52" t="s">
        <v>288</v>
      </c>
      <c r="AH53" s="98" t="s">
        <v>305</v>
      </c>
      <c r="AI53" s="97" t="str">
        <f>IF(AH53=AG53,1,"")</f>
        <v/>
      </c>
      <c r="AJ53" s="52" t="s">
        <v>331</v>
      </c>
      <c r="AK53" s="51">
        <v>0</v>
      </c>
      <c r="AL53" s="52"/>
      <c r="AM53" s="52"/>
      <c r="AN53" s="51">
        <v>0</v>
      </c>
      <c r="AO53" s="52"/>
      <c r="AP53" s="52"/>
      <c r="AQ53" s="52" t="s">
        <v>366</v>
      </c>
      <c r="AR53" s="51">
        <v>0</v>
      </c>
      <c r="AS53" s="52"/>
      <c r="AT53" s="52"/>
      <c r="AU53" s="52" t="s">
        <v>294</v>
      </c>
      <c r="AV53" s="52" t="s">
        <v>287</v>
      </c>
      <c r="AW53" s="51">
        <v>0</v>
      </c>
      <c r="AX53" s="52"/>
      <c r="AY53" s="52"/>
      <c r="AZ53" s="52" t="s">
        <v>324</v>
      </c>
      <c r="BA53" s="98"/>
      <c r="BB53" s="97" t="str">
        <f>IF(BA53=AZ53,1,"")</f>
        <v/>
      </c>
      <c r="BC53" s="52" t="s">
        <v>287</v>
      </c>
      <c r="BD53" s="51">
        <v>0</v>
      </c>
      <c r="BE53" s="52"/>
      <c r="BF53" s="52"/>
      <c r="BG53" s="51">
        <v>0</v>
      </c>
      <c r="BH53" s="52"/>
      <c r="BI53" s="52" t="s">
        <v>296</v>
      </c>
      <c r="BJ53" s="52" t="s">
        <v>303</v>
      </c>
      <c r="BK53" s="52" t="s">
        <v>297</v>
      </c>
      <c r="BL53" s="51">
        <v>0</v>
      </c>
      <c r="BM53" s="52"/>
      <c r="BN53" s="52"/>
      <c r="BO53" s="52" t="s">
        <v>324</v>
      </c>
      <c r="BP53" s="52" t="s">
        <v>287</v>
      </c>
      <c r="BQ53" s="51">
        <v>0</v>
      </c>
      <c r="BR53" s="52"/>
      <c r="BS53" s="52"/>
      <c r="BT53" s="51">
        <v>0</v>
      </c>
      <c r="BU53" s="52"/>
      <c r="BV53" s="52" t="s">
        <v>296</v>
      </c>
      <c r="BW53" s="51">
        <v>0</v>
      </c>
      <c r="BX53" s="52"/>
      <c r="BY53" s="52" t="s">
        <v>310</v>
      </c>
      <c r="BZ53" s="52" t="s">
        <v>297</v>
      </c>
      <c r="CA53" s="51">
        <v>0</v>
      </c>
      <c r="CB53" s="52"/>
      <c r="CC53" s="52"/>
      <c r="CD53" s="52" t="s">
        <v>324</v>
      </c>
      <c r="CE53" s="97"/>
      <c r="CF53" s="97" t="str">
        <f>IF(CE53=CD53,1,"")</f>
        <v/>
      </c>
      <c r="CG53" s="52" t="s">
        <v>297</v>
      </c>
      <c r="CH53" s="51">
        <v>0</v>
      </c>
      <c r="CI53" s="52"/>
      <c r="CJ53" s="52"/>
      <c r="CK53" s="51">
        <v>0</v>
      </c>
      <c r="CL53" s="52"/>
      <c r="CM53" s="52" t="s">
        <v>299</v>
      </c>
      <c r="CN53" s="51">
        <v>0</v>
      </c>
      <c r="CO53" s="52"/>
      <c r="CP53" s="52"/>
      <c r="CQ53" s="52" t="s">
        <v>303</v>
      </c>
      <c r="CR53" s="52" t="s">
        <v>302</v>
      </c>
      <c r="CS53" s="51">
        <v>1</v>
      </c>
      <c r="CT53" s="52"/>
      <c r="CU53" s="52" t="s">
        <v>297</v>
      </c>
      <c r="CV53" s="52" t="s">
        <v>305</v>
      </c>
      <c r="CW53" s="98"/>
      <c r="CX53" s="97" t="str">
        <f>IF(CW53=CV53,1,"")</f>
        <v/>
      </c>
      <c r="CY53" s="52" t="s">
        <v>302</v>
      </c>
      <c r="CZ53" s="51">
        <v>0</v>
      </c>
      <c r="DA53" s="52"/>
      <c r="DB53" s="52"/>
      <c r="DC53" s="51">
        <v>0</v>
      </c>
      <c r="DD53" s="52"/>
      <c r="DE53" s="52" t="s">
        <v>328</v>
      </c>
      <c r="DF53" s="51">
        <v>0</v>
      </c>
      <c r="DG53" s="52"/>
      <c r="DH53" s="52"/>
      <c r="DI53" s="52" t="s">
        <v>303</v>
      </c>
      <c r="DJ53" s="52" t="s">
        <v>331</v>
      </c>
      <c r="DK53" s="51">
        <v>0</v>
      </c>
      <c r="DL53" s="52"/>
      <c r="DM53" s="52"/>
      <c r="DN53" s="52" t="s">
        <v>298</v>
      </c>
      <c r="DO53" s="98"/>
      <c r="DP53" s="97" t="str">
        <f>IF(DO53=DN53,1,"")</f>
        <v/>
      </c>
      <c r="DQ53" s="52" t="s">
        <v>331</v>
      </c>
      <c r="DR53" s="51">
        <v>0</v>
      </c>
      <c r="DS53" s="52"/>
      <c r="DT53" s="52"/>
      <c r="DU53" s="51">
        <v>0</v>
      </c>
      <c r="DV53" s="52"/>
      <c r="DW53" s="52" t="s">
        <v>366</v>
      </c>
      <c r="DX53" s="51">
        <v>0</v>
      </c>
      <c r="DY53" s="52"/>
      <c r="DZ53" s="52"/>
      <c r="EA53" s="52" t="s">
        <v>286</v>
      </c>
      <c r="EB53" s="52" t="s">
        <v>331</v>
      </c>
      <c r="EC53" s="51">
        <v>0</v>
      </c>
      <c r="ED53" s="52"/>
      <c r="EE53" s="52"/>
      <c r="EF53" s="52" t="s">
        <v>298</v>
      </c>
      <c r="EG53" s="98"/>
      <c r="EH53" s="97" t="str">
        <f>IF(EG53=EF53,1,"")</f>
        <v/>
      </c>
      <c r="EI53" s="52" t="s">
        <v>331</v>
      </c>
      <c r="EJ53" s="51">
        <v>0</v>
      </c>
      <c r="EK53" s="52"/>
      <c r="EL53" s="52"/>
      <c r="EM53" s="52"/>
      <c r="EN53" s="52"/>
      <c r="EO53" s="52" t="s">
        <v>366</v>
      </c>
      <c r="EP53" s="51">
        <v>0</v>
      </c>
      <c r="EQ53" s="52"/>
      <c r="ER53" s="52" t="s">
        <v>303</v>
      </c>
      <c r="ES53" s="52" t="s">
        <v>331</v>
      </c>
      <c r="ET53" s="51">
        <v>0</v>
      </c>
      <c r="EU53" s="52"/>
      <c r="EV53" s="52"/>
      <c r="EW53" s="52" t="s">
        <v>288</v>
      </c>
      <c r="EX53" s="98" t="s">
        <v>305</v>
      </c>
      <c r="EY53" s="97" t="str">
        <f>IF(EX53=EW53,1,"")</f>
        <v/>
      </c>
      <c r="EZ53" s="51">
        <v>0</v>
      </c>
      <c r="FA53" s="52"/>
      <c r="FB53" s="52"/>
      <c r="FC53" s="52"/>
      <c r="FD53" s="51">
        <v>0</v>
      </c>
      <c r="FE53" s="52"/>
      <c r="FF53" s="52" t="s">
        <v>292</v>
      </c>
      <c r="FG53" s="51">
        <v>0</v>
      </c>
      <c r="FH53" s="52"/>
      <c r="FI53" s="52"/>
      <c r="FJ53" s="52"/>
      <c r="FK53" s="52"/>
      <c r="FL53" s="52"/>
      <c r="FM53" s="52"/>
      <c r="FN53" s="52"/>
      <c r="FO53" s="52"/>
      <c r="FP53" s="51">
        <v>0</v>
      </c>
      <c r="FQ53" s="52"/>
      <c r="FR53" s="52"/>
      <c r="FS53" s="52"/>
      <c r="FU53" s="52" t="s">
        <v>317</v>
      </c>
      <c r="FV53" s="52"/>
      <c r="FW53" s="52"/>
      <c r="FX53" s="51">
        <v>-1</v>
      </c>
      <c r="FY53" s="51">
        <v>-1</v>
      </c>
      <c r="FZ53" s="51">
        <v>-1</v>
      </c>
      <c r="GA53" s="51">
        <v>-1</v>
      </c>
      <c r="GB53" s="51">
        <v>-1</v>
      </c>
      <c r="GC53" s="51">
        <v>-1</v>
      </c>
      <c r="GD53" s="51">
        <v>-1</v>
      </c>
      <c r="GE53" s="51">
        <v>-1</v>
      </c>
      <c r="GF53" s="51">
        <v>-1</v>
      </c>
      <c r="GG53" s="51">
        <v>-1</v>
      </c>
      <c r="GH53" s="51">
        <v>-1</v>
      </c>
      <c r="GI53" s="51">
        <v>-1</v>
      </c>
      <c r="GJ53" s="51">
        <v>-1</v>
      </c>
      <c r="GK53" s="51">
        <v>-1</v>
      </c>
      <c r="GL53" s="51">
        <v>-1</v>
      </c>
      <c r="GM53" s="51">
        <v>-15</v>
      </c>
      <c r="GN53" s="53"/>
      <c r="GO53" s="53"/>
      <c r="GP53" s="52" t="s">
        <v>319</v>
      </c>
      <c r="GQ53" s="52" t="s">
        <v>320</v>
      </c>
      <c r="GR53" s="52" t="s">
        <v>277</v>
      </c>
      <c r="GS53" s="51">
        <v>15</v>
      </c>
      <c r="GT53" s="51">
        <v>15</v>
      </c>
      <c r="GU53" s="51">
        <v>50</v>
      </c>
      <c r="GV53" s="51">
        <v>20</v>
      </c>
      <c r="GW53" s="54"/>
    </row>
    <row r="54" spans="1:205" customFormat="1" x14ac:dyDescent="0.25">
      <c r="A54" s="1">
        <v>200</v>
      </c>
      <c r="B54" s="19" t="s">
        <v>347</v>
      </c>
      <c r="C54" s="19">
        <v>57.5</v>
      </c>
      <c r="D54" s="2" t="s">
        <v>353</v>
      </c>
      <c r="E54" s="2" t="s">
        <v>377</v>
      </c>
      <c r="F54" s="2" t="s">
        <v>281</v>
      </c>
      <c r="G54" s="2" t="s">
        <v>282</v>
      </c>
      <c r="H54" s="2" t="s">
        <v>281</v>
      </c>
      <c r="I54" s="2" t="s">
        <v>282</v>
      </c>
      <c r="J54" s="2" t="s">
        <v>282</v>
      </c>
      <c r="K54" s="2" t="s">
        <v>281</v>
      </c>
      <c r="L54" s="2" t="s">
        <v>282</v>
      </c>
      <c r="M54" s="2" t="s">
        <v>282</v>
      </c>
      <c r="N54" s="2" t="s">
        <v>282</v>
      </c>
      <c r="O54" s="1">
        <v>1</v>
      </c>
      <c r="P54" s="2"/>
      <c r="Q54" s="2" t="s">
        <v>339</v>
      </c>
      <c r="R54" s="2" t="s">
        <v>283</v>
      </c>
      <c r="S54" s="2" t="s">
        <v>449</v>
      </c>
      <c r="T54" s="2"/>
      <c r="U54" s="2"/>
      <c r="V54" s="2"/>
      <c r="W54" s="2"/>
      <c r="X54" s="2" t="s">
        <v>482</v>
      </c>
      <c r="Y54" s="1">
        <v>0</v>
      </c>
      <c r="Z54" s="2"/>
      <c r="AA54" s="2"/>
      <c r="AB54" s="2" t="s">
        <v>294</v>
      </c>
      <c r="AC54" s="2" t="s">
        <v>331</v>
      </c>
      <c r="AD54" s="1">
        <v>1</v>
      </c>
      <c r="AE54" s="2" t="s">
        <v>302</v>
      </c>
      <c r="AF54" s="2"/>
      <c r="AG54" s="2" t="s">
        <v>305</v>
      </c>
      <c r="AH54" s="98" t="s">
        <v>288</v>
      </c>
      <c r="AI54" s="97" t="str">
        <f>IF(AH54=AG54,1,"")</f>
        <v/>
      </c>
      <c r="AJ54" s="2" t="s">
        <v>331</v>
      </c>
      <c r="AK54" s="1">
        <v>0</v>
      </c>
      <c r="AL54" s="2"/>
      <c r="AM54" s="2"/>
      <c r="AN54" s="1">
        <v>0</v>
      </c>
      <c r="AO54" s="2"/>
      <c r="AP54" s="2"/>
      <c r="AQ54" s="2" t="s">
        <v>296</v>
      </c>
      <c r="AR54" s="1">
        <v>1</v>
      </c>
      <c r="AS54" s="2" t="s">
        <v>577</v>
      </c>
      <c r="AT54" s="2"/>
      <c r="AU54" s="2" t="s">
        <v>301</v>
      </c>
      <c r="AV54" s="2" t="s">
        <v>287</v>
      </c>
      <c r="AW54" s="1">
        <v>0</v>
      </c>
      <c r="AX54" s="2"/>
      <c r="AY54" s="2"/>
      <c r="AZ54" s="2" t="s">
        <v>324</v>
      </c>
      <c r="BA54" s="98" t="s">
        <v>324</v>
      </c>
      <c r="BB54" s="97">
        <f>IF(BA54=AZ54,1,"")</f>
        <v>1</v>
      </c>
      <c r="BC54" s="2" t="s">
        <v>287</v>
      </c>
      <c r="BD54" s="1">
        <v>1</v>
      </c>
      <c r="BE54" s="2"/>
      <c r="BF54" s="2" t="s">
        <v>339</v>
      </c>
      <c r="BG54" s="1">
        <v>0</v>
      </c>
      <c r="BH54" s="2"/>
      <c r="BI54" s="2" t="s">
        <v>328</v>
      </c>
      <c r="BJ54" s="2" t="s">
        <v>294</v>
      </c>
      <c r="BK54" s="2" t="s">
        <v>297</v>
      </c>
      <c r="BL54" s="1">
        <v>0</v>
      </c>
      <c r="BM54" s="2"/>
      <c r="BN54" s="2"/>
      <c r="BO54" s="2" t="s">
        <v>324</v>
      </c>
      <c r="BP54" s="2" t="s">
        <v>297</v>
      </c>
      <c r="BQ54" s="1">
        <v>0</v>
      </c>
      <c r="BR54" s="2"/>
      <c r="BS54" s="2"/>
      <c r="BT54" s="1">
        <v>0</v>
      </c>
      <c r="BU54" s="2"/>
      <c r="BV54" s="2" t="s">
        <v>296</v>
      </c>
      <c r="BW54" s="1">
        <v>0</v>
      </c>
      <c r="BX54" s="2"/>
      <c r="BY54" s="2" t="s">
        <v>294</v>
      </c>
      <c r="BZ54" s="2" t="s">
        <v>297</v>
      </c>
      <c r="CA54" s="1">
        <v>0</v>
      </c>
      <c r="CB54" s="2"/>
      <c r="CC54" s="2"/>
      <c r="CD54" s="2" t="s">
        <v>288</v>
      </c>
      <c r="CE54" s="97"/>
      <c r="CF54" s="97" t="str">
        <f>IF(CE54=CD54,1,"")</f>
        <v/>
      </c>
      <c r="CG54" s="2" t="s">
        <v>331</v>
      </c>
      <c r="CH54" s="1">
        <v>0</v>
      </c>
      <c r="CI54" s="2"/>
      <c r="CJ54" s="2"/>
      <c r="CK54" s="1">
        <v>0</v>
      </c>
      <c r="CL54" s="2"/>
      <c r="CM54" s="2" t="s">
        <v>328</v>
      </c>
      <c r="CN54" s="1">
        <v>0</v>
      </c>
      <c r="CO54" s="2"/>
      <c r="CP54" s="2"/>
      <c r="CQ54" s="2" t="s">
        <v>294</v>
      </c>
      <c r="CR54" s="2" t="s">
        <v>297</v>
      </c>
      <c r="CS54" s="1">
        <v>1</v>
      </c>
      <c r="CT54" s="2" t="s">
        <v>302</v>
      </c>
      <c r="CU54" s="2"/>
      <c r="CV54" s="2" t="s">
        <v>288</v>
      </c>
      <c r="CW54" s="98"/>
      <c r="CX54" s="97" t="str">
        <f>IF(CW54=CV54,1,"")</f>
        <v/>
      </c>
      <c r="CY54" s="2" t="s">
        <v>331</v>
      </c>
      <c r="CZ54" s="1">
        <v>1</v>
      </c>
      <c r="DA54" s="2" t="s">
        <v>302</v>
      </c>
      <c r="DB54" s="2"/>
      <c r="DC54" s="1">
        <v>0</v>
      </c>
      <c r="DD54" s="2"/>
      <c r="DE54" s="2" t="s">
        <v>299</v>
      </c>
      <c r="DF54" s="1">
        <v>0</v>
      </c>
      <c r="DG54" s="2"/>
      <c r="DH54" s="2"/>
      <c r="DI54" s="2" t="s">
        <v>301</v>
      </c>
      <c r="DJ54" s="2" t="s">
        <v>297</v>
      </c>
      <c r="DK54" s="1">
        <v>0</v>
      </c>
      <c r="DL54" s="2"/>
      <c r="DM54" s="2"/>
      <c r="DN54" s="2" t="s">
        <v>288</v>
      </c>
      <c r="DO54" s="98"/>
      <c r="DP54" s="97" t="str">
        <f>IF(DO54=DN54,1,"")</f>
        <v/>
      </c>
      <c r="DQ54" s="2" t="s">
        <v>297</v>
      </c>
      <c r="DR54" s="1">
        <v>1</v>
      </c>
      <c r="DS54" s="2" t="s">
        <v>302</v>
      </c>
      <c r="DT54" s="2"/>
      <c r="DU54" s="1">
        <v>0</v>
      </c>
      <c r="DV54" s="2"/>
      <c r="DW54" s="2" t="s">
        <v>299</v>
      </c>
      <c r="DX54" s="1">
        <v>0</v>
      </c>
      <c r="DY54" s="2"/>
      <c r="DZ54" s="2"/>
      <c r="EA54" s="2" t="s">
        <v>301</v>
      </c>
      <c r="EB54" s="2" t="s">
        <v>331</v>
      </c>
      <c r="EC54" s="1">
        <v>0</v>
      </c>
      <c r="ED54" s="2"/>
      <c r="EE54" s="2"/>
      <c r="EF54" s="2" t="s">
        <v>288</v>
      </c>
      <c r="EG54" s="98"/>
      <c r="EH54" s="97" t="str">
        <f>IF(EG54=EF54,1,"")</f>
        <v/>
      </c>
      <c r="EI54" s="2" t="s">
        <v>331</v>
      </c>
      <c r="EJ54" s="1">
        <v>0</v>
      </c>
      <c r="EK54" s="2"/>
      <c r="EL54" s="2"/>
      <c r="EM54" s="2"/>
      <c r="EN54" s="2"/>
      <c r="EO54" s="2" t="s">
        <v>299</v>
      </c>
      <c r="EP54" s="1">
        <v>0</v>
      </c>
      <c r="EQ54" s="2"/>
      <c r="ER54" s="2" t="s">
        <v>301</v>
      </c>
      <c r="ES54" s="2" t="s">
        <v>331</v>
      </c>
      <c r="ET54" s="1">
        <v>0</v>
      </c>
      <c r="EU54" s="2"/>
      <c r="EV54" s="2"/>
      <c r="EW54" s="2" t="s">
        <v>288</v>
      </c>
      <c r="EX54" s="98" t="s">
        <v>288</v>
      </c>
      <c r="EY54" s="97">
        <f>IF(EX54=EW54,1,"")</f>
        <v>1</v>
      </c>
      <c r="EZ54" s="1">
        <v>0</v>
      </c>
      <c r="FA54" s="2"/>
      <c r="FB54" s="2"/>
      <c r="FC54" s="2"/>
      <c r="FD54" s="1">
        <v>0</v>
      </c>
      <c r="FE54" s="2"/>
      <c r="FF54" s="2" t="s">
        <v>299</v>
      </c>
      <c r="FG54" s="1">
        <v>0</v>
      </c>
      <c r="FH54" s="2"/>
      <c r="FI54" s="2"/>
      <c r="FJ54" s="2"/>
      <c r="FK54" s="2"/>
      <c r="FL54" s="2"/>
      <c r="FM54" s="2"/>
      <c r="FN54" s="2"/>
      <c r="FO54" s="2"/>
      <c r="FP54" s="1">
        <v>0</v>
      </c>
      <c r="FQ54" s="2"/>
      <c r="FR54" s="2"/>
      <c r="FS54" s="2"/>
      <c r="FU54" s="2" t="s">
        <v>317</v>
      </c>
      <c r="FV54" s="2"/>
      <c r="FW54" s="2"/>
      <c r="FX54" s="1">
        <v>-1</v>
      </c>
      <c r="FY54" s="1">
        <v>-1</v>
      </c>
      <c r="FZ54" s="1">
        <v>-1</v>
      </c>
      <c r="GA54" s="1">
        <v>-1</v>
      </c>
      <c r="GB54" s="1">
        <v>-1</v>
      </c>
      <c r="GC54" s="1">
        <v>-1</v>
      </c>
      <c r="GD54" s="1">
        <v>-1</v>
      </c>
      <c r="GE54" s="1">
        <v>-1</v>
      </c>
      <c r="GF54" s="1">
        <v>-1</v>
      </c>
      <c r="GG54" s="1">
        <v>-1</v>
      </c>
      <c r="GH54" s="1">
        <v>-1</v>
      </c>
      <c r="GI54" s="1">
        <v>-1</v>
      </c>
      <c r="GJ54" s="1">
        <v>-1</v>
      </c>
      <c r="GK54" s="1">
        <v>-1</v>
      </c>
      <c r="GL54" s="1">
        <v>-1</v>
      </c>
      <c r="GM54" s="1">
        <v>-15</v>
      </c>
      <c r="GN54" s="3"/>
      <c r="GO54" s="3"/>
      <c r="GP54" s="2" t="s">
        <v>319</v>
      </c>
      <c r="GQ54" s="2" t="s">
        <v>320</v>
      </c>
      <c r="GR54" s="2" t="s">
        <v>277</v>
      </c>
      <c r="GS54" s="1">
        <v>15</v>
      </c>
      <c r="GT54" s="1">
        <v>15</v>
      </c>
      <c r="GU54" s="1">
        <v>43</v>
      </c>
      <c r="GV54" s="1">
        <v>18</v>
      </c>
      <c r="GW54" s="4"/>
    </row>
    <row r="55" spans="1:205" s="5" customFormat="1" x14ac:dyDescent="0.25">
      <c r="A55" s="128">
        <v>202</v>
      </c>
      <c r="B55" s="106" t="s">
        <v>347</v>
      </c>
      <c r="C55" s="106">
        <v>57.5</v>
      </c>
      <c r="D55" s="106" t="s">
        <v>279</v>
      </c>
      <c r="E55" s="106" t="s">
        <v>280</v>
      </c>
      <c r="F55" s="106" t="s">
        <v>281</v>
      </c>
      <c r="G55" s="106" t="s">
        <v>281</v>
      </c>
      <c r="H55" s="106" t="s">
        <v>281</v>
      </c>
      <c r="I55" s="106" t="s">
        <v>282</v>
      </c>
      <c r="J55" s="106" t="s">
        <v>282</v>
      </c>
      <c r="K55" s="106" t="s">
        <v>281</v>
      </c>
      <c r="L55" s="106" t="s">
        <v>282</v>
      </c>
      <c r="M55" s="106" t="s">
        <v>282</v>
      </c>
      <c r="N55" s="106" t="s">
        <v>282</v>
      </c>
      <c r="O55" s="128">
        <v>1</v>
      </c>
      <c r="P55" s="106" t="s">
        <v>404</v>
      </c>
      <c r="Q55" s="106"/>
      <c r="R55" s="106" t="s">
        <v>283</v>
      </c>
      <c r="S55" s="106" t="s">
        <v>378</v>
      </c>
      <c r="T55" s="106"/>
      <c r="U55" s="106"/>
      <c r="V55" s="106"/>
      <c r="W55" s="106"/>
      <c r="X55" s="106" t="s">
        <v>437</v>
      </c>
      <c r="Y55" s="128">
        <v>0</v>
      </c>
      <c r="Z55" s="106"/>
      <c r="AA55" s="106"/>
      <c r="AB55" s="106" t="s">
        <v>301</v>
      </c>
      <c r="AC55" s="106" t="s">
        <v>297</v>
      </c>
      <c r="AD55" s="128">
        <v>1</v>
      </c>
      <c r="AE55" s="106" t="s">
        <v>302</v>
      </c>
      <c r="AF55" s="106"/>
      <c r="AG55" s="106" t="s">
        <v>305</v>
      </c>
      <c r="AH55" s="106" t="s">
        <v>298</v>
      </c>
      <c r="AI55" s="5" t="str">
        <f>IF(AH55=AG55,1,"")</f>
        <v/>
      </c>
      <c r="AJ55" s="106" t="s">
        <v>287</v>
      </c>
      <c r="AK55" s="128">
        <v>0</v>
      </c>
      <c r="AL55" s="106"/>
      <c r="AM55" s="106"/>
      <c r="AN55" s="128">
        <v>1</v>
      </c>
      <c r="AO55" s="106" t="s">
        <v>578</v>
      </c>
      <c r="AP55" s="106"/>
      <c r="AQ55" s="106" t="s">
        <v>328</v>
      </c>
      <c r="AR55" s="128">
        <v>0</v>
      </c>
      <c r="AS55" s="106"/>
      <c r="AT55" s="106"/>
      <c r="AU55" s="106" t="s">
        <v>301</v>
      </c>
      <c r="AV55" s="106" t="s">
        <v>297</v>
      </c>
      <c r="AW55" s="128">
        <v>1</v>
      </c>
      <c r="AX55" s="106"/>
      <c r="AY55" s="106" t="s">
        <v>406</v>
      </c>
      <c r="AZ55" s="106" t="s">
        <v>305</v>
      </c>
      <c r="BA55" s="106"/>
      <c r="BB55" s="5" t="str">
        <f>IF(BA55=AZ55,1,"")</f>
        <v/>
      </c>
      <c r="BC55" s="106" t="s">
        <v>287</v>
      </c>
      <c r="BD55" s="128">
        <v>0</v>
      </c>
      <c r="BE55" s="106"/>
      <c r="BF55" s="106"/>
      <c r="BG55" s="128">
        <v>1</v>
      </c>
      <c r="BH55" s="106" t="s">
        <v>579</v>
      </c>
      <c r="BI55" s="106" t="s">
        <v>328</v>
      </c>
      <c r="BJ55" s="106" t="s">
        <v>310</v>
      </c>
      <c r="BK55" s="106" t="s">
        <v>297</v>
      </c>
      <c r="BL55" s="128">
        <v>1</v>
      </c>
      <c r="BM55" s="106" t="s">
        <v>531</v>
      </c>
      <c r="BN55" s="106"/>
      <c r="BO55" s="106" t="s">
        <v>324</v>
      </c>
      <c r="BP55" s="106" t="s">
        <v>287</v>
      </c>
      <c r="BQ55" s="128">
        <v>0</v>
      </c>
      <c r="BR55" s="106"/>
      <c r="BS55" s="106"/>
      <c r="BT55" s="128">
        <v>1</v>
      </c>
      <c r="BU55" s="106" t="s">
        <v>580</v>
      </c>
      <c r="BV55" s="106" t="s">
        <v>299</v>
      </c>
      <c r="BW55" s="128">
        <v>0</v>
      </c>
      <c r="BX55" s="106"/>
      <c r="BY55" s="106" t="s">
        <v>301</v>
      </c>
      <c r="BZ55" s="106" t="s">
        <v>297</v>
      </c>
      <c r="CA55" s="128">
        <v>0</v>
      </c>
      <c r="CB55" s="106"/>
      <c r="CC55" s="106"/>
      <c r="CD55" s="106" t="s">
        <v>324</v>
      </c>
      <c r="CF55" s="5" t="str">
        <f>IF(CE55=CD55,1,"")</f>
        <v/>
      </c>
      <c r="CG55" s="106" t="s">
        <v>287</v>
      </c>
      <c r="CH55" s="128">
        <v>0</v>
      </c>
      <c r="CI55" s="106"/>
      <c r="CJ55" s="106"/>
      <c r="CK55" s="128">
        <v>1</v>
      </c>
      <c r="CL55" s="106" t="s">
        <v>581</v>
      </c>
      <c r="CM55" s="106" t="s">
        <v>328</v>
      </c>
      <c r="CN55" s="128">
        <v>0</v>
      </c>
      <c r="CO55" s="106"/>
      <c r="CP55" s="106"/>
      <c r="CQ55" s="106" t="s">
        <v>294</v>
      </c>
      <c r="CR55" s="106" t="s">
        <v>297</v>
      </c>
      <c r="CS55" s="128">
        <v>1</v>
      </c>
      <c r="CT55" s="106" t="s">
        <v>302</v>
      </c>
      <c r="CU55" s="106"/>
      <c r="CV55" s="106" t="s">
        <v>288</v>
      </c>
      <c r="CW55" s="106"/>
      <c r="CX55" s="5" t="str">
        <f>IF(CW55=CV55,1,"")</f>
        <v/>
      </c>
      <c r="CY55" s="106" t="s">
        <v>339</v>
      </c>
      <c r="CZ55" s="128">
        <v>0</v>
      </c>
      <c r="DA55" s="106"/>
      <c r="DB55" s="106"/>
      <c r="DC55" s="128">
        <v>0</v>
      </c>
      <c r="DD55" s="106"/>
      <c r="DE55" s="106" t="s">
        <v>328</v>
      </c>
      <c r="DF55" s="128">
        <v>0</v>
      </c>
      <c r="DG55" s="106"/>
      <c r="DH55" s="106"/>
      <c r="DI55" s="106" t="s">
        <v>301</v>
      </c>
      <c r="DJ55" s="106" t="s">
        <v>287</v>
      </c>
      <c r="DK55" s="128">
        <v>0</v>
      </c>
      <c r="DL55" s="106"/>
      <c r="DM55" s="106"/>
      <c r="DN55" s="106" t="s">
        <v>324</v>
      </c>
      <c r="DO55" s="106"/>
      <c r="DP55" s="5" t="str">
        <f>IF(DO55=DN55,1,"")</f>
        <v/>
      </c>
      <c r="DQ55" s="106" t="s">
        <v>339</v>
      </c>
      <c r="DR55" s="128">
        <v>0</v>
      </c>
      <c r="DS55" s="106"/>
      <c r="DT55" s="106"/>
      <c r="DU55" s="128">
        <v>1</v>
      </c>
      <c r="DV55" s="106" t="s">
        <v>582</v>
      </c>
      <c r="DW55" s="106" t="s">
        <v>299</v>
      </c>
      <c r="DX55" s="128">
        <v>0</v>
      </c>
      <c r="DY55" s="106"/>
      <c r="DZ55" s="106"/>
      <c r="EA55" s="106" t="s">
        <v>303</v>
      </c>
      <c r="EB55" s="106" t="s">
        <v>331</v>
      </c>
      <c r="EC55" s="128">
        <v>0</v>
      </c>
      <c r="ED55" s="106"/>
      <c r="EE55" s="106"/>
      <c r="EF55" s="106" t="s">
        <v>298</v>
      </c>
      <c r="EG55" s="106"/>
      <c r="EH55" s="5" t="str">
        <f>IF(EG55=EF55,1,"")</f>
        <v/>
      </c>
      <c r="EI55" s="106"/>
      <c r="EJ55" s="128">
        <v>0</v>
      </c>
      <c r="EK55" s="106"/>
      <c r="EL55" s="106"/>
      <c r="EM55" s="106"/>
      <c r="EN55" s="106" t="s">
        <v>583</v>
      </c>
      <c r="EO55" s="106"/>
      <c r="EP55" s="128">
        <v>0</v>
      </c>
      <c r="EQ55" s="106"/>
      <c r="ER55" s="106" t="s">
        <v>301</v>
      </c>
      <c r="ES55" s="106" t="s">
        <v>331</v>
      </c>
      <c r="ET55" s="128">
        <v>0</v>
      </c>
      <c r="EU55" s="106"/>
      <c r="EV55" s="106"/>
      <c r="EW55" s="106" t="s">
        <v>305</v>
      </c>
      <c r="EX55" s="106" t="s">
        <v>288</v>
      </c>
      <c r="EY55" s="5" t="str">
        <f>IF(EX55=EW55,1,"")</f>
        <v/>
      </c>
      <c r="EZ55" s="128">
        <v>0</v>
      </c>
      <c r="FA55" s="106"/>
      <c r="FB55" s="106"/>
      <c r="FC55" s="106"/>
      <c r="FD55" s="128">
        <v>0</v>
      </c>
      <c r="FE55" s="106"/>
      <c r="FF55" s="106" t="s">
        <v>328</v>
      </c>
      <c r="FG55" s="128">
        <v>0</v>
      </c>
      <c r="FH55" s="106"/>
      <c r="FI55" s="106"/>
      <c r="FJ55" s="106"/>
      <c r="FK55" s="106"/>
      <c r="FL55" s="106"/>
      <c r="FM55" s="106"/>
      <c r="FN55" s="106"/>
      <c r="FO55" s="106"/>
      <c r="FP55" s="128">
        <v>0</v>
      </c>
      <c r="FQ55" s="106"/>
      <c r="FR55" s="106"/>
      <c r="FS55" s="106"/>
      <c r="FU55" s="106" t="s">
        <v>335</v>
      </c>
      <c r="FV55" s="106" t="s">
        <v>584</v>
      </c>
      <c r="FW55" s="106"/>
      <c r="FX55" s="128">
        <v>-1</v>
      </c>
      <c r="FY55" s="128">
        <v>-1</v>
      </c>
      <c r="FZ55" s="128">
        <v>-1</v>
      </c>
      <c r="GA55" s="128">
        <v>-1</v>
      </c>
      <c r="GB55" s="128">
        <v>-1</v>
      </c>
      <c r="GC55" s="128">
        <v>-1</v>
      </c>
      <c r="GD55" s="128">
        <v>-1</v>
      </c>
      <c r="GE55" s="128">
        <v>-1</v>
      </c>
      <c r="GF55" s="128">
        <v>-1</v>
      </c>
      <c r="GG55" s="128">
        <v>-1</v>
      </c>
      <c r="GH55" s="128">
        <v>-1</v>
      </c>
      <c r="GI55" s="128">
        <v>-1</v>
      </c>
      <c r="GJ55" s="128">
        <v>-1</v>
      </c>
      <c r="GK55" s="128">
        <v>-1</v>
      </c>
      <c r="GL55" s="128">
        <v>-1</v>
      </c>
      <c r="GM55" s="128">
        <v>-15</v>
      </c>
      <c r="GN55" s="129"/>
      <c r="GO55" s="129"/>
      <c r="GP55" s="106" t="s">
        <v>319</v>
      </c>
      <c r="GQ55" s="106" t="s">
        <v>320</v>
      </c>
      <c r="GR55" s="106" t="s">
        <v>277</v>
      </c>
      <c r="GS55" s="128">
        <v>15</v>
      </c>
      <c r="GT55" s="128">
        <v>15</v>
      </c>
      <c r="GU55" s="128">
        <v>41</v>
      </c>
      <c r="GV55" s="128">
        <v>19</v>
      </c>
      <c r="GW55" s="130"/>
    </row>
    <row r="56" spans="1:205" s="5" customFormat="1" x14ac:dyDescent="0.25">
      <c r="A56" s="128"/>
      <c r="B56" s="106"/>
      <c r="C56" s="106"/>
      <c r="D56" s="106"/>
      <c r="E56" s="106"/>
      <c r="F56" s="106"/>
      <c r="G56" s="106"/>
      <c r="H56" s="106"/>
      <c r="I56" s="106"/>
      <c r="J56" s="106"/>
      <c r="K56" s="106"/>
      <c r="L56" s="106"/>
      <c r="M56" s="106"/>
      <c r="N56" s="106"/>
      <c r="O56" s="128"/>
      <c r="P56" s="106"/>
      <c r="Q56" s="106"/>
      <c r="R56" s="106"/>
      <c r="S56" s="106"/>
      <c r="T56" s="106"/>
      <c r="U56" s="106"/>
      <c r="V56" s="106"/>
      <c r="W56" s="106"/>
      <c r="X56" s="106"/>
      <c r="Y56" s="128"/>
      <c r="Z56" s="106"/>
      <c r="AA56" s="106"/>
      <c r="AB56" s="106"/>
      <c r="AC56" s="106"/>
      <c r="AD56" s="128"/>
      <c r="AE56" s="106"/>
      <c r="AF56" s="106"/>
      <c r="AG56" s="106"/>
      <c r="AH56" s="106"/>
      <c r="AI56" s="5">
        <f>COUNTIFS(AG37:AG55, "&lt;&gt;", AH37:AH55, "&lt;&gt;")</f>
        <v>15</v>
      </c>
      <c r="AJ56" s="5">
        <f>COUNTIF(AI37:AI55,1)</f>
        <v>8</v>
      </c>
      <c r="AK56" s="131">
        <f>AJ56/AI56</f>
        <v>0.53333333333333333</v>
      </c>
      <c r="AL56" s="106"/>
      <c r="AM56" s="106"/>
      <c r="AN56" s="128"/>
      <c r="AO56" s="106"/>
      <c r="AP56" s="106"/>
      <c r="AQ56" s="106"/>
      <c r="AR56" s="128"/>
      <c r="AS56" s="106"/>
      <c r="AT56" s="106"/>
      <c r="AU56" s="106"/>
      <c r="AV56" s="106"/>
      <c r="AW56" s="128"/>
      <c r="AX56" s="106"/>
      <c r="AY56" s="106"/>
      <c r="AZ56" s="106"/>
      <c r="BA56" s="106"/>
      <c r="BB56" s="5">
        <f>COUNTIFS(AZ37:AZ55, "&lt;&gt;", BA37:BA55, "&lt;&gt;")</f>
        <v>8</v>
      </c>
      <c r="BC56" s="5">
        <f>COUNTIF(BB37:BB55,1)</f>
        <v>5</v>
      </c>
      <c r="BD56" s="131">
        <f>BC56/BB56</f>
        <v>0.625</v>
      </c>
      <c r="BE56" s="106"/>
      <c r="BF56" s="106"/>
      <c r="BG56" s="128"/>
      <c r="BH56" s="106"/>
      <c r="BI56" s="106"/>
      <c r="BJ56" s="106"/>
      <c r="BK56" s="106"/>
      <c r="BL56" s="128"/>
      <c r="BM56" s="106"/>
      <c r="BN56" s="106"/>
      <c r="BO56" s="106"/>
      <c r="BP56" s="106"/>
      <c r="BQ56" s="128"/>
      <c r="BR56" s="106"/>
      <c r="BS56" s="106"/>
      <c r="BT56" s="128"/>
      <c r="BU56" s="106"/>
      <c r="BV56" s="106"/>
      <c r="BW56" s="128"/>
      <c r="BX56" s="106"/>
      <c r="BY56" s="106"/>
      <c r="BZ56" s="106"/>
      <c r="CA56" s="128"/>
      <c r="CB56" s="106"/>
      <c r="CC56" s="106"/>
      <c r="CD56" s="106"/>
      <c r="CF56" s="5">
        <f>COUNTIFS(CD37:CD55, "&lt;&gt;", CE37:CE55, "&lt;&gt;")</f>
        <v>7</v>
      </c>
      <c r="CG56" s="5">
        <f>COUNTIF(CF37:CF55,1)</f>
        <v>5</v>
      </c>
      <c r="CH56" s="131">
        <f>CG56/CF56</f>
        <v>0.7142857142857143</v>
      </c>
      <c r="CI56" s="106"/>
      <c r="CJ56" s="106"/>
      <c r="CK56" s="128"/>
      <c r="CL56" s="106"/>
      <c r="CM56" s="106"/>
      <c r="CN56" s="128"/>
      <c r="CO56" s="106"/>
      <c r="CP56" s="106"/>
      <c r="CQ56" s="106"/>
      <c r="CR56" s="106"/>
      <c r="CS56" s="128"/>
      <c r="CT56" s="106"/>
      <c r="CU56" s="106"/>
      <c r="CV56" s="106"/>
      <c r="CW56" s="106"/>
      <c r="CX56" s="5">
        <f>COUNTIFS(CV37:CV55, "&lt;&gt;", CW37:CW55, "&lt;&gt;")</f>
        <v>9</v>
      </c>
      <c r="CY56" s="5">
        <f>COUNTIF(CX37:CX55,1)</f>
        <v>7</v>
      </c>
      <c r="CZ56" s="131">
        <f>CY56/CX56</f>
        <v>0.77777777777777779</v>
      </c>
      <c r="DA56" s="106"/>
      <c r="DB56" s="106"/>
      <c r="DC56" s="128"/>
      <c r="DD56" s="106"/>
      <c r="DE56" s="106"/>
      <c r="DF56" s="128"/>
      <c r="DG56" s="106"/>
      <c r="DH56" s="106"/>
      <c r="DI56" s="106"/>
      <c r="DJ56" s="106"/>
      <c r="DK56" s="128"/>
      <c r="DL56" s="106"/>
      <c r="DM56" s="106"/>
      <c r="DN56" s="106"/>
      <c r="DO56" s="106"/>
      <c r="DP56" s="5">
        <f>COUNTIFS(DN37:DN55, "&lt;&gt;", DO37:DO55, "&lt;&gt;")</f>
        <v>7</v>
      </c>
      <c r="DQ56" s="5">
        <f>COUNTIF(DP37:DP55,1)</f>
        <v>7</v>
      </c>
      <c r="DR56" s="131">
        <f>DQ56/DP56</f>
        <v>1</v>
      </c>
      <c r="DS56" s="106"/>
      <c r="DT56" s="106"/>
      <c r="DU56" s="128"/>
      <c r="DV56" s="106"/>
      <c r="DW56" s="106"/>
      <c r="DX56" s="128"/>
      <c r="DY56" s="106"/>
      <c r="DZ56" s="106"/>
      <c r="EA56" s="106"/>
      <c r="EB56" s="106"/>
      <c r="EC56" s="128"/>
      <c r="ED56" s="106"/>
      <c r="EE56" s="106"/>
      <c r="EF56" s="106"/>
      <c r="EG56" s="106"/>
      <c r="EH56" s="5">
        <f>COUNTIFS(EF37:EF55, "&lt;&gt;", EG37:EG55, "&lt;&gt;")</f>
        <v>10</v>
      </c>
      <c r="EI56" s="5">
        <f>COUNTIF(EH37:EH55,1)</f>
        <v>5</v>
      </c>
      <c r="EJ56" s="131">
        <f>EI56/EH56</f>
        <v>0.5</v>
      </c>
      <c r="EK56" s="106"/>
      <c r="EL56" s="106"/>
      <c r="EM56" s="106"/>
      <c r="EN56" s="106"/>
      <c r="EO56" s="106"/>
      <c r="EP56" s="128"/>
      <c r="EQ56" s="106"/>
      <c r="ER56" s="106"/>
      <c r="ES56" s="106"/>
      <c r="ET56" s="128"/>
      <c r="EU56" s="106"/>
      <c r="EV56" s="106"/>
      <c r="EW56" s="106"/>
      <c r="EX56" s="106"/>
      <c r="EY56" s="5">
        <f>COUNTIFS(EW37:EW55, "&lt;&gt;", EX37:EX55, "&lt;&gt;")</f>
        <v>15</v>
      </c>
      <c r="EZ56" s="5">
        <f>COUNTIF(EY37:EY55,1)</f>
        <v>7</v>
      </c>
      <c r="FA56" s="131">
        <f>EZ56/EY56</f>
        <v>0.46666666666666667</v>
      </c>
      <c r="FB56" s="106"/>
      <c r="FC56" s="106"/>
      <c r="FD56" s="128"/>
      <c r="FE56" s="106"/>
      <c r="FF56" s="106"/>
      <c r="FG56" s="128"/>
      <c r="FH56" s="106"/>
      <c r="FI56" s="106"/>
      <c r="FJ56" s="106"/>
      <c r="FK56" s="106"/>
      <c r="FL56" s="106"/>
      <c r="FM56" s="106"/>
      <c r="FN56" s="106"/>
      <c r="FO56" s="106"/>
      <c r="FP56" s="128"/>
      <c r="FQ56" s="106"/>
      <c r="FR56" s="106"/>
      <c r="FS56" s="106"/>
      <c r="FU56" s="106"/>
      <c r="FV56" s="106"/>
      <c r="FW56" s="106"/>
      <c r="FX56" s="128"/>
      <c r="FY56" s="128"/>
      <c r="FZ56" s="128"/>
      <c r="GA56" s="128"/>
      <c r="GB56" s="128"/>
      <c r="GC56" s="128"/>
      <c r="GD56" s="128"/>
      <c r="GE56" s="128"/>
      <c r="GF56" s="128"/>
      <c r="GG56" s="128"/>
      <c r="GH56" s="128"/>
      <c r="GI56" s="128"/>
      <c r="GJ56" s="128"/>
      <c r="GK56" s="128"/>
      <c r="GL56" s="128"/>
      <c r="GM56" s="128"/>
      <c r="GN56" s="129"/>
      <c r="GO56" s="129"/>
      <c r="GP56" s="106"/>
      <c r="GQ56" s="106"/>
      <c r="GR56" s="106"/>
      <c r="GS56" s="128"/>
      <c r="GT56" s="128"/>
      <c r="GU56" s="128"/>
      <c r="GV56" s="128"/>
      <c r="GW56" s="130"/>
    </row>
    <row r="57" spans="1:205" s="62" customFormat="1" ht="13.8" thickBot="1" x14ac:dyDescent="0.3">
      <c r="A57" s="13">
        <v>134</v>
      </c>
      <c r="B57" s="20" t="s">
        <v>376</v>
      </c>
      <c r="C57" s="20">
        <v>72.5</v>
      </c>
      <c r="D57" s="14" t="s">
        <v>279</v>
      </c>
      <c r="E57" s="14" t="s">
        <v>377</v>
      </c>
      <c r="F57" s="14" t="s">
        <v>281</v>
      </c>
      <c r="G57" s="14" t="s">
        <v>282</v>
      </c>
      <c r="H57" s="14" t="s">
        <v>281</v>
      </c>
      <c r="I57" s="14" t="s">
        <v>282</v>
      </c>
      <c r="J57" s="14" t="s">
        <v>282</v>
      </c>
      <c r="K57" s="14" t="s">
        <v>281</v>
      </c>
      <c r="L57" s="14" t="s">
        <v>282</v>
      </c>
      <c r="M57" s="14" t="s">
        <v>282</v>
      </c>
      <c r="N57" s="14" t="s">
        <v>282</v>
      </c>
      <c r="O57" s="13">
        <v>0</v>
      </c>
      <c r="P57" s="14"/>
      <c r="Q57" s="14"/>
      <c r="R57" s="14" t="s">
        <v>337</v>
      </c>
      <c r="S57" s="14"/>
      <c r="T57" s="14" t="s">
        <v>338</v>
      </c>
      <c r="U57" s="14"/>
      <c r="V57" s="14" t="s">
        <v>348</v>
      </c>
      <c r="W57" s="14"/>
      <c r="X57" s="14" t="s">
        <v>350</v>
      </c>
      <c r="Y57" s="13">
        <v>0</v>
      </c>
      <c r="Z57" s="14"/>
      <c r="AA57" s="14"/>
      <c r="AB57" s="14" t="s">
        <v>303</v>
      </c>
      <c r="AC57" s="14" t="s">
        <v>331</v>
      </c>
      <c r="AD57" s="13">
        <v>0</v>
      </c>
      <c r="AE57" s="14"/>
      <c r="AF57" s="14"/>
      <c r="AG57" s="14" t="s">
        <v>298</v>
      </c>
      <c r="AH57" s="98" t="s">
        <v>298</v>
      </c>
      <c r="AI57" s="97">
        <f>IF(AH57=AG57,1,"")</f>
        <v>1</v>
      </c>
      <c r="AJ57" s="14" t="s">
        <v>331</v>
      </c>
      <c r="AK57" s="13">
        <v>0</v>
      </c>
      <c r="AL57" s="14"/>
      <c r="AM57" s="14"/>
      <c r="AN57" s="13">
        <v>0</v>
      </c>
      <c r="AO57" s="14"/>
      <c r="AP57" s="14"/>
      <c r="AQ57" s="14" t="s">
        <v>296</v>
      </c>
      <c r="AR57" s="13">
        <v>0</v>
      </c>
      <c r="AS57" s="14"/>
      <c r="AT57" s="14"/>
      <c r="AU57" s="14" t="s">
        <v>294</v>
      </c>
      <c r="AV57" s="14" t="s">
        <v>331</v>
      </c>
      <c r="AW57" s="13">
        <v>0</v>
      </c>
      <c r="AX57" s="14"/>
      <c r="AY57" s="14"/>
      <c r="AZ57" s="14" t="s">
        <v>298</v>
      </c>
      <c r="BA57" s="98"/>
      <c r="BB57" s="97" t="str">
        <f>IF(BA57=AZ57,1,"")</f>
        <v/>
      </c>
      <c r="BC57" s="14" t="s">
        <v>331</v>
      </c>
      <c r="BD57" s="13">
        <v>0</v>
      </c>
      <c r="BE57" s="14"/>
      <c r="BF57" s="14"/>
      <c r="BG57" s="13">
        <v>0</v>
      </c>
      <c r="BH57" s="14"/>
      <c r="BI57" s="14" t="s">
        <v>299</v>
      </c>
      <c r="BJ57" s="14"/>
      <c r="BK57" s="14"/>
      <c r="BL57" s="13">
        <v>0</v>
      </c>
      <c r="BM57" s="14"/>
      <c r="BN57" s="14"/>
      <c r="BO57" s="14"/>
      <c r="BP57" s="14"/>
      <c r="BQ57" s="13">
        <v>0</v>
      </c>
      <c r="BR57" s="14"/>
      <c r="BS57" s="14"/>
      <c r="BT57" s="13">
        <v>0</v>
      </c>
      <c r="BU57" s="14"/>
      <c r="BV57" s="14"/>
      <c r="BW57" s="13">
        <v>0</v>
      </c>
      <c r="BX57" s="14"/>
      <c r="BY57" s="14" t="s">
        <v>294</v>
      </c>
      <c r="BZ57" s="14" t="s">
        <v>302</v>
      </c>
      <c r="CA57" s="13">
        <v>0</v>
      </c>
      <c r="CB57" s="14"/>
      <c r="CC57" s="14"/>
      <c r="CD57" s="14" t="s">
        <v>298</v>
      </c>
      <c r="CE57" s="97"/>
      <c r="CF57" s="97" t="str">
        <f>IF(CE57=CD57,1,"")</f>
        <v/>
      </c>
      <c r="CG57" s="14" t="s">
        <v>302</v>
      </c>
      <c r="CH57" s="13">
        <v>0</v>
      </c>
      <c r="CI57" s="14"/>
      <c r="CJ57" s="14"/>
      <c r="CK57" s="13">
        <v>0</v>
      </c>
      <c r="CL57" s="14"/>
      <c r="CM57" s="14" t="s">
        <v>299</v>
      </c>
      <c r="CN57" s="13">
        <v>0</v>
      </c>
      <c r="CO57" s="14"/>
      <c r="CP57" s="14"/>
      <c r="CQ57" s="14" t="s">
        <v>310</v>
      </c>
      <c r="CR57" s="14" t="s">
        <v>297</v>
      </c>
      <c r="CS57" s="13">
        <v>0</v>
      </c>
      <c r="CT57" s="14"/>
      <c r="CU57" s="14"/>
      <c r="CV57" s="14" t="s">
        <v>305</v>
      </c>
      <c r="CW57" s="98"/>
      <c r="CX57" s="97" t="str">
        <f t="shared" ref="CX57:CX66" si="6">IF(CW57=CV57,1,"")</f>
        <v/>
      </c>
      <c r="CY57" s="14" t="s">
        <v>297</v>
      </c>
      <c r="CZ57" s="13">
        <v>0</v>
      </c>
      <c r="DA57" s="14"/>
      <c r="DB57" s="14"/>
      <c r="DC57" s="13">
        <v>0</v>
      </c>
      <c r="DD57" s="14"/>
      <c r="DE57" s="14" t="s">
        <v>296</v>
      </c>
      <c r="DF57" s="13">
        <v>0</v>
      </c>
      <c r="DG57" s="14"/>
      <c r="DH57" s="14"/>
      <c r="DI57" s="14" t="s">
        <v>301</v>
      </c>
      <c r="DJ57" s="14" t="s">
        <v>302</v>
      </c>
      <c r="DK57" s="13">
        <v>0</v>
      </c>
      <c r="DL57" s="14"/>
      <c r="DM57" s="14"/>
      <c r="DN57" s="14" t="s">
        <v>305</v>
      </c>
      <c r="DO57" s="98"/>
      <c r="DP57" s="97" t="str">
        <f>IF(DO57=DN57,1,"")</f>
        <v/>
      </c>
      <c r="DQ57" s="14" t="s">
        <v>302</v>
      </c>
      <c r="DR57" s="13">
        <v>0</v>
      </c>
      <c r="DS57" s="14"/>
      <c r="DT57" s="14"/>
      <c r="DU57" s="13">
        <v>0</v>
      </c>
      <c r="DV57" s="14"/>
      <c r="DW57" s="14" t="s">
        <v>299</v>
      </c>
      <c r="DX57" s="13">
        <v>0</v>
      </c>
      <c r="DY57" s="14"/>
      <c r="DZ57" s="14"/>
      <c r="EA57" s="14" t="s">
        <v>294</v>
      </c>
      <c r="EB57" s="14" t="s">
        <v>331</v>
      </c>
      <c r="EC57" s="13">
        <v>0</v>
      </c>
      <c r="ED57" s="14"/>
      <c r="EE57" s="14"/>
      <c r="EF57" s="14" t="s">
        <v>305</v>
      </c>
      <c r="EG57" s="98"/>
      <c r="EH57" s="97" t="str">
        <f>IF(EG57=EF57,1,"")</f>
        <v/>
      </c>
      <c r="EI57" s="14" t="s">
        <v>302</v>
      </c>
      <c r="EJ57" s="13">
        <v>0</v>
      </c>
      <c r="EK57" s="14"/>
      <c r="EL57" s="14"/>
      <c r="EM57" s="14"/>
      <c r="EN57" s="14"/>
      <c r="EO57" s="14" t="s">
        <v>296</v>
      </c>
      <c r="EP57" s="13">
        <v>0</v>
      </c>
      <c r="EQ57" s="14"/>
      <c r="ER57" s="14" t="s">
        <v>303</v>
      </c>
      <c r="ES57" s="14" t="s">
        <v>331</v>
      </c>
      <c r="ET57" s="13">
        <v>0</v>
      </c>
      <c r="EU57" s="14"/>
      <c r="EV57" s="14"/>
      <c r="EW57" s="14" t="s">
        <v>305</v>
      </c>
      <c r="EX57" s="98" t="s">
        <v>298</v>
      </c>
      <c r="EY57" s="97" t="str">
        <f>IF(EX57=EW57,1,"")</f>
        <v/>
      </c>
      <c r="EZ57" s="13">
        <v>0</v>
      </c>
      <c r="FA57" s="14"/>
      <c r="FB57" s="14"/>
      <c r="FC57" s="14"/>
      <c r="FD57" s="13">
        <v>0</v>
      </c>
      <c r="FE57" s="14"/>
      <c r="FF57" s="14" t="s">
        <v>296</v>
      </c>
      <c r="FG57" s="13">
        <v>0</v>
      </c>
      <c r="FH57" s="14"/>
      <c r="FI57" s="14"/>
      <c r="FJ57" s="14"/>
      <c r="FK57" s="14"/>
      <c r="FL57" s="14"/>
      <c r="FM57" s="14"/>
      <c r="FN57" s="14"/>
      <c r="FO57" s="14"/>
      <c r="FP57" s="13">
        <v>0</v>
      </c>
      <c r="FQ57" s="14"/>
      <c r="FR57" s="14"/>
      <c r="FS57" s="14"/>
      <c r="FT57" s="17"/>
      <c r="FU57" s="14" t="s">
        <v>317</v>
      </c>
      <c r="FV57" s="14"/>
      <c r="FW57" s="14"/>
      <c r="FX57" s="13">
        <v>-1</v>
      </c>
      <c r="FY57" s="13">
        <v>-1</v>
      </c>
      <c r="FZ57" s="13">
        <v>-1</v>
      </c>
      <c r="GA57" s="13">
        <v>-1</v>
      </c>
      <c r="GB57" s="13">
        <v>-1</v>
      </c>
      <c r="GC57" s="13">
        <v>-1</v>
      </c>
      <c r="GD57" s="13">
        <v>-1</v>
      </c>
      <c r="GE57" s="13">
        <v>-1</v>
      </c>
      <c r="GF57" s="13">
        <v>-1</v>
      </c>
      <c r="GG57" s="13">
        <v>-1</v>
      </c>
      <c r="GH57" s="13">
        <v>-1</v>
      </c>
      <c r="GI57" s="13">
        <v>-1</v>
      </c>
      <c r="GJ57" s="13">
        <v>-1</v>
      </c>
      <c r="GK57" s="13">
        <v>-1</v>
      </c>
      <c r="GL57" s="13">
        <v>-1</v>
      </c>
      <c r="GM57" s="13">
        <v>-15</v>
      </c>
      <c r="GN57" s="15"/>
      <c r="GO57" s="15"/>
      <c r="GP57" s="14"/>
      <c r="GQ57" s="14" t="s">
        <v>320</v>
      </c>
      <c r="GR57" s="14" t="s">
        <v>277</v>
      </c>
      <c r="GS57" s="13">
        <v>15</v>
      </c>
      <c r="GT57" s="13">
        <v>15</v>
      </c>
      <c r="GU57" s="13">
        <v>56</v>
      </c>
      <c r="GV57" s="13">
        <v>28</v>
      </c>
      <c r="GW57" s="16"/>
    </row>
    <row r="58" spans="1:205" s="86" customFormat="1" ht="13.8" thickBot="1" x14ac:dyDescent="0.3">
      <c r="A58" s="119">
        <v>147</v>
      </c>
      <c r="B58" s="121" t="s">
        <v>376</v>
      </c>
      <c r="C58" s="121">
        <v>72.5</v>
      </c>
      <c r="D58" s="122" t="s">
        <v>353</v>
      </c>
      <c r="E58" s="122" t="s">
        <v>377</v>
      </c>
      <c r="F58" s="122" t="s">
        <v>281</v>
      </c>
      <c r="G58" s="122" t="s">
        <v>282</v>
      </c>
      <c r="H58" s="122" t="s">
        <v>281</v>
      </c>
      <c r="I58" s="122" t="s">
        <v>282</v>
      </c>
      <c r="J58" s="122" t="s">
        <v>282</v>
      </c>
      <c r="K58" s="122" t="s">
        <v>281</v>
      </c>
      <c r="L58" s="122" t="s">
        <v>282</v>
      </c>
      <c r="M58" s="122" t="s">
        <v>282</v>
      </c>
      <c r="N58" s="122" t="s">
        <v>282</v>
      </c>
      <c r="O58" s="119">
        <v>1</v>
      </c>
      <c r="P58" s="122" t="s">
        <v>402</v>
      </c>
      <c r="Q58" s="122"/>
      <c r="R58" s="122" t="s">
        <v>337</v>
      </c>
      <c r="S58" s="122"/>
      <c r="T58" s="122" t="s">
        <v>403</v>
      </c>
      <c r="U58" s="122"/>
      <c r="V58" s="122"/>
      <c r="W58" s="122"/>
      <c r="X58" s="122" t="s">
        <v>350</v>
      </c>
      <c r="Y58" s="119">
        <v>1</v>
      </c>
      <c r="Z58" s="122" t="s">
        <v>374</v>
      </c>
      <c r="AA58" s="122"/>
      <c r="AB58" s="122" t="s">
        <v>303</v>
      </c>
      <c r="AC58" s="122" t="s">
        <v>331</v>
      </c>
      <c r="AD58" s="119">
        <v>0</v>
      </c>
      <c r="AE58" s="122"/>
      <c r="AF58" s="122"/>
      <c r="AG58" s="122" t="s">
        <v>298</v>
      </c>
      <c r="AH58" s="98" t="s">
        <v>298</v>
      </c>
      <c r="AI58" s="97">
        <f>IF(AH58=AG58,1,"")</f>
        <v>1</v>
      </c>
      <c r="AJ58" s="122" t="s">
        <v>331</v>
      </c>
      <c r="AK58" s="119">
        <v>0</v>
      </c>
      <c r="AL58" s="122"/>
      <c r="AM58" s="122"/>
      <c r="AN58" s="119">
        <v>1</v>
      </c>
      <c r="AO58" s="122" t="s">
        <v>404</v>
      </c>
      <c r="AP58" s="122"/>
      <c r="AQ58" s="122" t="s">
        <v>299</v>
      </c>
      <c r="AR58" s="119">
        <v>1</v>
      </c>
      <c r="AS58" s="122" t="s">
        <v>405</v>
      </c>
      <c r="AT58" s="122"/>
      <c r="AU58" s="122" t="s">
        <v>294</v>
      </c>
      <c r="AV58" s="122" t="s">
        <v>297</v>
      </c>
      <c r="AW58" s="119">
        <v>1</v>
      </c>
      <c r="AX58" s="122" t="s">
        <v>287</v>
      </c>
      <c r="AY58" s="122"/>
      <c r="AZ58" s="122" t="s">
        <v>288</v>
      </c>
      <c r="BA58" s="98" t="s">
        <v>288</v>
      </c>
      <c r="BB58" s="97">
        <f>IF(BA58=AZ58,1,"")</f>
        <v>1</v>
      </c>
      <c r="BC58" s="122" t="s">
        <v>339</v>
      </c>
      <c r="BD58" s="119">
        <v>1</v>
      </c>
      <c r="BE58" s="122" t="s">
        <v>287</v>
      </c>
      <c r="BF58" s="122"/>
      <c r="BG58" s="119">
        <v>1</v>
      </c>
      <c r="BH58" s="122" t="s">
        <v>406</v>
      </c>
      <c r="BI58" s="122" t="s">
        <v>299</v>
      </c>
      <c r="BJ58" s="122" t="s">
        <v>294</v>
      </c>
      <c r="BK58" s="122" t="s">
        <v>297</v>
      </c>
      <c r="BL58" s="119">
        <v>1</v>
      </c>
      <c r="BM58" s="122" t="s">
        <v>339</v>
      </c>
      <c r="BN58" s="122"/>
      <c r="BO58" s="122" t="s">
        <v>324</v>
      </c>
      <c r="BP58" s="122" t="s">
        <v>297</v>
      </c>
      <c r="BQ58" s="119">
        <v>1</v>
      </c>
      <c r="BR58" s="122" t="s">
        <v>339</v>
      </c>
      <c r="BS58" s="122"/>
      <c r="BT58" s="119">
        <v>1</v>
      </c>
      <c r="BU58" s="122" t="s">
        <v>407</v>
      </c>
      <c r="BV58" s="122" t="s">
        <v>296</v>
      </c>
      <c r="BW58" s="119">
        <v>0</v>
      </c>
      <c r="BX58" s="122"/>
      <c r="BY58" s="122" t="s">
        <v>301</v>
      </c>
      <c r="BZ58" s="122" t="s">
        <v>297</v>
      </c>
      <c r="CA58" s="119">
        <v>1</v>
      </c>
      <c r="CB58" s="122" t="s">
        <v>406</v>
      </c>
      <c r="CC58" s="122"/>
      <c r="CD58" s="122" t="s">
        <v>324</v>
      </c>
      <c r="CE58" s="97"/>
      <c r="CF58" s="97" t="str">
        <f>IF(CE58=CD58,1,"")</f>
        <v/>
      </c>
      <c r="CG58" s="122" t="s">
        <v>297</v>
      </c>
      <c r="CH58" s="119">
        <v>1</v>
      </c>
      <c r="CI58" s="122" t="s">
        <v>302</v>
      </c>
      <c r="CJ58" s="122"/>
      <c r="CK58" s="119">
        <v>1</v>
      </c>
      <c r="CL58" s="122" t="s">
        <v>408</v>
      </c>
      <c r="CM58" s="122" t="s">
        <v>299</v>
      </c>
      <c r="CN58" s="119">
        <v>1</v>
      </c>
      <c r="CO58" s="122" t="s">
        <v>409</v>
      </c>
      <c r="CP58" s="122"/>
      <c r="CQ58" s="122" t="s">
        <v>294</v>
      </c>
      <c r="CR58" s="122" t="s">
        <v>297</v>
      </c>
      <c r="CS58" s="119">
        <v>1</v>
      </c>
      <c r="CT58" s="122" t="s">
        <v>302</v>
      </c>
      <c r="CU58" s="122"/>
      <c r="CV58" s="122" t="s">
        <v>324</v>
      </c>
      <c r="CW58" s="98" t="s">
        <v>837</v>
      </c>
      <c r="CX58" s="97" t="str">
        <f t="shared" si="6"/>
        <v/>
      </c>
      <c r="CY58" s="122" t="s">
        <v>297</v>
      </c>
      <c r="CZ58" s="119">
        <v>1</v>
      </c>
      <c r="DA58" s="122" t="s">
        <v>387</v>
      </c>
      <c r="DB58" s="122"/>
      <c r="DC58" s="119">
        <v>1</v>
      </c>
      <c r="DD58" s="122" t="s">
        <v>406</v>
      </c>
      <c r="DE58" s="122" t="s">
        <v>299</v>
      </c>
      <c r="DF58" s="119">
        <v>1</v>
      </c>
      <c r="DG58" s="122" t="s">
        <v>410</v>
      </c>
      <c r="DH58" s="122"/>
      <c r="DI58" s="122" t="s">
        <v>294</v>
      </c>
      <c r="DJ58" s="122" t="s">
        <v>302</v>
      </c>
      <c r="DK58" s="119">
        <v>1</v>
      </c>
      <c r="DL58" s="122"/>
      <c r="DM58" s="122" t="s">
        <v>387</v>
      </c>
      <c r="DN58" s="122" t="s">
        <v>305</v>
      </c>
      <c r="DO58" s="98"/>
      <c r="DP58" s="97" t="str">
        <f>IF(DO58=DN58,1,"")</f>
        <v/>
      </c>
      <c r="DQ58" s="122" t="s">
        <v>302</v>
      </c>
      <c r="DR58" s="119">
        <v>1</v>
      </c>
      <c r="DS58" s="122" t="s">
        <v>387</v>
      </c>
      <c r="DT58" s="122"/>
      <c r="DU58" s="119">
        <v>1</v>
      </c>
      <c r="DV58" s="122" t="s">
        <v>406</v>
      </c>
      <c r="DW58" s="122" t="s">
        <v>299</v>
      </c>
      <c r="DX58" s="119">
        <v>1</v>
      </c>
      <c r="DY58" s="122" t="s">
        <v>411</v>
      </c>
      <c r="DZ58" s="122"/>
      <c r="EA58" s="122" t="s">
        <v>303</v>
      </c>
      <c r="EB58" s="122" t="s">
        <v>331</v>
      </c>
      <c r="EC58" s="119">
        <v>1</v>
      </c>
      <c r="ED58" s="122" t="s">
        <v>406</v>
      </c>
      <c r="EE58" s="122"/>
      <c r="EF58" s="122" t="s">
        <v>298</v>
      </c>
      <c r="EG58" s="98" t="s">
        <v>298</v>
      </c>
      <c r="EH58" s="97">
        <f>IF(EG58=EF58,1,"")</f>
        <v>1</v>
      </c>
      <c r="EI58" s="122" t="s">
        <v>331</v>
      </c>
      <c r="EJ58" s="119">
        <v>1</v>
      </c>
      <c r="EK58" s="122" t="s">
        <v>302</v>
      </c>
      <c r="EL58" s="122"/>
      <c r="EM58" s="122" t="s">
        <v>412</v>
      </c>
      <c r="EN58" s="122" t="s">
        <v>406</v>
      </c>
      <c r="EO58" s="122" t="s">
        <v>299</v>
      </c>
      <c r="EP58" s="119">
        <v>1</v>
      </c>
      <c r="EQ58" s="122" t="s">
        <v>374</v>
      </c>
      <c r="ER58" s="122" t="s">
        <v>303</v>
      </c>
      <c r="ES58" s="122" t="s">
        <v>331</v>
      </c>
      <c r="ET58" s="119">
        <v>1</v>
      </c>
      <c r="EU58" s="122" t="s">
        <v>302</v>
      </c>
      <c r="EV58" s="122"/>
      <c r="EW58" s="122" t="s">
        <v>298</v>
      </c>
      <c r="EX58" s="98" t="s">
        <v>298</v>
      </c>
      <c r="EY58" s="97">
        <f>IF(EX58=EW58,1,"")</f>
        <v>1</v>
      </c>
      <c r="EZ58" s="119">
        <v>1</v>
      </c>
      <c r="FA58" s="122" t="s">
        <v>302</v>
      </c>
      <c r="FB58" s="122"/>
      <c r="FC58" s="122" t="s">
        <v>413</v>
      </c>
      <c r="FD58" s="119">
        <v>1</v>
      </c>
      <c r="FE58" s="122" t="s">
        <v>406</v>
      </c>
      <c r="FF58" s="122" t="s">
        <v>299</v>
      </c>
      <c r="FG58" s="119">
        <v>1</v>
      </c>
      <c r="FH58" s="122" t="s">
        <v>404</v>
      </c>
      <c r="FI58" s="122"/>
      <c r="FJ58" s="122"/>
      <c r="FK58" s="122"/>
      <c r="FL58" s="122" t="s">
        <v>414</v>
      </c>
      <c r="FM58" s="122" t="s">
        <v>415</v>
      </c>
      <c r="FN58" s="122" t="s">
        <v>339</v>
      </c>
      <c r="FO58" s="122" t="s">
        <v>416</v>
      </c>
      <c r="FP58" s="119">
        <v>2</v>
      </c>
      <c r="FQ58" s="122" t="s">
        <v>417</v>
      </c>
      <c r="FR58" s="122" t="s">
        <v>418</v>
      </c>
      <c r="FS58" s="122"/>
      <c r="FT58" s="123"/>
      <c r="FU58" s="122" t="s">
        <v>317</v>
      </c>
      <c r="FV58" s="122" t="s">
        <v>419</v>
      </c>
      <c r="FW58" s="122" t="s">
        <v>420</v>
      </c>
      <c r="FX58" s="119">
        <v>-1</v>
      </c>
      <c r="FY58" s="119">
        <v>-1</v>
      </c>
      <c r="FZ58" s="119">
        <v>-1</v>
      </c>
      <c r="GA58" s="119">
        <v>-1</v>
      </c>
      <c r="GB58" s="119">
        <v>-1</v>
      </c>
      <c r="GC58" s="119">
        <v>-1</v>
      </c>
      <c r="GD58" s="119">
        <v>-1</v>
      </c>
      <c r="GE58" s="119">
        <v>-1</v>
      </c>
      <c r="GF58" s="119">
        <v>-1</v>
      </c>
      <c r="GG58" s="119">
        <v>-1</v>
      </c>
      <c r="GH58" s="119">
        <v>-1</v>
      </c>
      <c r="GI58" s="119">
        <v>-1</v>
      </c>
      <c r="GJ58" s="119">
        <v>-1</v>
      </c>
      <c r="GK58" s="119">
        <v>-1</v>
      </c>
      <c r="GL58" s="119">
        <v>-1</v>
      </c>
      <c r="GM58" s="119">
        <v>-15</v>
      </c>
      <c r="GN58" s="125"/>
      <c r="GO58" s="125"/>
      <c r="GP58" s="122" t="s">
        <v>319</v>
      </c>
      <c r="GQ58" s="122" t="s">
        <v>320</v>
      </c>
      <c r="GR58" s="122" t="s">
        <v>277</v>
      </c>
      <c r="GS58" s="119">
        <v>15</v>
      </c>
      <c r="GT58" s="119">
        <v>15</v>
      </c>
      <c r="GU58" s="119">
        <v>4</v>
      </c>
      <c r="GV58" s="119">
        <v>1</v>
      </c>
      <c r="GW58" s="127"/>
    </row>
    <row r="59" spans="1:205" s="45" customFormat="1" ht="13.8" thickBot="1" x14ac:dyDescent="0.3">
      <c r="A59" s="74">
        <v>215</v>
      </c>
      <c r="B59" s="73" t="s">
        <v>376</v>
      </c>
      <c r="C59" s="73">
        <v>72.5</v>
      </c>
      <c r="D59" s="73" t="s">
        <v>353</v>
      </c>
      <c r="E59" s="73" t="s">
        <v>422</v>
      </c>
      <c r="F59" s="73" t="s">
        <v>282</v>
      </c>
      <c r="G59" s="73" t="s">
        <v>282</v>
      </c>
      <c r="H59" s="73" t="s">
        <v>281</v>
      </c>
      <c r="I59" s="73" t="s">
        <v>282</v>
      </c>
      <c r="J59" s="73" t="s">
        <v>282</v>
      </c>
      <c r="K59" s="73" t="s">
        <v>281</v>
      </c>
      <c r="L59" s="73" t="s">
        <v>282</v>
      </c>
      <c r="M59" s="73" t="s">
        <v>282</v>
      </c>
      <c r="N59" s="73" t="s">
        <v>282</v>
      </c>
      <c r="O59" s="74">
        <v>0</v>
      </c>
      <c r="P59" s="73"/>
      <c r="Q59" s="73"/>
      <c r="R59" s="73" t="s">
        <v>337</v>
      </c>
      <c r="S59" s="73"/>
      <c r="T59" s="75" t="s">
        <v>424</v>
      </c>
      <c r="U59" s="73"/>
      <c r="V59" s="73"/>
      <c r="W59" s="73"/>
      <c r="X59" s="73" t="s">
        <v>350</v>
      </c>
      <c r="Y59" s="74">
        <v>2</v>
      </c>
      <c r="Z59" s="73" t="s">
        <v>453</v>
      </c>
      <c r="AA59" s="73" t="s">
        <v>365</v>
      </c>
      <c r="AB59" s="73" t="s">
        <v>303</v>
      </c>
      <c r="AC59" s="73" t="s">
        <v>302</v>
      </c>
      <c r="AD59" s="74">
        <v>0</v>
      </c>
      <c r="AE59" s="73"/>
      <c r="AF59" s="73"/>
      <c r="AG59" s="73" t="s">
        <v>305</v>
      </c>
      <c r="AH59" s="98" t="s">
        <v>298</v>
      </c>
      <c r="AI59" s="97" t="str">
        <f>IF(AH59=AG59,1,"")</f>
        <v/>
      </c>
      <c r="AJ59" s="73" t="s">
        <v>287</v>
      </c>
      <c r="AK59" s="74">
        <v>0</v>
      </c>
      <c r="AL59" s="73"/>
      <c r="AM59" s="73"/>
      <c r="AN59" s="74">
        <v>0</v>
      </c>
      <c r="AO59" s="73"/>
      <c r="AP59" s="73"/>
      <c r="AQ59" s="73" t="s">
        <v>299</v>
      </c>
      <c r="AR59" s="74">
        <v>1</v>
      </c>
      <c r="AS59" s="73" t="s">
        <v>643</v>
      </c>
      <c r="AT59" s="73"/>
      <c r="AU59" s="73" t="s">
        <v>301</v>
      </c>
      <c r="AV59" s="73" t="s">
        <v>287</v>
      </c>
      <c r="AW59" s="74">
        <v>0</v>
      </c>
      <c r="AX59" s="73"/>
      <c r="AY59" s="73"/>
      <c r="AZ59" s="73" t="s">
        <v>324</v>
      </c>
      <c r="BA59" s="98" t="s">
        <v>840</v>
      </c>
      <c r="BB59" s="97">
        <v>1</v>
      </c>
      <c r="BC59" s="73" t="s">
        <v>287</v>
      </c>
      <c r="BD59" s="74">
        <v>0</v>
      </c>
      <c r="BE59" s="73"/>
      <c r="BF59" s="73"/>
      <c r="BG59" s="74">
        <v>1</v>
      </c>
      <c r="BH59" s="73" t="s">
        <v>644</v>
      </c>
      <c r="BI59" s="73" t="s">
        <v>296</v>
      </c>
      <c r="BJ59" s="73"/>
      <c r="BK59" s="73"/>
      <c r="BL59" s="74">
        <v>0</v>
      </c>
      <c r="BM59" s="73"/>
      <c r="BN59" s="73"/>
      <c r="BO59" s="73"/>
      <c r="BP59" s="73"/>
      <c r="BQ59" s="74">
        <v>0</v>
      </c>
      <c r="BR59" s="73"/>
      <c r="BS59" s="73"/>
      <c r="BT59" s="74">
        <v>0</v>
      </c>
      <c r="BU59" s="73"/>
      <c r="BV59" s="73"/>
      <c r="BW59" s="74">
        <v>1</v>
      </c>
      <c r="BX59" s="73" t="s">
        <v>645</v>
      </c>
      <c r="BY59" s="73" t="s">
        <v>310</v>
      </c>
      <c r="BZ59" s="73" t="s">
        <v>297</v>
      </c>
      <c r="CA59" s="74">
        <v>0</v>
      </c>
      <c r="CB59" s="73"/>
      <c r="CC59" s="73"/>
      <c r="CD59" s="73" t="s">
        <v>324</v>
      </c>
      <c r="CE59" s="97" t="s">
        <v>841</v>
      </c>
      <c r="CF59" s="97">
        <v>1</v>
      </c>
      <c r="CG59" s="73" t="s">
        <v>339</v>
      </c>
      <c r="CH59" s="74">
        <v>0</v>
      </c>
      <c r="CI59" s="73"/>
      <c r="CJ59" s="73"/>
      <c r="CK59" s="74">
        <v>1</v>
      </c>
      <c r="CL59" s="73" t="s">
        <v>646</v>
      </c>
      <c r="CM59" s="73" t="s">
        <v>296</v>
      </c>
      <c r="CN59" s="74">
        <v>1</v>
      </c>
      <c r="CO59" s="73" t="s">
        <v>647</v>
      </c>
      <c r="CP59" s="73"/>
      <c r="CQ59" s="73" t="s">
        <v>303</v>
      </c>
      <c r="CR59" s="73" t="s">
        <v>297</v>
      </c>
      <c r="CS59" s="74">
        <v>0</v>
      </c>
      <c r="CT59" s="73"/>
      <c r="CU59" s="73"/>
      <c r="CV59" s="73" t="s">
        <v>305</v>
      </c>
      <c r="CW59" s="98" t="s">
        <v>298</v>
      </c>
      <c r="CX59" s="97" t="str">
        <f t="shared" si="6"/>
        <v/>
      </c>
      <c r="CY59" s="73" t="s">
        <v>500</v>
      </c>
      <c r="CZ59" s="74">
        <v>0</v>
      </c>
      <c r="DA59" s="73"/>
      <c r="DB59" s="73"/>
      <c r="DC59" s="74">
        <v>0</v>
      </c>
      <c r="DD59" s="73"/>
      <c r="DE59" s="73" t="s">
        <v>296</v>
      </c>
      <c r="DF59" s="74">
        <v>1</v>
      </c>
      <c r="DG59" s="73" t="s">
        <v>648</v>
      </c>
      <c r="DH59" s="73"/>
      <c r="DI59" s="73" t="s">
        <v>303</v>
      </c>
      <c r="DJ59" s="73" t="s">
        <v>302</v>
      </c>
      <c r="DK59" s="74">
        <v>0</v>
      </c>
      <c r="DL59" s="73"/>
      <c r="DM59" s="73"/>
      <c r="DN59" s="73" t="s">
        <v>305</v>
      </c>
      <c r="DO59" s="98" t="s">
        <v>305</v>
      </c>
      <c r="DP59" s="97">
        <f>IF(DO59=DN59,1,"")</f>
        <v>1</v>
      </c>
      <c r="DQ59" s="73" t="s">
        <v>302</v>
      </c>
      <c r="DR59" s="74">
        <v>0</v>
      </c>
      <c r="DS59" s="73"/>
      <c r="DT59" s="73"/>
      <c r="DU59" s="74">
        <v>0</v>
      </c>
      <c r="DV59" s="73"/>
      <c r="DW59" s="73" t="s">
        <v>299</v>
      </c>
      <c r="DX59" s="74">
        <v>1</v>
      </c>
      <c r="DY59" s="73" t="s">
        <v>362</v>
      </c>
      <c r="DZ59" s="73"/>
      <c r="EA59" s="73" t="s">
        <v>303</v>
      </c>
      <c r="EB59" s="73" t="s">
        <v>331</v>
      </c>
      <c r="EC59" s="74">
        <v>0</v>
      </c>
      <c r="ED59" s="73"/>
      <c r="EE59" s="73"/>
      <c r="EF59" s="73" t="s">
        <v>298</v>
      </c>
      <c r="EG59" s="98" t="s">
        <v>298</v>
      </c>
      <c r="EH59" s="97">
        <f>IF(EG59=EF59,1,"")</f>
        <v>1</v>
      </c>
      <c r="EI59" s="73" t="s">
        <v>331</v>
      </c>
      <c r="EJ59" s="74">
        <v>0</v>
      </c>
      <c r="EK59" s="73"/>
      <c r="EL59" s="73"/>
      <c r="EM59" s="73" t="s">
        <v>649</v>
      </c>
      <c r="EN59" s="73"/>
      <c r="EO59" s="73" t="s">
        <v>296</v>
      </c>
      <c r="EP59" s="74">
        <v>1</v>
      </c>
      <c r="EQ59" s="73" t="s">
        <v>650</v>
      </c>
      <c r="ER59" s="73" t="s">
        <v>303</v>
      </c>
      <c r="ES59" s="73" t="s">
        <v>331</v>
      </c>
      <c r="ET59" s="74">
        <v>0</v>
      </c>
      <c r="EU59" s="73"/>
      <c r="EV59" s="73"/>
      <c r="EW59" s="73" t="s">
        <v>305</v>
      </c>
      <c r="EX59" s="98" t="s">
        <v>298</v>
      </c>
      <c r="EY59" s="97" t="str">
        <f>IF(EX59=EW59,1,"")</f>
        <v/>
      </c>
      <c r="EZ59" s="74">
        <v>0</v>
      </c>
      <c r="FA59" s="73"/>
      <c r="FB59" s="73"/>
      <c r="FC59" s="73" t="s">
        <v>651</v>
      </c>
      <c r="FD59" s="74">
        <v>0</v>
      </c>
      <c r="FE59" s="73"/>
      <c r="FF59" s="73" t="s">
        <v>296</v>
      </c>
      <c r="FG59" s="74">
        <v>0</v>
      </c>
      <c r="FH59" s="73"/>
      <c r="FI59" s="73"/>
      <c r="FJ59" s="73"/>
      <c r="FK59" s="73"/>
      <c r="FL59" s="73"/>
      <c r="FM59" s="73"/>
      <c r="FN59" s="73"/>
      <c r="FO59" s="73"/>
      <c r="FP59" s="74">
        <v>0</v>
      </c>
      <c r="FQ59" s="73"/>
      <c r="FR59" s="73"/>
      <c r="FS59" s="73"/>
      <c r="FT59" s="75"/>
      <c r="FU59" s="73" t="s">
        <v>351</v>
      </c>
      <c r="FV59" s="73"/>
      <c r="FW59" s="73"/>
      <c r="FX59" s="74">
        <v>-1</v>
      </c>
      <c r="FY59" s="74">
        <v>-1</v>
      </c>
      <c r="FZ59" s="74">
        <v>-1</v>
      </c>
      <c r="GA59" s="74">
        <v>-1</v>
      </c>
      <c r="GB59" s="74">
        <v>-1</v>
      </c>
      <c r="GC59" s="74">
        <v>-1</v>
      </c>
      <c r="GD59" s="74">
        <v>-1</v>
      </c>
      <c r="GE59" s="74">
        <v>-1</v>
      </c>
      <c r="GF59" s="74">
        <v>-1</v>
      </c>
      <c r="GG59" s="74">
        <v>-1</v>
      </c>
      <c r="GH59" s="74">
        <v>-1</v>
      </c>
      <c r="GI59" s="74">
        <v>-1</v>
      </c>
      <c r="GJ59" s="74">
        <v>-1</v>
      </c>
      <c r="GK59" s="74">
        <v>-1</v>
      </c>
      <c r="GL59" s="74">
        <v>-1</v>
      </c>
      <c r="GM59" s="74">
        <v>-15</v>
      </c>
      <c r="GN59" s="76"/>
      <c r="GO59" s="76"/>
      <c r="GP59" s="73" t="s">
        <v>319</v>
      </c>
      <c r="GQ59" s="73" t="s">
        <v>320</v>
      </c>
      <c r="GR59" s="73" t="s">
        <v>277</v>
      </c>
      <c r="GS59" s="74">
        <v>15</v>
      </c>
      <c r="GT59" s="74">
        <v>15</v>
      </c>
      <c r="GU59" s="74">
        <v>40</v>
      </c>
      <c r="GV59" s="74">
        <v>16</v>
      </c>
      <c r="GW59" s="77"/>
    </row>
    <row r="60" spans="1:205" s="35" customFormat="1" ht="13.8" thickBot="1" x14ac:dyDescent="0.3">
      <c r="A60" s="118">
        <v>216</v>
      </c>
      <c r="B60" s="120" t="s">
        <v>376</v>
      </c>
      <c r="C60" s="120">
        <v>72.5</v>
      </c>
      <c r="D60" s="120" t="s">
        <v>279</v>
      </c>
      <c r="E60" s="120" t="s">
        <v>320</v>
      </c>
      <c r="F60" s="120" t="s">
        <v>282</v>
      </c>
      <c r="G60" s="120" t="s">
        <v>282</v>
      </c>
      <c r="H60" s="120" t="s">
        <v>282</v>
      </c>
      <c r="I60" s="120" t="s">
        <v>282</v>
      </c>
      <c r="J60" s="120" t="s">
        <v>282</v>
      </c>
      <c r="K60" s="120" t="s">
        <v>281</v>
      </c>
      <c r="L60" s="120" t="s">
        <v>282</v>
      </c>
      <c r="M60" s="120" t="s">
        <v>282</v>
      </c>
      <c r="N60" s="120" t="s">
        <v>282</v>
      </c>
      <c r="O60" s="118">
        <v>0</v>
      </c>
      <c r="P60" s="120"/>
      <c r="Q60" s="120"/>
      <c r="R60" s="120" t="s">
        <v>423</v>
      </c>
      <c r="S60" s="120"/>
      <c r="T60" s="120"/>
      <c r="U60" s="120"/>
      <c r="V60" s="120" t="s">
        <v>348</v>
      </c>
      <c r="W60" s="35" t="s">
        <v>652</v>
      </c>
      <c r="X60" s="120" t="s">
        <v>437</v>
      </c>
      <c r="Y60" s="118">
        <v>0</v>
      </c>
      <c r="Z60" s="120"/>
      <c r="AA60" s="120"/>
      <c r="AB60" s="120"/>
      <c r="AC60" s="120"/>
      <c r="AD60" s="118">
        <v>0</v>
      </c>
      <c r="AE60" s="120"/>
      <c r="AF60" s="120"/>
      <c r="AG60" s="11"/>
      <c r="AH60" s="98"/>
      <c r="AI60" s="97"/>
      <c r="AJ60" s="11"/>
      <c r="AK60" s="118">
        <v>0</v>
      </c>
      <c r="AL60" s="120"/>
      <c r="AM60" s="120"/>
      <c r="AN60" s="118">
        <v>0</v>
      </c>
      <c r="AO60" s="120"/>
      <c r="AP60" s="120"/>
      <c r="AQ60" s="120"/>
      <c r="AR60" s="118">
        <v>0</v>
      </c>
      <c r="AS60" s="120"/>
      <c r="AT60" s="120"/>
      <c r="AU60" s="120"/>
      <c r="AV60" s="120"/>
      <c r="AW60" s="118">
        <v>0</v>
      </c>
      <c r="AX60" s="120"/>
      <c r="AY60" s="120"/>
      <c r="AZ60" s="11"/>
      <c r="BA60" s="98"/>
      <c r="BB60" s="97"/>
      <c r="BC60" s="11"/>
      <c r="BD60" s="118">
        <v>0</v>
      </c>
      <c r="BE60" s="120"/>
      <c r="BF60" s="120"/>
      <c r="BG60" s="118">
        <v>0</v>
      </c>
      <c r="BH60" s="120"/>
      <c r="BI60" s="120"/>
      <c r="BJ60" s="120" t="s">
        <v>294</v>
      </c>
      <c r="BK60" s="120" t="s">
        <v>297</v>
      </c>
      <c r="BL60" s="118">
        <v>0</v>
      </c>
      <c r="BM60" s="120"/>
      <c r="BN60" s="120"/>
      <c r="BO60" s="120" t="s">
        <v>324</v>
      </c>
      <c r="BP60" s="120" t="s">
        <v>297</v>
      </c>
      <c r="BQ60" s="118">
        <v>0</v>
      </c>
      <c r="BR60" s="120"/>
      <c r="BS60" s="120"/>
      <c r="BT60" s="118">
        <v>1</v>
      </c>
      <c r="BU60" s="120" t="s">
        <v>653</v>
      </c>
      <c r="BV60" s="120" t="s">
        <v>299</v>
      </c>
      <c r="BW60" s="118">
        <v>1</v>
      </c>
      <c r="BX60" s="120" t="s">
        <v>654</v>
      </c>
      <c r="BY60" s="120" t="s">
        <v>294</v>
      </c>
      <c r="BZ60" s="120" t="s">
        <v>297</v>
      </c>
      <c r="CA60" s="118">
        <v>0</v>
      </c>
      <c r="CB60" s="120"/>
      <c r="CC60" s="120"/>
      <c r="CD60" s="11" t="s">
        <v>324</v>
      </c>
      <c r="CE60" s="97" t="s">
        <v>842</v>
      </c>
      <c r="CF60" s="97">
        <v>1</v>
      </c>
      <c r="CG60" s="11" t="s">
        <v>287</v>
      </c>
      <c r="CH60" s="118">
        <v>0</v>
      </c>
      <c r="CI60" s="120"/>
      <c r="CJ60" s="120"/>
      <c r="CK60" s="118">
        <v>0</v>
      </c>
      <c r="CL60" s="120"/>
      <c r="CM60" s="120" t="s">
        <v>296</v>
      </c>
      <c r="CN60" s="118">
        <v>1</v>
      </c>
      <c r="CO60" s="120" t="s">
        <v>359</v>
      </c>
      <c r="CP60" s="120"/>
      <c r="CQ60" s="120" t="s">
        <v>303</v>
      </c>
      <c r="CR60" s="120" t="s">
        <v>297</v>
      </c>
      <c r="CS60" s="118">
        <v>0</v>
      </c>
      <c r="CT60" s="120"/>
      <c r="CU60" s="120"/>
      <c r="CV60" s="11" t="s">
        <v>305</v>
      </c>
      <c r="CW60" s="98" t="s">
        <v>305</v>
      </c>
      <c r="CX60" s="97">
        <f t="shared" si="6"/>
        <v>1</v>
      </c>
      <c r="CY60" s="11" t="s">
        <v>297</v>
      </c>
      <c r="CZ60" s="118">
        <v>0</v>
      </c>
      <c r="DA60" s="120"/>
      <c r="DB60" s="120"/>
      <c r="DC60" s="118">
        <v>0</v>
      </c>
      <c r="DD60" s="120"/>
      <c r="DE60" s="120" t="s">
        <v>299</v>
      </c>
      <c r="DF60" s="118">
        <v>1</v>
      </c>
      <c r="DG60" s="120" t="s">
        <v>655</v>
      </c>
      <c r="DH60" s="120"/>
      <c r="DI60" s="120" t="s">
        <v>303</v>
      </c>
      <c r="DJ60" s="120" t="s">
        <v>297</v>
      </c>
      <c r="DK60" s="118">
        <v>0</v>
      </c>
      <c r="DL60" s="120"/>
      <c r="DM60" s="120"/>
      <c r="DN60" s="11" t="s">
        <v>298</v>
      </c>
      <c r="DO60" s="98" t="s">
        <v>298</v>
      </c>
      <c r="DP60" s="97">
        <f>IF(DO60=DN60,1,"")</f>
        <v>1</v>
      </c>
      <c r="DQ60" s="11" t="s">
        <v>297</v>
      </c>
      <c r="DR60" s="118">
        <v>0</v>
      </c>
      <c r="DS60" s="120"/>
      <c r="DT60" s="120"/>
      <c r="DU60" s="118">
        <v>0</v>
      </c>
      <c r="DV60" s="120"/>
      <c r="DW60" s="120" t="s">
        <v>296</v>
      </c>
      <c r="DX60" s="118">
        <v>1</v>
      </c>
      <c r="DY60" s="120" t="s">
        <v>603</v>
      </c>
      <c r="DZ60" s="120"/>
      <c r="EA60" s="120" t="s">
        <v>303</v>
      </c>
      <c r="EB60" s="120" t="s">
        <v>331</v>
      </c>
      <c r="EC60" s="118">
        <v>0</v>
      </c>
      <c r="ED60" s="120"/>
      <c r="EE60" s="120"/>
      <c r="EF60" s="11" t="s">
        <v>298</v>
      </c>
      <c r="EG60" s="98" t="s">
        <v>298</v>
      </c>
      <c r="EH60" s="97">
        <f>IF(EG60=EF60,1,"")</f>
        <v>1</v>
      </c>
      <c r="EI60" s="11" t="s">
        <v>331</v>
      </c>
      <c r="EJ60" s="118">
        <v>0</v>
      </c>
      <c r="EK60" s="120"/>
      <c r="EL60" s="120"/>
      <c r="EM60" s="120" t="s">
        <v>656</v>
      </c>
      <c r="EN60" s="120"/>
      <c r="EO60" s="120" t="s">
        <v>296</v>
      </c>
      <c r="EP60" s="118">
        <v>1</v>
      </c>
      <c r="EQ60" s="120" t="s">
        <v>374</v>
      </c>
      <c r="ER60" s="120" t="s">
        <v>303</v>
      </c>
      <c r="ES60" s="120" t="s">
        <v>331</v>
      </c>
      <c r="ET60" s="118">
        <v>0</v>
      </c>
      <c r="EU60" s="120"/>
      <c r="EV60" s="120"/>
      <c r="EW60" s="11" t="s">
        <v>305</v>
      </c>
      <c r="EX60" s="98" t="s">
        <v>288</v>
      </c>
      <c r="EY60" s="97" t="str">
        <f>IF(EX60=EW60,1,"")</f>
        <v/>
      </c>
      <c r="EZ60" s="32">
        <v>0</v>
      </c>
      <c r="FA60" s="120"/>
      <c r="FB60" s="120"/>
      <c r="FC60" s="120"/>
      <c r="FD60" s="118">
        <v>0</v>
      </c>
      <c r="FE60" s="120"/>
      <c r="FF60" s="120" t="s">
        <v>299</v>
      </c>
      <c r="FG60" s="118">
        <v>0</v>
      </c>
      <c r="FH60" s="120"/>
      <c r="FI60" s="120"/>
      <c r="FJ60" s="120"/>
      <c r="FK60" s="120"/>
      <c r="FL60" s="120" t="s">
        <v>370</v>
      </c>
      <c r="FM60" s="120" t="s">
        <v>657</v>
      </c>
      <c r="FN60" s="120"/>
      <c r="FO60" s="120"/>
      <c r="FP60" s="118">
        <v>0</v>
      </c>
      <c r="FQ60" s="120"/>
      <c r="FR60" s="120"/>
      <c r="FS60" s="120"/>
      <c r="FU60" s="120" t="s">
        <v>351</v>
      </c>
      <c r="FV60" s="120" t="s">
        <v>658</v>
      </c>
      <c r="FW60" s="120"/>
      <c r="FX60" s="118">
        <v>-1</v>
      </c>
      <c r="FY60" s="118">
        <v>-1</v>
      </c>
      <c r="FZ60" s="118">
        <v>-1</v>
      </c>
      <c r="GA60" s="118">
        <v>-1</v>
      </c>
      <c r="GB60" s="118">
        <v>-1</v>
      </c>
      <c r="GC60" s="118">
        <v>-1</v>
      </c>
      <c r="GD60" s="118">
        <v>-1</v>
      </c>
      <c r="GE60" s="118">
        <v>-1</v>
      </c>
      <c r="GF60" s="118">
        <v>-1</v>
      </c>
      <c r="GG60" s="118">
        <v>-1</v>
      </c>
      <c r="GH60" s="118">
        <v>-1</v>
      </c>
      <c r="GI60" s="118">
        <v>-1</v>
      </c>
      <c r="GJ60" s="118">
        <v>-1</v>
      </c>
      <c r="GK60" s="118">
        <v>-1</v>
      </c>
      <c r="GL60" s="118">
        <v>-1</v>
      </c>
      <c r="GM60" s="118">
        <v>-15</v>
      </c>
      <c r="GN60" s="124"/>
      <c r="GO60" s="124"/>
      <c r="GP60" s="120" t="s">
        <v>319</v>
      </c>
      <c r="GQ60" s="120" t="s">
        <v>320</v>
      </c>
      <c r="GR60" s="120" t="s">
        <v>277</v>
      </c>
      <c r="GS60" s="118">
        <v>15</v>
      </c>
      <c r="GT60" s="118">
        <v>15</v>
      </c>
      <c r="GU60" s="118">
        <v>48</v>
      </c>
      <c r="GV60" s="118">
        <v>27</v>
      </c>
      <c r="GW60" s="126"/>
    </row>
    <row r="61" spans="1:205" s="62" customFormat="1" ht="13.8" thickBot="1" x14ac:dyDescent="0.3">
      <c r="A61" s="118">
        <v>217</v>
      </c>
      <c r="B61" s="120" t="s">
        <v>376</v>
      </c>
      <c r="C61" s="120">
        <v>72.5</v>
      </c>
      <c r="D61" s="120" t="s">
        <v>353</v>
      </c>
      <c r="E61" s="120" t="s">
        <v>320</v>
      </c>
      <c r="F61" s="120" t="s">
        <v>282</v>
      </c>
      <c r="G61" s="120" t="s">
        <v>282</v>
      </c>
      <c r="H61" s="120" t="s">
        <v>282</v>
      </c>
      <c r="I61" s="120" t="s">
        <v>282</v>
      </c>
      <c r="J61" s="120" t="s">
        <v>282</v>
      </c>
      <c r="K61" s="120" t="s">
        <v>281</v>
      </c>
      <c r="L61" s="120" t="s">
        <v>282</v>
      </c>
      <c r="M61" s="120" t="s">
        <v>282</v>
      </c>
      <c r="N61" s="120" t="s">
        <v>282</v>
      </c>
      <c r="O61" s="118">
        <v>0</v>
      </c>
      <c r="P61" s="120"/>
      <c r="Q61" s="120"/>
      <c r="R61" s="120" t="s">
        <v>423</v>
      </c>
      <c r="S61" s="120"/>
      <c r="T61" s="120"/>
      <c r="U61" s="120"/>
      <c r="V61" s="120"/>
      <c r="W61" s="35" t="s">
        <v>652</v>
      </c>
      <c r="X61" s="120" t="s">
        <v>437</v>
      </c>
      <c r="Y61" s="118">
        <v>1</v>
      </c>
      <c r="Z61" s="120" t="s">
        <v>374</v>
      </c>
      <c r="AA61" s="120"/>
      <c r="AB61" s="120" t="s">
        <v>294</v>
      </c>
      <c r="AC61" s="120" t="s">
        <v>302</v>
      </c>
      <c r="AD61" s="118">
        <v>0</v>
      </c>
      <c r="AE61" s="120"/>
      <c r="AF61" s="120"/>
      <c r="AG61" s="120" t="s">
        <v>305</v>
      </c>
      <c r="AH61" s="98" t="s">
        <v>305</v>
      </c>
      <c r="AI61" s="97">
        <f>IF(AH61=AG61,1,"")</f>
        <v>1</v>
      </c>
      <c r="AJ61" s="120" t="s">
        <v>302</v>
      </c>
      <c r="AK61" s="118">
        <v>0</v>
      </c>
      <c r="AL61" s="120"/>
      <c r="AM61" s="120"/>
      <c r="AN61" s="118">
        <v>0</v>
      </c>
      <c r="AO61" s="120"/>
      <c r="AP61" s="120"/>
      <c r="AQ61" s="120" t="s">
        <v>299</v>
      </c>
      <c r="AR61" s="118">
        <v>0</v>
      </c>
      <c r="AS61" s="120"/>
      <c r="AT61" s="120"/>
      <c r="AU61" s="120" t="s">
        <v>301</v>
      </c>
      <c r="AV61" s="120" t="s">
        <v>297</v>
      </c>
      <c r="AW61" s="118">
        <v>0</v>
      </c>
      <c r="AX61" s="120"/>
      <c r="AY61" s="120"/>
      <c r="AZ61" s="120" t="s">
        <v>288</v>
      </c>
      <c r="BA61" s="98"/>
      <c r="BB61" s="97" t="str">
        <f>IF(BA61=AZ61,1,"")</f>
        <v/>
      </c>
      <c r="BC61" s="120" t="s">
        <v>302</v>
      </c>
      <c r="BD61" s="118">
        <v>0</v>
      </c>
      <c r="BE61" s="120"/>
      <c r="BF61" s="120"/>
      <c r="BG61" s="118">
        <v>0</v>
      </c>
      <c r="BH61" s="120"/>
      <c r="BI61" s="120" t="s">
        <v>299</v>
      </c>
      <c r="BJ61" s="120" t="s">
        <v>294</v>
      </c>
      <c r="BK61" s="120" t="s">
        <v>297</v>
      </c>
      <c r="BL61" s="118">
        <v>0</v>
      </c>
      <c r="BM61" s="120"/>
      <c r="BN61" s="120"/>
      <c r="BO61" s="120" t="s">
        <v>324</v>
      </c>
      <c r="BP61" s="120" t="s">
        <v>339</v>
      </c>
      <c r="BQ61" s="118">
        <v>0</v>
      </c>
      <c r="BR61" s="120"/>
      <c r="BS61" s="120"/>
      <c r="BT61" s="118">
        <v>1</v>
      </c>
      <c r="BU61" s="120" t="s">
        <v>653</v>
      </c>
      <c r="BV61" s="120" t="s">
        <v>299</v>
      </c>
      <c r="BW61" s="118">
        <v>1</v>
      </c>
      <c r="BX61" s="120" t="s">
        <v>659</v>
      </c>
      <c r="BY61" s="120" t="s">
        <v>294</v>
      </c>
      <c r="BZ61" s="120" t="s">
        <v>297</v>
      </c>
      <c r="CA61" s="118">
        <v>0</v>
      </c>
      <c r="CB61" s="120"/>
      <c r="CC61" s="120"/>
      <c r="CD61" s="120" t="s">
        <v>288</v>
      </c>
      <c r="CE61" s="97" t="s">
        <v>288</v>
      </c>
      <c r="CF61" s="97">
        <f t="shared" ref="CF61:CF66" si="7">IF(CE61=CD61,1,"")</f>
        <v>1</v>
      </c>
      <c r="CG61" s="120" t="s">
        <v>287</v>
      </c>
      <c r="CH61" s="118">
        <v>0</v>
      </c>
      <c r="CI61" s="120"/>
      <c r="CJ61" s="120"/>
      <c r="CK61" s="118">
        <v>0</v>
      </c>
      <c r="CL61" s="120"/>
      <c r="CM61" s="120" t="s">
        <v>296</v>
      </c>
      <c r="CN61" s="118">
        <v>1</v>
      </c>
      <c r="CO61" s="120" t="s">
        <v>359</v>
      </c>
      <c r="CP61" s="120"/>
      <c r="CQ61" s="120" t="s">
        <v>303</v>
      </c>
      <c r="CR61" s="120" t="s">
        <v>297</v>
      </c>
      <c r="CS61" s="118">
        <v>0</v>
      </c>
      <c r="CT61" s="120"/>
      <c r="CU61" s="120"/>
      <c r="CV61" s="120" t="s">
        <v>305</v>
      </c>
      <c r="CW61" s="99" t="s">
        <v>305</v>
      </c>
      <c r="CX61" s="97">
        <f t="shared" si="6"/>
        <v>1</v>
      </c>
      <c r="CY61" s="120" t="s">
        <v>287</v>
      </c>
      <c r="CZ61" s="118">
        <v>0</v>
      </c>
      <c r="DA61" s="120"/>
      <c r="DB61" s="120"/>
      <c r="DC61" s="118">
        <v>0</v>
      </c>
      <c r="DD61" s="120"/>
      <c r="DE61" s="120" t="s">
        <v>299</v>
      </c>
      <c r="DF61" s="118">
        <v>1</v>
      </c>
      <c r="DG61" s="120" t="s">
        <v>660</v>
      </c>
      <c r="DH61" s="120"/>
      <c r="DI61" s="120" t="s">
        <v>310</v>
      </c>
      <c r="DJ61" s="120" t="s">
        <v>297</v>
      </c>
      <c r="DK61" s="118">
        <v>0</v>
      </c>
      <c r="DL61" s="120"/>
      <c r="DM61" s="120"/>
      <c r="DN61" s="120" t="s">
        <v>324</v>
      </c>
      <c r="DO61" s="98" t="s">
        <v>324</v>
      </c>
      <c r="DP61" s="97">
        <f>IF(DO61=DN61,1,"")</f>
        <v>1</v>
      </c>
      <c r="DQ61" s="120" t="s">
        <v>287</v>
      </c>
      <c r="DR61" s="118">
        <v>0</v>
      </c>
      <c r="DS61" s="120"/>
      <c r="DT61" s="120"/>
      <c r="DU61" s="118">
        <v>0</v>
      </c>
      <c r="DV61" s="120"/>
      <c r="DW61" s="120" t="s">
        <v>296</v>
      </c>
      <c r="DX61" s="118">
        <v>1</v>
      </c>
      <c r="DY61" s="120" t="s">
        <v>603</v>
      </c>
      <c r="DZ61" s="120"/>
      <c r="EA61" s="120" t="s">
        <v>303</v>
      </c>
      <c r="EB61" s="120" t="s">
        <v>331</v>
      </c>
      <c r="EC61" s="118">
        <v>0</v>
      </c>
      <c r="ED61" s="120"/>
      <c r="EE61" s="120"/>
      <c r="EF61" s="120" t="s">
        <v>298</v>
      </c>
      <c r="EG61" s="98" t="s">
        <v>298</v>
      </c>
      <c r="EH61" s="97">
        <f>IF(EG61=EF61,1,"")</f>
        <v>1</v>
      </c>
      <c r="EI61" s="120" t="s">
        <v>331</v>
      </c>
      <c r="EJ61" s="118">
        <v>0</v>
      </c>
      <c r="EK61" s="120"/>
      <c r="EL61" s="120"/>
      <c r="EM61" s="120" t="s">
        <v>656</v>
      </c>
      <c r="EN61" s="120"/>
      <c r="EO61" s="120" t="s">
        <v>296</v>
      </c>
      <c r="EP61" s="118">
        <v>1</v>
      </c>
      <c r="EQ61" s="120" t="s">
        <v>374</v>
      </c>
      <c r="ER61" s="120" t="s">
        <v>303</v>
      </c>
      <c r="ES61" s="120" t="s">
        <v>331</v>
      </c>
      <c r="ET61" s="118">
        <v>0</v>
      </c>
      <c r="EU61" s="120"/>
      <c r="EV61" s="120"/>
      <c r="EW61" s="120" t="s">
        <v>305</v>
      </c>
      <c r="EX61" s="98" t="s">
        <v>288</v>
      </c>
      <c r="EY61" s="97" t="str">
        <f>IF(EX61=EW61,1,"")</f>
        <v/>
      </c>
      <c r="EZ61" s="118">
        <v>0</v>
      </c>
      <c r="FA61" s="120"/>
      <c r="FB61" s="120"/>
      <c r="FC61" s="120"/>
      <c r="FD61" s="118">
        <v>0</v>
      </c>
      <c r="FE61" s="120"/>
      <c r="FF61" s="120" t="s">
        <v>299</v>
      </c>
      <c r="FG61" s="118">
        <v>0</v>
      </c>
      <c r="FH61" s="120"/>
      <c r="FI61" s="120"/>
      <c r="FJ61" s="120"/>
      <c r="FK61" s="120"/>
      <c r="FL61" s="120" t="s">
        <v>397</v>
      </c>
      <c r="FM61" s="120" t="s">
        <v>661</v>
      </c>
      <c r="FN61" s="120"/>
      <c r="FO61" s="120"/>
      <c r="FP61" s="118">
        <v>0</v>
      </c>
      <c r="FQ61" s="120"/>
      <c r="FR61" s="120"/>
      <c r="FS61" s="120"/>
      <c r="FT61" s="35"/>
      <c r="FU61" s="120" t="s">
        <v>351</v>
      </c>
      <c r="FV61" s="120" t="s">
        <v>662</v>
      </c>
      <c r="FW61" s="120"/>
      <c r="FX61" s="118">
        <v>-1</v>
      </c>
      <c r="FY61" s="118">
        <v>-1</v>
      </c>
      <c r="FZ61" s="118">
        <v>-1</v>
      </c>
      <c r="GA61" s="118">
        <v>-1</v>
      </c>
      <c r="GB61" s="118">
        <v>-1</v>
      </c>
      <c r="GC61" s="118">
        <v>-1</v>
      </c>
      <c r="GD61" s="118">
        <v>-1</v>
      </c>
      <c r="GE61" s="118">
        <v>-1</v>
      </c>
      <c r="GF61" s="118">
        <v>-1</v>
      </c>
      <c r="GG61" s="118">
        <v>-1</v>
      </c>
      <c r="GH61" s="118">
        <v>-1</v>
      </c>
      <c r="GI61" s="118">
        <v>-1</v>
      </c>
      <c r="GJ61" s="118">
        <v>-1</v>
      </c>
      <c r="GK61" s="118">
        <v>-1</v>
      </c>
      <c r="GL61" s="118">
        <v>-1</v>
      </c>
      <c r="GM61" s="118">
        <v>-15</v>
      </c>
      <c r="GN61" s="124"/>
      <c r="GO61" s="124"/>
      <c r="GP61" s="120" t="s">
        <v>319</v>
      </c>
      <c r="GQ61" s="120" t="s">
        <v>320</v>
      </c>
      <c r="GR61" s="120" t="s">
        <v>277</v>
      </c>
      <c r="GS61" s="118">
        <v>15</v>
      </c>
      <c r="GT61" s="118">
        <v>15</v>
      </c>
      <c r="GU61" s="118">
        <v>36</v>
      </c>
      <c r="GV61" s="118">
        <v>9</v>
      </c>
      <c r="GW61" s="126"/>
    </row>
    <row r="62" spans="1:205" s="48" customFormat="1" x14ac:dyDescent="0.25">
      <c r="A62" s="32">
        <v>221</v>
      </c>
      <c r="B62" s="11" t="s">
        <v>376</v>
      </c>
      <c r="C62" s="11">
        <v>72.5</v>
      </c>
      <c r="D62" s="11" t="s">
        <v>353</v>
      </c>
      <c r="E62" s="11" t="s">
        <v>422</v>
      </c>
      <c r="F62" s="11" t="s">
        <v>282</v>
      </c>
      <c r="G62" s="11" t="s">
        <v>281</v>
      </c>
      <c r="H62" s="11" t="s">
        <v>282</v>
      </c>
      <c r="I62" s="11" t="s">
        <v>282</v>
      </c>
      <c r="J62" s="11" t="s">
        <v>282</v>
      </c>
      <c r="K62" s="11" t="s">
        <v>281</v>
      </c>
      <c r="L62" s="11" t="s">
        <v>282</v>
      </c>
      <c r="M62" s="11" t="s">
        <v>282</v>
      </c>
      <c r="N62" s="11" t="s">
        <v>282</v>
      </c>
      <c r="O62" s="32">
        <v>0</v>
      </c>
      <c r="P62" s="11"/>
      <c r="Q62" s="11"/>
      <c r="R62" s="11" t="s">
        <v>423</v>
      </c>
      <c r="S62" s="11"/>
      <c r="T62" s="11"/>
      <c r="U62" s="11"/>
      <c r="V62" s="11"/>
      <c r="W62" s="10" t="s">
        <v>463</v>
      </c>
      <c r="X62" s="11" t="s">
        <v>437</v>
      </c>
      <c r="Y62" s="32">
        <v>1</v>
      </c>
      <c r="Z62" s="11" t="s">
        <v>585</v>
      </c>
      <c r="AA62" s="11"/>
      <c r="AB62" s="11" t="s">
        <v>310</v>
      </c>
      <c r="AC62" s="11" t="s">
        <v>297</v>
      </c>
      <c r="AD62" s="32">
        <v>0</v>
      </c>
      <c r="AE62" s="11"/>
      <c r="AF62" s="11"/>
      <c r="AG62" s="11" t="s">
        <v>288</v>
      </c>
      <c r="AH62" s="98" t="s">
        <v>305</v>
      </c>
      <c r="AI62" s="97" t="str">
        <f>IF(AH62=AG62,1,"")</f>
        <v/>
      </c>
      <c r="AJ62" s="11" t="s">
        <v>302</v>
      </c>
      <c r="AK62" s="32">
        <v>0</v>
      </c>
      <c r="AL62" s="11"/>
      <c r="AM62" s="11"/>
      <c r="AN62" s="32">
        <v>1</v>
      </c>
      <c r="AO62" s="11" t="s">
        <v>666</v>
      </c>
      <c r="AP62" s="11"/>
      <c r="AQ62" s="11" t="s">
        <v>292</v>
      </c>
      <c r="AR62" s="32">
        <v>0</v>
      </c>
      <c r="AS62" s="11"/>
      <c r="AT62" s="11"/>
      <c r="AU62" s="11"/>
      <c r="AV62" s="11"/>
      <c r="AW62" s="32">
        <v>0</v>
      </c>
      <c r="AX62" s="11"/>
      <c r="AY62" s="11"/>
      <c r="AZ62" s="11"/>
      <c r="BA62" s="98"/>
      <c r="BB62" s="97"/>
      <c r="BC62" s="11"/>
      <c r="BD62" s="32">
        <v>0</v>
      </c>
      <c r="BE62" s="11"/>
      <c r="BF62" s="11"/>
      <c r="BG62" s="32">
        <v>0</v>
      </c>
      <c r="BH62" s="11"/>
      <c r="BI62" s="11"/>
      <c r="BJ62" s="11"/>
      <c r="BK62" s="11"/>
      <c r="BL62" s="32">
        <v>0</v>
      </c>
      <c r="BM62" s="11"/>
      <c r="BN62" s="11"/>
      <c r="BO62" s="11"/>
      <c r="BP62" s="11"/>
      <c r="BQ62" s="32">
        <v>0</v>
      </c>
      <c r="BR62" s="11"/>
      <c r="BS62" s="11"/>
      <c r="BT62" s="32">
        <v>0</v>
      </c>
      <c r="BU62" s="11"/>
      <c r="BV62" s="11"/>
      <c r="BW62" s="32">
        <v>0</v>
      </c>
      <c r="BX62" s="11"/>
      <c r="BY62" s="11" t="s">
        <v>303</v>
      </c>
      <c r="BZ62" s="11" t="s">
        <v>302</v>
      </c>
      <c r="CA62" s="32">
        <v>0</v>
      </c>
      <c r="CB62" s="11"/>
      <c r="CC62" s="11"/>
      <c r="CD62" s="11" t="s">
        <v>288</v>
      </c>
      <c r="CE62" s="97"/>
      <c r="CF62" s="97" t="str">
        <f t="shared" si="7"/>
        <v/>
      </c>
      <c r="CG62" s="11" t="s">
        <v>302</v>
      </c>
      <c r="CH62" s="32">
        <v>0</v>
      </c>
      <c r="CI62" s="11"/>
      <c r="CJ62" s="11"/>
      <c r="CK62" s="32">
        <v>0</v>
      </c>
      <c r="CL62" s="11"/>
      <c r="CM62" s="11" t="s">
        <v>296</v>
      </c>
      <c r="CN62" s="32">
        <v>1</v>
      </c>
      <c r="CO62" s="11" t="s">
        <v>359</v>
      </c>
      <c r="CP62" s="11"/>
      <c r="CQ62" s="11" t="s">
        <v>294</v>
      </c>
      <c r="CR62" s="11" t="s">
        <v>297</v>
      </c>
      <c r="CS62" s="32">
        <v>0</v>
      </c>
      <c r="CT62" s="11"/>
      <c r="CU62" s="11"/>
      <c r="CV62" s="11" t="s">
        <v>288</v>
      </c>
      <c r="CW62" s="98" t="s">
        <v>305</v>
      </c>
      <c r="CX62" s="97" t="str">
        <f t="shared" si="6"/>
        <v/>
      </c>
      <c r="CY62" s="11" t="s">
        <v>297</v>
      </c>
      <c r="CZ62" s="32">
        <v>0</v>
      </c>
      <c r="DA62" s="11"/>
      <c r="DB62" s="11"/>
      <c r="DC62" s="32">
        <v>0</v>
      </c>
      <c r="DD62" s="11"/>
      <c r="DE62" s="11" t="s">
        <v>296</v>
      </c>
      <c r="DF62" s="32">
        <v>0</v>
      </c>
      <c r="DG62" s="11"/>
      <c r="DH62" s="11"/>
      <c r="DI62" s="11"/>
      <c r="DJ62" s="11"/>
      <c r="DK62" s="32">
        <v>0</v>
      </c>
      <c r="DL62" s="11"/>
      <c r="DM62" s="11"/>
      <c r="DN62" s="11"/>
      <c r="DO62" s="98"/>
      <c r="DP62" s="97"/>
      <c r="DQ62" s="11"/>
      <c r="DR62" s="32">
        <v>0</v>
      </c>
      <c r="DS62" s="11"/>
      <c r="DT62" s="11"/>
      <c r="DU62" s="32">
        <v>0</v>
      </c>
      <c r="DV62" s="11"/>
      <c r="DW62" s="11"/>
      <c r="DX62" s="32">
        <v>1</v>
      </c>
      <c r="DY62" s="11" t="s">
        <v>603</v>
      </c>
      <c r="DZ62" s="11"/>
      <c r="EA62" s="11" t="s">
        <v>303</v>
      </c>
      <c r="EB62" s="11" t="s">
        <v>331</v>
      </c>
      <c r="EC62" s="32">
        <v>0</v>
      </c>
      <c r="ED62" s="11"/>
      <c r="EE62" s="11"/>
      <c r="EF62" s="11" t="s">
        <v>305</v>
      </c>
      <c r="EG62" s="98" t="s">
        <v>298</v>
      </c>
      <c r="EH62" s="97"/>
      <c r="EI62" s="11" t="s">
        <v>331</v>
      </c>
      <c r="EJ62" s="32">
        <v>0</v>
      </c>
      <c r="EK62" s="11"/>
      <c r="EL62" s="11"/>
      <c r="EM62" s="11"/>
      <c r="EN62" s="11"/>
      <c r="EO62" s="11" t="s">
        <v>296</v>
      </c>
      <c r="EP62" s="32">
        <v>1</v>
      </c>
      <c r="EQ62" s="11" t="s">
        <v>374</v>
      </c>
      <c r="ER62" s="11" t="s">
        <v>303</v>
      </c>
      <c r="ES62" s="11" t="s">
        <v>297</v>
      </c>
      <c r="ET62" s="32">
        <v>0</v>
      </c>
      <c r="EU62" s="11"/>
      <c r="EV62" s="11"/>
      <c r="EW62" s="11" t="s">
        <v>288</v>
      </c>
      <c r="EX62" s="98" t="s">
        <v>298</v>
      </c>
      <c r="EY62" s="97"/>
      <c r="EZ62" s="32">
        <v>0</v>
      </c>
      <c r="FA62" s="11"/>
      <c r="FB62" s="11"/>
      <c r="FC62" s="11" t="s">
        <v>412</v>
      </c>
      <c r="FD62" s="32">
        <v>0</v>
      </c>
      <c r="FE62" s="11"/>
      <c r="FF62" s="11" t="s">
        <v>296</v>
      </c>
      <c r="FG62" s="32">
        <v>0</v>
      </c>
      <c r="FH62" s="11"/>
      <c r="FI62" s="11"/>
      <c r="FJ62" s="11"/>
      <c r="FK62" s="11"/>
      <c r="FL62" s="11"/>
      <c r="FM62" s="11" t="s">
        <v>667</v>
      </c>
      <c r="FN62" s="11"/>
      <c r="FO62" s="11"/>
      <c r="FP62" s="32">
        <v>0</v>
      </c>
      <c r="FQ62" s="11"/>
      <c r="FR62" s="11"/>
      <c r="FS62" s="11"/>
      <c r="FT62" s="10"/>
      <c r="FU62" s="11" t="s">
        <v>351</v>
      </c>
      <c r="FV62" s="11"/>
      <c r="FW62" s="11"/>
      <c r="FX62" s="32">
        <v>-1</v>
      </c>
      <c r="FY62" s="32">
        <v>-1</v>
      </c>
      <c r="FZ62" s="32">
        <v>-1</v>
      </c>
      <c r="GA62" s="32">
        <v>-1</v>
      </c>
      <c r="GB62" s="32">
        <v>-1</v>
      </c>
      <c r="GC62" s="32">
        <v>-1</v>
      </c>
      <c r="GD62" s="32">
        <v>-1</v>
      </c>
      <c r="GE62" s="32">
        <v>-1</v>
      </c>
      <c r="GF62" s="32">
        <v>-1</v>
      </c>
      <c r="GG62" s="32">
        <v>-1</v>
      </c>
      <c r="GH62" s="32">
        <v>-1</v>
      </c>
      <c r="GI62" s="32">
        <v>-1</v>
      </c>
      <c r="GJ62" s="32">
        <v>-1</v>
      </c>
      <c r="GK62" s="32">
        <v>-1</v>
      </c>
      <c r="GL62" s="32">
        <v>-1</v>
      </c>
      <c r="GM62" s="32">
        <v>-15</v>
      </c>
      <c r="GN62" s="33"/>
      <c r="GO62" s="33"/>
      <c r="GP62" s="11"/>
      <c r="GQ62" s="11" t="s">
        <v>320</v>
      </c>
      <c r="GR62" s="11" t="s">
        <v>277</v>
      </c>
      <c r="GS62" s="32">
        <v>15</v>
      </c>
      <c r="GT62" s="32">
        <v>15</v>
      </c>
      <c r="GU62" s="32">
        <v>58</v>
      </c>
      <c r="GV62" s="32">
        <v>36</v>
      </c>
      <c r="GW62" s="34"/>
    </row>
    <row r="63" spans="1:205" s="40" customFormat="1" x14ac:dyDescent="0.25">
      <c r="A63" s="38">
        <v>223</v>
      </c>
      <c r="B63" s="39" t="s">
        <v>376</v>
      </c>
      <c r="C63" s="39">
        <v>72.5</v>
      </c>
      <c r="D63" s="39" t="s">
        <v>279</v>
      </c>
      <c r="E63" s="39" t="s">
        <v>422</v>
      </c>
      <c r="F63" s="39" t="s">
        <v>282</v>
      </c>
      <c r="G63" s="39" t="s">
        <v>281</v>
      </c>
      <c r="H63" s="39" t="s">
        <v>282</v>
      </c>
      <c r="I63" s="39" t="s">
        <v>282</v>
      </c>
      <c r="J63" s="39" t="s">
        <v>282</v>
      </c>
      <c r="K63" s="39" t="s">
        <v>281</v>
      </c>
      <c r="L63" s="39" t="s">
        <v>282</v>
      </c>
      <c r="M63" s="39" t="s">
        <v>282</v>
      </c>
      <c r="N63" s="39" t="s">
        <v>282</v>
      </c>
      <c r="O63" s="38">
        <v>0</v>
      </c>
      <c r="P63" s="39"/>
      <c r="Q63" s="39"/>
      <c r="R63" s="39" t="s">
        <v>423</v>
      </c>
      <c r="S63" s="39"/>
      <c r="T63" s="39"/>
      <c r="U63" s="39"/>
      <c r="V63" s="39"/>
      <c r="W63" s="40" t="s">
        <v>424</v>
      </c>
      <c r="X63" s="39" t="s">
        <v>437</v>
      </c>
      <c r="Y63" s="38">
        <v>1</v>
      </c>
      <c r="Z63" s="39" t="s">
        <v>365</v>
      </c>
      <c r="AA63" s="39"/>
      <c r="AB63" s="39" t="s">
        <v>303</v>
      </c>
      <c r="AC63" s="39" t="s">
        <v>297</v>
      </c>
      <c r="AD63" s="38">
        <v>0</v>
      </c>
      <c r="AE63" s="39"/>
      <c r="AF63" s="39"/>
      <c r="AG63" s="39" t="s">
        <v>305</v>
      </c>
      <c r="AH63" s="98" t="s">
        <v>298</v>
      </c>
      <c r="AI63" s="97" t="str">
        <f>IF(AH63=AG63,1,"")</f>
        <v/>
      </c>
      <c r="AJ63" s="39" t="s">
        <v>302</v>
      </c>
      <c r="AK63" s="38">
        <v>0</v>
      </c>
      <c r="AL63" s="39"/>
      <c r="AM63" s="39"/>
      <c r="AN63" s="38">
        <v>0</v>
      </c>
      <c r="AO63" s="39"/>
      <c r="AP63" s="39"/>
      <c r="AQ63" s="39" t="s">
        <v>299</v>
      </c>
      <c r="AR63" s="38">
        <v>0</v>
      </c>
      <c r="AS63" s="39"/>
      <c r="AT63" s="39"/>
      <c r="AU63" s="39"/>
      <c r="AV63" s="39"/>
      <c r="AW63" s="38">
        <v>0</v>
      </c>
      <c r="AX63" s="39"/>
      <c r="AY63" s="39"/>
      <c r="AZ63" s="39"/>
      <c r="BA63" s="98"/>
      <c r="BB63" s="97"/>
      <c r="BC63" s="39"/>
      <c r="BD63" s="38">
        <v>0</v>
      </c>
      <c r="BE63" s="39"/>
      <c r="BF63" s="39"/>
      <c r="BG63" s="38">
        <v>0</v>
      </c>
      <c r="BH63" s="39"/>
      <c r="BI63" s="39"/>
      <c r="BJ63" s="39"/>
      <c r="BK63" s="39"/>
      <c r="BL63" s="38">
        <v>0</v>
      </c>
      <c r="BM63" s="39"/>
      <c r="BN63" s="39"/>
      <c r="BO63" s="39"/>
      <c r="BP63" s="39"/>
      <c r="BQ63" s="38">
        <v>0</v>
      </c>
      <c r="BR63" s="39"/>
      <c r="BS63" s="39"/>
      <c r="BT63" s="38">
        <v>0</v>
      </c>
      <c r="BU63" s="39"/>
      <c r="BV63" s="39"/>
      <c r="BW63" s="38">
        <v>1</v>
      </c>
      <c r="BX63" s="39" t="s">
        <v>668</v>
      </c>
      <c r="BY63" s="39" t="s">
        <v>303</v>
      </c>
      <c r="BZ63" s="39" t="s">
        <v>302</v>
      </c>
      <c r="CA63" s="38">
        <v>0</v>
      </c>
      <c r="CB63" s="39"/>
      <c r="CC63" s="39"/>
      <c r="CD63" s="39" t="s">
        <v>305</v>
      </c>
      <c r="CE63" s="97" t="s">
        <v>305</v>
      </c>
      <c r="CF63" s="97">
        <f t="shared" si="7"/>
        <v>1</v>
      </c>
      <c r="CG63" s="39" t="s">
        <v>302</v>
      </c>
      <c r="CH63" s="38">
        <v>0</v>
      </c>
      <c r="CI63" s="39"/>
      <c r="CJ63" s="39"/>
      <c r="CK63" s="38">
        <v>0</v>
      </c>
      <c r="CL63" s="39"/>
      <c r="CM63" s="39" t="s">
        <v>296</v>
      </c>
      <c r="CN63" s="38">
        <v>1</v>
      </c>
      <c r="CO63" s="39" t="s">
        <v>669</v>
      </c>
      <c r="CP63" s="39"/>
      <c r="CQ63" s="39" t="s">
        <v>303</v>
      </c>
      <c r="CR63" s="39" t="s">
        <v>297</v>
      </c>
      <c r="CS63" s="38">
        <v>0</v>
      </c>
      <c r="CT63" s="39"/>
      <c r="CU63" s="39"/>
      <c r="CV63" s="39" t="s">
        <v>288</v>
      </c>
      <c r="CW63" s="98" t="s">
        <v>305</v>
      </c>
      <c r="CX63" s="97" t="str">
        <f t="shared" si="6"/>
        <v/>
      </c>
      <c r="CY63" s="39" t="s">
        <v>297</v>
      </c>
      <c r="CZ63" s="38">
        <v>0</v>
      </c>
      <c r="DA63" s="39"/>
      <c r="DB63" s="39"/>
      <c r="DC63" s="38">
        <v>0</v>
      </c>
      <c r="DD63" s="39"/>
      <c r="DE63" s="39" t="s">
        <v>296</v>
      </c>
      <c r="DF63" s="38">
        <v>1</v>
      </c>
      <c r="DG63" s="39" t="s">
        <v>372</v>
      </c>
      <c r="DH63" s="39"/>
      <c r="DI63" s="39" t="s">
        <v>303</v>
      </c>
      <c r="DJ63" s="39" t="s">
        <v>297</v>
      </c>
      <c r="DK63" s="38">
        <v>0</v>
      </c>
      <c r="DL63" s="39"/>
      <c r="DM63" s="39"/>
      <c r="DN63" s="39" t="s">
        <v>288</v>
      </c>
      <c r="DO63" s="98" t="s">
        <v>288</v>
      </c>
      <c r="DP63" s="97">
        <f>IF(DO63=DN63,1,"")</f>
        <v>1</v>
      </c>
      <c r="DQ63" s="39" t="s">
        <v>297</v>
      </c>
      <c r="DR63" s="38">
        <v>0</v>
      </c>
      <c r="DS63" s="39"/>
      <c r="DT63" s="39"/>
      <c r="DU63" s="38">
        <v>0</v>
      </c>
      <c r="DV63" s="39"/>
      <c r="DW63" s="39" t="s">
        <v>328</v>
      </c>
      <c r="DX63" s="38">
        <v>1</v>
      </c>
      <c r="DY63" s="39" t="s">
        <v>603</v>
      </c>
      <c r="DZ63" s="39"/>
      <c r="EA63" s="39" t="s">
        <v>303</v>
      </c>
      <c r="EB63" s="39" t="s">
        <v>331</v>
      </c>
      <c r="EC63" s="38">
        <v>0</v>
      </c>
      <c r="ED63" s="39"/>
      <c r="EE63" s="39"/>
      <c r="EF63" s="39" t="s">
        <v>305</v>
      </c>
      <c r="EG63" s="98" t="s">
        <v>298</v>
      </c>
      <c r="EH63" s="97" t="str">
        <f>IF(EG63=EF63,1,"")</f>
        <v/>
      </c>
      <c r="EI63" s="39" t="s">
        <v>331</v>
      </c>
      <c r="EJ63" s="38">
        <v>0</v>
      </c>
      <c r="EK63" s="39"/>
      <c r="EL63" s="39"/>
      <c r="EM63" s="39"/>
      <c r="EN63" s="39"/>
      <c r="EO63" s="39" t="s">
        <v>296</v>
      </c>
      <c r="EP63" s="38">
        <v>1</v>
      </c>
      <c r="EQ63" s="39" t="s">
        <v>374</v>
      </c>
      <c r="ER63" s="39" t="s">
        <v>303</v>
      </c>
      <c r="ES63" s="39" t="s">
        <v>302</v>
      </c>
      <c r="ET63" s="38">
        <v>0</v>
      </c>
      <c r="EU63" s="39"/>
      <c r="EV63" s="39"/>
      <c r="EW63" s="39" t="s">
        <v>305</v>
      </c>
      <c r="EX63" s="98" t="s">
        <v>298</v>
      </c>
      <c r="EY63" s="97" t="str">
        <f>IF(EX63=EW63,1,"")</f>
        <v/>
      </c>
      <c r="EZ63" s="38">
        <v>0</v>
      </c>
      <c r="FA63" s="39"/>
      <c r="FB63" s="39"/>
      <c r="FC63" s="39"/>
      <c r="FD63" s="38">
        <v>0</v>
      </c>
      <c r="FE63" s="39"/>
      <c r="FF63" s="39" t="s">
        <v>296</v>
      </c>
      <c r="FG63" s="38">
        <v>0</v>
      </c>
      <c r="FH63" s="39"/>
      <c r="FI63" s="39"/>
      <c r="FJ63" s="39"/>
      <c r="FK63" s="39"/>
      <c r="FL63" s="39" t="s">
        <v>670</v>
      </c>
      <c r="FM63" s="39"/>
      <c r="FN63" s="39"/>
      <c r="FO63" s="39"/>
      <c r="FP63" s="38">
        <v>0</v>
      </c>
      <c r="FQ63" s="39"/>
      <c r="FR63" s="39"/>
      <c r="FS63" s="39"/>
      <c r="FU63" s="39" t="s">
        <v>351</v>
      </c>
      <c r="FV63" s="39"/>
      <c r="FW63" s="39"/>
      <c r="FX63" s="38">
        <v>-1</v>
      </c>
      <c r="FY63" s="38">
        <v>-1</v>
      </c>
      <c r="FZ63" s="38">
        <v>-1</v>
      </c>
      <c r="GA63" s="38">
        <v>-1</v>
      </c>
      <c r="GB63" s="38">
        <v>-1</v>
      </c>
      <c r="GC63" s="38">
        <v>-1</v>
      </c>
      <c r="GD63" s="38">
        <v>-1</v>
      </c>
      <c r="GE63" s="38">
        <v>-1</v>
      </c>
      <c r="GF63" s="38">
        <v>-1</v>
      </c>
      <c r="GG63" s="38">
        <v>-1</v>
      </c>
      <c r="GH63" s="38">
        <v>-1</v>
      </c>
      <c r="GI63" s="38">
        <v>-1</v>
      </c>
      <c r="GJ63" s="38">
        <v>-1</v>
      </c>
      <c r="GK63" s="38">
        <v>-1</v>
      </c>
      <c r="GL63" s="38">
        <v>-1</v>
      </c>
      <c r="GM63" s="38">
        <v>-15</v>
      </c>
      <c r="GN63" s="41"/>
      <c r="GO63" s="41"/>
      <c r="GP63" s="39"/>
      <c r="GQ63" s="39" t="s">
        <v>320</v>
      </c>
      <c r="GR63" s="39" t="s">
        <v>277</v>
      </c>
      <c r="GS63" s="38">
        <v>15</v>
      </c>
      <c r="GT63" s="38">
        <v>15</v>
      </c>
      <c r="GU63" s="38">
        <v>51</v>
      </c>
      <c r="GV63" s="38">
        <v>27</v>
      </c>
      <c r="GW63" s="42"/>
    </row>
    <row r="64" spans="1:205" s="40" customFormat="1" x14ac:dyDescent="0.25">
      <c r="A64" s="38">
        <v>225</v>
      </c>
      <c r="B64" s="39" t="s">
        <v>376</v>
      </c>
      <c r="C64" s="39">
        <v>72.5</v>
      </c>
      <c r="D64" s="39" t="s">
        <v>353</v>
      </c>
      <c r="E64" s="39" t="s">
        <v>320</v>
      </c>
      <c r="F64" s="39" t="s">
        <v>282</v>
      </c>
      <c r="G64" s="39" t="s">
        <v>281</v>
      </c>
      <c r="H64" s="39" t="s">
        <v>282</v>
      </c>
      <c r="I64" s="39" t="s">
        <v>282</v>
      </c>
      <c r="J64" s="39" t="s">
        <v>282</v>
      </c>
      <c r="K64" s="39" t="s">
        <v>282</v>
      </c>
      <c r="L64" s="39" t="s">
        <v>282</v>
      </c>
      <c r="M64" s="39" t="s">
        <v>282</v>
      </c>
      <c r="N64" s="39" t="s">
        <v>282</v>
      </c>
      <c r="O64" s="38">
        <v>0</v>
      </c>
      <c r="P64" s="39"/>
      <c r="Q64" s="39"/>
      <c r="R64" s="39" t="s">
        <v>423</v>
      </c>
      <c r="S64" s="39"/>
      <c r="T64" s="39"/>
      <c r="U64" s="39"/>
      <c r="V64" s="39"/>
      <c r="W64" s="40" t="s">
        <v>424</v>
      </c>
      <c r="X64" s="39" t="s">
        <v>437</v>
      </c>
      <c r="Y64" s="38">
        <v>1</v>
      </c>
      <c r="Z64" s="39" t="s">
        <v>365</v>
      </c>
      <c r="AA64" s="39"/>
      <c r="AB64" s="39" t="s">
        <v>303</v>
      </c>
      <c r="AC64" s="39" t="s">
        <v>297</v>
      </c>
      <c r="AD64" s="38">
        <v>0</v>
      </c>
      <c r="AE64" s="39"/>
      <c r="AF64" s="39"/>
      <c r="AG64" s="39" t="s">
        <v>305</v>
      </c>
      <c r="AH64" s="98" t="s">
        <v>298</v>
      </c>
      <c r="AI64" s="97" t="str">
        <f>IF(AH64=AG64,1,"")</f>
        <v/>
      </c>
      <c r="AJ64" s="39" t="s">
        <v>302</v>
      </c>
      <c r="AK64" s="38">
        <v>0</v>
      </c>
      <c r="AL64" s="39"/>
      <c r="AM64" s="39"/>
      <c r="AN64" s="38">
        <v>0</v>
      </c>
      <c r="AO64" s="39"/>
      <c r="AP64" s="39"/>
      <c r="AQ64" s="39" t="s">
        <v>328</v>
      </c>
      <c r="AR64" s="38">
        <v>0</v>
      </c>
      <c r="AS64" s="39"/>
      <c r="AT64" s="39"/>
      <c r="AU64" s="39" t="s">
        <v>301</v>
      </c>
      <c r="AV64" s="39" t="s">
        <v>287</v>
      </c>
      <c r="AW64" s="38">
        <v>0</v>
      </c>
      <c r="AX64" s="39"/>
      <c r="AY64" s="39"/>
      <c r="AZ64" s="39" t="s">
        <v>324</v>
      </c>
      <c r="BA64" s="98"/>
      <c r="BB64" s="97" t="str">
        <f>IF(BA64=AZ64,1,"")</f>
        <v/>
      </c>
      <c r="BC64" s="39" t="s">
        <v>302</v>
      </c>
      <c r="BD64" s="38">
        <v>0</v>
      </c>
      <c r="BE64" s="39"/>
      <c r="BF64" s="39"/>
      <c r="BG64" s="38">
        <v>1</v>
      </c>
      <c r="BH64" s="39" t="s">
        <v>671</v>
      </c>
      <c r="BI64" s="39" t="s">
        <v>292</v>
      </c>
      <c r="BJ64" s="39"/>
      <c r="BK64" s="39"/>
      <c r="BL64" s="38">
        <v>0</v>
      </c>
      <c r="BM64" s="39"/>
      <c r="BN64" s="39"/>
      <c r="BO64" s="39"/>
      <c r="BP64" s="39"/>
      <c r="BQ64" s="38">
        <v>0</v>
      </c>
      <c r="BR64" s="39"/>
      <c r="BS64" s="39"/>
      <c r="BT64" s="38">
        <v>0</v>
      </c>
      <c r="BU64" s="39"/>
      <c r="BV64" s="39"/>
      <c r="BW64" s="38">
        <v>1</v>
      </c>
      <c r="BX64" s="39" t="s">
        <v>672</v>
      </c>
      <c r="BY64" s="39" t="s">
        <v>303</v>
      </c>
      <c r="BZ64" s="39" t="s">
        <v>302</v>
      </c>
      <c r="CA64" s="38">
        <v>0</v>
      </c>
      <c r="CB64" s="39"/>
      <c r="CC64" s="39"/>
      <c r="CD64" s="39" t="s">
        <v>288</v>
      </c>
      <c r="CE64" s="97" t="s">
        <v>305</v>
      </c>
      <c r="CF64" s="97" t="str">
        <f t="shared" si="7"/>
        <v/>
      </c>
      <c r="CG64" s="39" t="s">
        <v>302</v>
      </c>
      <c r="CH64" s="38">
        <v>0</v>
      </c>
      <c r="CI64" s="39"/>
      <c r="CJ64" s="39"/>
      <c r="CK64" s="38">
        <v>0</v>
      </c>
      <c r="CL64" s="39"/>
      <c r="CM64" s="39" t="s">
        <v>296</v>
      </c>
      <c r="CN64" s="38">
        <v>1</v>
      </c>
      <c r="CO64" s="39" t="s">
        <v>673</v>
      </c>
      <c r="CP64" s="39"/>
      <c r="CQ64" s="39" t="s">
        <v>303</v>
      </c>
      <c r="CR64" s="39" t="s">
        <v>297</v>
      </c>
      <c r="CS64" s="38">
        <v>0</v>
      </c>
      <c r="CT64" s="39"/>
      <c r="CU64" s="39"/>
      <c r="CV64" s="39" t="s">
        <v>288</v>
      </c>
      <c r="CW64" s="98" t="s">
        <v>305</v>
      </c>
      <c r="CX64" s="97" t="str">
        <f t="shared" si="6"/>
        <v/>
      </c>
      <c r="CY64" s="39" t="s">
        <v>297</v>
      </c>
      <c r="CZ64" s="38">
        <v>0</v>
      </c>
      <c r="DA64" s="39"/>
      <c r="DB64" s="39"/>
      <c r="DC64" s="38">
        <v>0</v>
      </c>
      <c r="DD64" s="39"/>
      <c r="DE64" s="39" t="s">
        <v>296</v>
      </c>
      <c r="DF64" s="38">
        <v>0</v>
      </c>
      <c r="DG64" s="39"/>
      <c r="DH64" s="39"/>
      <c r="DI64" s="39"/>
      <c r="DJ64" s="39"/>
      <c r="DK64" s="38">
        <v>0</v>
      </c>
      <c r="DL64" s="39"/>
      <c r="DM64" s="39"/>
      <c r="DN64" s="39"/>
      <c r="DO64" s="98"/>
      <c r="DP64" s="97"/>
      <c r="DQ64" s="39"/>
      <c r="DR64" s="38">
        <v>0</v>
      </c>
      <c r="DS64" s="39"/>
      <c r="DT64" s="39"/>
      <c r="DU64" s="38">
        <v>0</v>
      </c>
      <c r="DV64" s="39"/>
      <c r="DW64" s="39"/>
      <c r="DX64" s="38">
        <v>1</v>
      </c>
      <c r="DY64" s="39" t="s">
        <v>603</v>
      </c>
      <c r="DZ64" s="39"/>
      <c r="EA64" s="39" t="s">
        <v>303</v>
      </c>
      <c r="EB64" s="39" t="s">
        <v>331</v>
      </c>
      <c r="EC64" s="38">
        <v>0</v>
      </c>
      <c r="ED64" s="39"/>
      <c r="EE64" s="39"/>
      <c r="EF64" s="39" t="s">
        <v>305</v>
      </c>
      <c r="EG64" s="98" t="s">
        <v>298</v>
      </c>
      <c r="EH64" s="97"/>
      <c r="EI64" s="39" t="s">
        <v>331</v>
      </c>
      <c r="EJ64" s="38">
        <v>0</v>
      </c>
      <c r="EK64" s="39"/>
      <c r="EL64" s="39"/>
      <c r="EM64" s="39"/>
      <c r="EN64" s="39"/>
      <c r="EO64" s="39" t="s">
        <v>296</v>
      </c>
      <c r="EP64" s="38">
        <v>1</v>
      </c>
      <c r="EQ64" s="39" t="s">
        <v>374</v>
      </c>
      <c r="ER64" s="39" t="s">
        <v>303</v>
      </c>
      <c r="ES64" s="39" t="s">
        <v>297</v>
      </c>
      <c r="ET64" s="38">
        <v>0</v>
      </c>
      <c r="EU64" s="39"/>
      <c r="EV64" s="39"/>
      <c r="EW64" s="39" t="s">
        <v>305</v>
      </c>
      <c r="EX64" s="98" t="s">
        <v>298</v>
      </c>
      <c r="EY64" s="97"/>
      <c r="EZ64" s="38">
        <v>0</v>
      </c>
      <c r="FA64" s="39"/>
      <c r="FB64" s="39"/>
      <c r="FC64" s="39"/>
      <c r="FD64" s="38">
        <v>0</v>
      </c>
      <c r="FE64" s="39"/>
      <c r="FF64" s="39" t="s">
        <v>296</v>
      </c>
      <c r="FG64" s="38">
        <v>0</v>
      </c>
      <c r="FH64" s="39"/>
      <c r="FI64" s="39"/>
      <c r="FJ64" s="39"/>
      <c r="FK64" s="39"/>
      <c r="FL64" s="39"/>
      <c r="FM64" s="39"/>
      <c r="FN64" s="39"/>
      <c r="FO64" s="39"/>
      <c r="FP64" s="38">
        <v>0</v>
      </c>
      <c r="FQ64" s="39"/>
      <c r="FR64" s="39"/>
      <c r="FS64" s="39"/>
      <c r="FU64" s="39" t="s">
        <v>351</v>
      </c>
      <c r="FV64" s="39"/>
      <c r="FW64" s="39"/>
      <c r="FX64" s="38">
        <v>-1</v>
      </c>
      <c r="FY64" s="38">
        <v>-1</v>
      </c>
      <c r="FZ64" s="38">
        <v>-1</v>
      </c>
      <c r="GA64" s="38">
        <v>-1</v>
      </c>
      <c r="GB64" s="38">
        <v>-1</v>
      </c>
      <c r="GC64" s="38">
        <v>-1</v>
      </c>
      <c r="GD64" s="38">
        <v>-1</v>
      </c>
      <c r="GE64" s="38">
        <v>-1</v>
      </c>
      <c r="GF64" s="38">
        <v>-1</v>
      </c>
      <c r="GG64" s="38">
        <v>-1</v>
      </c>
      <c r="GH64" s="38">
        <v>-1</v>
      </c>
      <c r="GI64" s="38">
        <v>-1</v>
      </c>
      <c r="GJ64" s="38">
        <v>-1</v>
      </c>
      <c r="GK64" s="38">
        <v>-1</v>
      </c>
      <c r="GL64" s="38">
        <v>-1</v>
      </c>
      <c r="GM64" s="38">
        <v>-15</v>
      </c>
      <c r="GN64" s="41"/>
      <c r="GO64" s="41"/>
      <c r="GP64" s="39"/>
      <c r="GQ64" s="39" t="s">
        <v>320</v>
      </c>
      <c r="GR64" s="39" t="s">
        <v>277</v>
      </c>
      <c r="GS64" s="38">
        <v>15</v>
      </c>
      <c r="GT64" s="38">
        <v>15</v>
      </c>
      <c r="GU64" s="38">
        <v>53</v>
      </c>
      <c r="GV64" s="38">
        <v>28</v>
      </c>
      <c r="GW64" s="42"/>
    </row>
    <row r="65" spans="1:205" s="45" customFormat="1" ht="13.8" thickBot="1" x14ac:dyDescent="0.3">
      <c r="A65" s="118">
        <v>227</v>
      </c>
      <c r="B65" s="120" t="s">
        <v>376</v>
      </c>
      <c r="C65" s="120">
        <v>72.5</v>
      </c>
      <c r="D65" s="120" t="s">
        <v>279</v>
      </c>
      <c r="E65" s="120" t="s">
        <v>320</v>
      </c>
      <c r="F65" s="120" t="s">
        <v>282</v>
      </c>
      <c r="G65" s="120" t="s">
        <v>282</v>
      </c>
      <c r="H65" s="120" t="s">
        <v>282</v>
      </c>
      <c r="I65" s="120" t="s">
        <v>282</v>
      </c>
      <c r="J65" s="120" t="s">
        <v>282</v>
      </c>
      <c r="K65" s="120" t="s">
        <v>281</v>
      </c>
      <c r="L65" s="120" t="s">
        <v>282</v>
      </c>
      <c r="M65" s="120" t="s">
        <v>282</v>
      </c>
      <c r="N65" s="120" t="s">
        <v>282</v>
      </c>
      <c r="O65" s="118">
        <v>0</v>
      </c>
      <c r="P65" s="120"/>
      <c r="Q65" s="120"/>
      <c r="R65" s="120" t="s">
        <v>423</v>
      </c>
      <c r="S65" s="120"/>
      <c r="T65" s="120"/>
      <c r="U65" s="120"/>
      <c r="V65" s="120"/>
      <c r="W65" s="35" t="s">
        <v>463</v>
      </c>
      <c r="X65" s="120" t="s">
        <v>350</v>
      </c>
      <c r="Y65" s="118">
        <v>0</v>
      </c>
      <c r="Z65" s="120"/>
      <c r="AA65" s="120"/>
      <c r="AB65" s="120"/>
      <c r="AC65" s="120"/>
      <c r="AD65" s="118">
        <v>0</v>
      </c>
      <c r="AE65" s="120"/>
      <c r="AF65" s="120"/>
      <c r="AG65" s="120"/>
      <c r="AH65" s="98"/>
      <c r="AI65" s="97"/>
      <c r="AJ65" s="120"/>
      <c r="AK65" s="118">
        <v>0</v>
      </c>
      <c r="AL65" s="120"/>
      <c r="AM65" s="120"/>
      <c r="AN65" s="118">
        <v>0</v>
      </c>
      <c r="AO65" s="120"/>
      <c r="AP65" s="120"/>
      <c r="AQ65" s="120"/>
      <c r="AR65" s="118">
        <v>0</v>
      </c>
      <c r="AS65" s="120"/>
      <c r="AT65" s="120"/>
      <c r="AU65" s="120"/>
      <c r="AV65" s="120"/>
      <c r="AW65" s="118">
        <v>0</v>
      </c>
      <c r="AX65" s="120"/>
      <c r="AY65" s="120"/>
      <c r="AZ65" s="120"/>
      <c r="BA65" s="99"/>
      <c r="BB65" s="97"/>
      <c r="BC65" s="120"/>
      <c r="BD65" s="118">
        <v>0</v>
      </c>
      <c r="BE65" s="120"/>
      <c r="BF65" s="120"/>
      <c r="BG65" s="118">
        <v>0</v>
      </c>
      <c r="BH65" s="120"/>
      <c r="BI65" s="120"/>
      <c r="BJ65" s="120"/>
      <c r="BK65" s="120"/>
      <c r="BL65" s="118">
        <v>0</v>
      </c>
      <c r="BM65" s="120"/>
      <c r="BN65" s="120"/>
      <c r="BO65" s="120"/>
      <c r="BP65" s="120"/>
      <c r="BQ65" s="118">
        <v>0</v>
      </c>
      <c r="BR65" s="120"/>
      <c r="BS65" s="120"/>
      <c r="BT65" s="118">
        <v>0</v>
      </c>
      <c r="BU65" s="120"/>
      <c r="BV65" s="120"/>
      <c r="BW65" s="118">
        <v>1</v>
      </c>
      <c r="BX65" s="120" t="s">
        <v>674</v>
      </c>
      <c r="BY65" s="120" t="s">
        <v>303</v>
      </c>
      <c r="BZ65" s="120" t="s">
        <v>297</v>
      </c>
      <c r="CA65" s="118">
        <v>0</v>
      </c>
      <c r="CB65" s="120"/>
      <c r="CC65" s="120"/>
      <c r="CD65" s="120" t="s">
        <v>288</v>
      </c>
      <c r="CE65" s="97" t="s">
        <v>298</v>
      </c>
      <c r="CF65" s="97" t="str">
        <f t="shared" si="7"/>
        <v/>
      </c>
      <c r="CG65" s="120" t="s">
        <v>297</v>
      </c>
      <c r="CH65" s="118">
        <v>0</v>
      </c>
      <c r="CI65" s="120"/>
      <c r="CJ65" s="120"/>
      <c r="CK65" s="118">
        <v>0</v>
      </c>
      <c r="CL65" s="120"/>
      <c r="CM65" s="120" t="s">
        <v>296</v>
      </c>
      <c r="CN65" s="118">
        <v>1</v>
      </c>
      <c r="CO65" s="120" t="s">
        <v>673</v>
      </c>
      <c r="CP65" s="120"/>
      <c r="CQ65" s="120" t="s">
        <v>303</v>
      </c>
      <c r="CR65" s="120" t="s">
        <v>297</v>
      </c>
      <c r="CS65" s="118">
        <v>0</v>
      </c>
      <c r="CT65" s="120"/>
      <c r="CU65" s="120"/>
      <c r="CV65" s="120" t="s">
        <v>288</v>
      </c>
      <c r="CW65" s="98" t="s">
        <v>305</v>
      </c>
      <c r="CX65" s="97" t="str">
        <f t="shared" si="6"/>
        <v/>
      </c>
      <c r="CY65" s="120" t="s">
        <v>297</v>
      </c>
      <c r="CZ65" s="118">
        <v>0</v>
      </c>
      <c r="DA65" s="120"/>
      <c r="DB65" s="120"/>
      <c r="DC65" s="118">
        <v>0</v>
      </c>
      <c r="DD65" s="120"/>
      <c r="DE65" s="120" t="s">
        <v>296</v>
      </c>
      <c r="DF65" s="118">
        <v>0</v>
      </c>
      <c r="DG65" s="120"/>
      <c r="DH65" s="120"/>
      <c r="DI65" s="120"/>
      <c r="DJ65" s="120"/>
      <c r="DK65" s="118">
        <v>0</v>
      </c>
      <c r="DL65" s="120"/>
      <c r="DM65" s="120"/>
      <c r="DN65" s="120"/>
      <c r="DO65" s="98"/>
      <c r="DP65" s="97"/>
      <c r="DQ65" s="120"/>
      <c r="DR65" s="118">
        <v>0</v>
      </c>
      <c r="DS65" s="120"/>
      <c r="DT65" s="120"/>
      <c r="DU65" s="118">
        <v>0</v>
      </c>
      <c r="DV65" s="120"/>
      <c r="DW65" s="120"/>
      <c r="DX65" s="118">
        <v>1</v>
      </c>
      <c r="DY65" s="120" t="s">
        <v>603</v>
      </c>
      <c r="DZ65" s="120"/>
      <c r="EA65" s="120" t="s">
        <v>303</v>
      </c>
      <c r="EB65" s="120" t="s">
        <v>297</v>
      </c>
      <c r="EC65" s="118">
        <v>0</v>
      </c>
      <c r="ED65" s="120"/>
      <c r="EE65" s="120"/>
      <c r="EF65" s="120" t="s">
        <v>298</v>
      </c>
      <c r="EG65" s="98" t="s">
        <v>298</v>
      </c>
      <c r="EH65" s="97">
        <f>IF(EG65=EF65,1,"")</f>
        <v>1</v>
      </c>
      <c r="EI65" s="120" t="s">
        <v>297</v>
      </c>
      <c r="EJ65" s="118">
        <v>0</v>
      </c>
      <c r="EK65" s="120"/>
      <c r="EL65" s="120"/>
      <c r="EM65" s="120"/>
      <c r="EN65" s="120"/>
      <c r="EO65" s="120" t="s">
        <v>296</v>
      </c>
      <c r="EP65" s="118">
        <v>1</v>
      </c>
      <c r="EQ65" s="120" t="s">
        <v>374</v>
      </c>
      <c r="ER65" s="120" t="s">
        <v>303</v>
      </c>
      <c r="ES65" s="120" t="s">
        <v>297</v>
      </c>
      <c r="ET65" s="118">
        <v>0</v>
      </c>
      <c r="EU65" s="120"/>
      <c r="EV65" s="120"/>
      <c r="EW65" s="120" t="s">
        <v>305</v>
      </c>
      <c r="EX65" s="98" t="s">
        <v>298</v>
      </c>
      <c r="EY65" s="97" t="str">
        <f>IF(EX65=EW65,1,"")</f>
        <v/>
      </c>
      <c r="EZ65" s="118">
        <v>0</v>
      </c>
      <c r="FA65" s="120"/>
      <c r="FB65" s="120"/>
      <c r="FC65" s="120"/>
      <c r="FD65" s="118">
        <v>0</v>
      </c>
      <c r="FE65" s="120"/>
      <c r="FF65" s="120" t="s">
        <v>296</v>
      </c>
      <c r="FG65" s="118">
        <v>0</v>
      </c>
      <c r="FH65" s="120"/>
      <c r="FI65" s="120"/>
      <c r="FJ65" s="120"/>
      <c r="FK65" s="120"/>
      <c r="FL65" s="120"/>
      <c r="FM65" s="120"/>
      <c r="FN65" s="120"/>
      <c r="FO65" s="120"/>
      <c r="FP65" s="118">
        <v>0</v>
      </c>
      <c r="FQ65" s="120"/>
      <c r="FR65" s="120"/>
      <c r="FS65" s="120"/>
      <c r="FT65" s="35"/>
      <c r="FU65" s="120" t="s">
        <v>351</v>
      </c>
      <c r="FV65" s="120"/>
      <c r="FW65" s="120" t="s">
        <v>675</v>
      </c>
      <c r="FX65" s="118">
        <v>-1</v>
      </c>
      <c r="FY65" s="118">
        <v>-1</v>
      </c>
      <c r="FZ65" s="118">
        <v>-1</v>
      </c>
      <c r="GA65" s="118">
        <v>-1</v>
      </c>
      <c r="GB65" s="118">
        <v>-1</v>
      </c>
      <c r="GC65" s="118">
        <v>-1</v>
      </c>
      <c r="GD65" s="118">
        <v>-1</v>
      </c>
      <c r="GE65" s="118">
        <v>-1</v>
      </c>
      <c r="GF65" s="118">
        <v>-1</v>
      </c>
      <c r="GG65" s="118">
        <v>-1</v>
      </c>
      <c r="GH65" s="118">
        <v>-1</v>
      </c>
      <c r="GI65" s="118">
        <v>-1</v>
      </c>
      <c r="GJ65" s="118">
        <v>-1</v>
      </c>
      <c r="GK65" s="118">
        <v>-1</v>
      </c>
      <c r="GL65" s="118">
        <v>-1</v>
      </c>
      <c r="GM65" s="118">
        <v>-15</v>
      </c>
      <c r="GN65" s="124"/>
      <c r="GO65" s="124"/>
      <c r="GP65" s="120"/>
      <c r="GQ65" s="120" t="s">
        <v>320</v>
      </c>
      <c r="GR65" s="120" t="s">
        <v>277</v>
      </c>
      <c r="GS65" s="118">
        <v>15</v>
      </c>
      <c r="GT65" s="118">
        <v>15</v>
      </c>
      <c r="GU65" s="118">
        <v>65</v>
      </c>
      <c r="GV65" s="118">
        <v>47</v>
      </c>
      <c r="GW65" s="126"/>
    </row>
    <row r="66" spans="1:205" customFormat="1" x14ac:dyDescent="0.25">
      <c r="A66" s="38">
        <v>231</v>
      </c>
      <c r="B66" s="39" t="s">
        <v>376</v>
      </c>
      <c r="C66" s="39">
        <v>72.5</v>
      </c>
      <c r="D66" s="39" t="s">
        <v>353</v>
      </c>
      <c r="E66" s="39" t="s">
        <v>377</v>
      </c>
      <c r="F66" s="39" t="s">
        <v>281</v>
      </c>
      <c r="G66" s="39" t="s">
        <v>281</v>
      </c>
      <c r="H66" s="39" t="s">
        <v>282</v>
      </c>
      <c r="I66" s="39" t="s">
        <v>282</v>
      </c>
      <c r="J66" s="39" t="s">
        <v>282</v>
      </c>
      <c r="K66" s="39" t="s">
        <v>281</v>
      </c>
      <c r="L66" s="39" t="s">
        <v>282</v>
      </c>
      <c r="M66" s="39" t="s">
        <v>282</v>
      </c>
      <c r="N66" s="39" t="s">
        <v>282</v>
      </c>
      <c r="O66" s="38">
        <v>0</v>
      </c>
      <c r="P66" s="39"/>
      <c r="Q66" s="39"/>
      <c r="R66" s="39" t="s">
        <v>423</v>
      </c>
      <c r="S66" s="39"/>
      <c r="T66" s="39"/>
      <c r="U66" s="39"/>
      <c r="V66" s="39"/>
      <c r="W66" s="40" t="s">
        <v>464</v>
      </c>
      <c r="X66" s="39" t="s">
        <v>350</v>
      </c>
      <c r="Y66" s="38">
        <v>1</v>
      </c>
      <c r="Z66" s="39" t="s">
        <v>694</v>
      </c>
      <c r="AA66" s="39"/>
      <c r="AB66" s="39" t="s">
        <v>301</v>
      </c>
      <c r="AC66" s="39" t="s">
        <v>297</v>
      </c>
      <c r="AD66" s="38">
        <v>0</v>
      </c>
      <c r="AE66" s="39"/>
      <c r="AF66" s="39"/>
      <c r="AG66" s="39" t="s">
        <v>288</v>
      </c>
      <c r="AH66" s="98" t="s">
        <v>305</v>
      </c>
      <c r="AI66" s="97" t="str">
        <f>IF(AH66=AG66,1,"")</f>
        <v/>
      </c>
      <c r="AJ66" s="39" t="s">
        <v>521</v>
      </c>
      <c r="AK66" s="38">
        <v>0</v>
      </c>
      <c r="AL66" s="39"/>
      <c r="AM66" s="39"/>
      <c r="AN66" s="38">
        <v>0</v>
      </c>
      <c r="AO66" s="39"/>
      <c r="AP66" s="39"/>
      <c r="AQ66" s="39" t="s">
        <v>296</v>
      </c>
      <c r="AR66" s="38">
        <v>1</v>
      </c>
      <c r="AS66" s="39" t="s">
        <v>405</v>
      </c>
      <c r="AT66" s="39"/>
      <c r="AU66" s="39" t="s">
        <v>303</v>
      </c>
      <c r="AV66" s="39" t="s">
        <v>297</v>
      </c>
      <c r="AW66" s="38">
        <v>0</v>
      </c>
      <c r="AX66" s="39"/>
      <c r="AY66" s="39"/>
      <c r="AZ66" s="39" t="s">
        <v>288</v>
      </c>
      <c r="BA66" s="98" t="s">
        <v>288</v>
      </c>
      <c r="BB66" s="97">
        <f>IF(BA66=AZ66,1,"")</f>
        <v>1</v>
      </c>
      <c r="BC66" s="39" t="s">
        <v>287</v>
      </c>
      <c r="BD66" s="38">
        <v>0</v>
      </c>
      <c r="BE66" s="39"/>
      <c r="BF66" s="39"/>
      <c r="BG66" s="38">
        <v>0</v>
      </c>
      <c r="BH66" s="39"/>
      <c r="BI66" s="39" t="s">
        <v>296</v>
      </c>
      <c r="BJ66" s="39" t="s">
        <v>294</v>
      </c>
      <c r="BK66" s="39" t="s">
        <v>297</v>
      </c>
      <c r="BL66" s="38">
        <v>0</v>
      </c>
      <c r="BM66" s="39"/>
      <c r="BN66" s="39"/>
      <c r="BO66" s="39" t="s">
        <v>305</v>
      </c>
      <c r="BP66" s="39" t="s">
        <v>302</v>
      </c>
      <c r="BQ66" s="38">
        <v>0</v>
      </c>
      <c r="BR66" s="39"/>
      <c r="BS66" s="39"/>
      <c r="BT66" s="38">
        <v>0</v>
      </c>
      <c r="BU66" s="39"/>
      <c r="BV66" s="39" t="s">
        <v>296</v>
      </c>
      <c r="BW66" s="38">
        <v>1</v>
      </c>
      <c r="BX66" s="39" t="s">
        <v>588</v>
      </c>
      <c r="BY66" s="39" t="s">
        <v>294</v>
      </c>
      <c r="BZ66" s="39" t="s">
        <v>297</v>
      </c>
      <c r="CA66" s="38">
        <v>0</v>
      </c>
      <c r="CB66" s="39"/>
      <c r="CC66" s="39"/>
      <c r="CD66" s="39" t="s">
        <v>288</v>
      </c>
      <c r="CE66" s="97" t="s">
        <v>288</v>
      </c>
      <c r="CF66" s="97">
        <f t="shared" si="7"/>
        <v>1</v>
      </c>
      <c r="CG66" s="39" t="s">
        <v>297</v>
      </c>
      <c r="CH66" s="38">
        <v>0</v>
      </c>
      <c r="CI66" s="39"/>
      <c r="CJ66" s="39"/>
      <c r="CK66" s="38">
        <v>0</v>
      </c>
      <c r="CL66" s="39"/>
      <c r="CM66" s="39" t="s">
        <v>296</v>
      </c>
      <c r="CN66" s="38">
        <v>1</v>
      </c>
      <c r="CO66" s="39" t="s">
        <v>358</v>
      </c>
      <c r="CP66" s="39"/>
      <c r="CQ66" s="39" t="s">
        <v>303</v>
      </c>
      <c r="CR66" s="39" t="s">
        <v>302</v>
      </c>
      <c r="CS66" s="38">
        <v>0</v>
      </c>
      <c r="CT66" s="39"/>
      <c r="CU66" s="39"/>
      <c r="CV66" s="39" t="s">
        <v>305</v>
      </c>
      <c r="CW66" s="98" t="s">
        <v>305</v>
      </c>
      <c r="CX66" s="97">
        <f t="shared" si="6"/>
        <v>1</v>
      </c>
      <c r="CY66" s="39" t="s">
        <v>302</v>
      </c>
      <c r="CZ66" s="38">
        <v>0</v>
      </c>
      <c r="DA66" s="39"/>
      <c r="DB66" s="39"/>
      <c r="DC66" s="38">
        <v>0</v>
      </c>
      <c r="DD66" s="39"/>
      <c r="DE66" s="39" t="s">
        <v>296</v>
      </c>
      <c r="DF66" s="38">
        <v>1</v>
      </c>
      <c r="DG66" s="39" t="s">
        <v>695</v>
      </c>
      <c r="DH66" s="39"/>
      <c r="DI66" s="39" t="s">
        <v>301</v>
      </c>
      <c r="DJ66" s="39" t="s">
        <v>297</v>
      </c>
      <c r="DK66" s="38">
        <v>0</v>
      </c>
      <c r="DL66" s="39"/>
      <c r="DM66" s="39"/>
      <c r="DN66" s="39" t="s">
        <v>324</v>
      </c>
      <c r="DO66" s="98" t="s">
        <v>324</v>
      </c>
      <c r="DP66" s="97">
        <f>IF(DO66=DN66,1,"")</f>
        <v>1</v>
      </c>
      <c r="DQ66" s="39" t="s">
        <v>302</v>
      </c>
      <c r="DR66" s="38">
        <v>0</v>
      </c>
      <c r="DS66" s="39"/>
      <c r="DT66" s="39"/>
      <c r="DU66" s="38">
        <v>0</v>
      </c>
      <c r="DV66" s="39"/>
      <c r="DW66" s="39" t="s">
        <v>296</v>
      </c>
      <c r="DX66" s="38">
        <v>1</v>
      </c>
      <c r="DY66" s="39" t="s">
        <v>696</v>
      </c>
      <c r="DZ66" s="39"/>
      <c r="EA66" s="39" t="s">
        <v>303</v>
      </c>
      <c r="EB66" s="39" t="s">
        <v>331</v>
      </c>
      <c r="EC66" s="38">
        <v>0</v>
      </c>
      <c r="ED66" s="39"/>
      <c r="EE66" s="39"/>
      <c r="EF66" s="39" t="s">
        <v>298</v>
      </c>
      <c r="EG66" s="98" t="s">
        <v>298</v>
      </c>
      <c r="EH66" s="97">
        <f>IF(EG66=EF66,1,"")</f>
        <v>1</v>
      </c>
      <c r="EI66" s="39" t="s">
        <v>331</v>
      </c>
      <c r="EJ66" s="38">
        <v>0</v>
      </c>
      <c r="EK66" s="39"/>
      <c r="EL66" s="39"/>
      <c r="EM66" s="39"/>
      <c r="EN66" s="39"/>
      <c r="EO66" s="39" t="s">
        <v>292</v>
      </c>
      <c r="EP66" s="38">
        <v>1</v>
      </c>
      <c r="EQ66" s="39" t="s">
        <v>697</v>
      </c>
      <c r="ER66" s="39" t="s">
        <v>294</v>
      </c>
      <c r="ES66" s="39" t="s">
        <v>302</v>
      </c>
      <c r="ET66" s="38">
        <v>0</v>
      </c>
      <c r="EU66" s="39"/>
      <c r="EV66" s="39"/>
      <c r="EW66" s="39" t="s">
        <v>305</v>
      </c>
      <c r="EX66" s="98" t="s">
        <v>298</v>
      </c>
      <c r="EY66" s="97" t="str">
        <f>IF(EX66=EW66,1,"")</f>
        <v/>
      </c>
      <c r="EZ66" s="38">
        <v>0</v>
      </c>
      <c r="FA66" s="39"/>
      <c r="FB66" s="39"/>
      <c r="FC66" s="39"/>
      <c r="FD66" s="38">
        <v>0</v>
      </c>
      <c r="FE66" s="39"/>
      <c r="FF66" s="39" t="s">
        <v>328</v>
      </c>
      <c r="FG66" s="38">
        <v>0</v>
      </c>
      <c r="FH66" s="39"/>
      <c r="FI66" s="39"/>
      <c r="FJ66" s="39"/>
      <c r="FK66" s="39"/>
      <c r="FL66" s="39"/>
      <c r="FM66" s="39"/>
      <c r="FN66" s="39"/>
      <c r="FO66" s="39"/>
      <c r="FP66" s="38">
        <v>1</v>
      </c>
      <c r="FQ66" s="39" t="s">
        <v>698</v>
      </c>
      <c r="FR66" s="39"/>
      <c r="FS66" s="39"/>
      <c r="FT66" s="40"/>
      <c r="FU66" s="39" t="s">
        <v>335</v>
      </c>
      <c r="FV66" s="39"/>
      <c r="FW66" s="39"/>
      <c r="FX66" s="38">
        <v>-1</v>
      </c>
      <c r="FY66" s="38">
        <v>-1</v>
      </c>
      <c r="FZ66" s="38">
        <v>-1</v>
      </c>
      <c r="GA66" s="38">
        <v>-1</v>
      </c>
      <c r="GB66" s="38">
        <v>-1</v>
      </c>
      <c r="GC66" s="38">
        <v>-1</v>
      </c>
      <c r="GD66" s="38">
        <v>-1</v>
      </c>
      <c r="GE66" s="38">
        <v>-1</v>
      </c>
      <c r="GF66" s="38">
        <v>-1</v>
      </c>
      <c r="GG66" s="38">
        <v>-1</v>
      </c>
      <c r="GH66" s="38">
        <v>-1</v>
      </c>
      <c r="GI66" s="38">
        <v>-1</v>
      </c>
      <c r="GJ66" s="38">
        <v>-1</v>
      </c>
      <c r="GK66" s="38">
        <v>-1</v>
      </c>
      <c r="GL66" s="38">
        <v>-1</v>
      </c>
      <c r="GM66" s="38">
        <v>-15</v>
      </c>
      <c r="GN66" s="41"/>
      <c r="GO66" s="41"/>
      <c r="GP66" s="39" t="s">
        <v>319</v>
      </c>
      <c r="GQ66" s="39" t="s">
        <v>320</v>
      </c>
      <c r="GR66" s="39" t="s">
        <v>277</v>
      </c>
      <c r="GS66" s="38">
        <v>15</v>
      </c>
      <c r="GT66" s="38">
        <v>15</v>
      </c>
      <c r="GU66" s="38">
        <v>38</v>
      </c>
      <c r="GV66" s="38">
        <v>10</v>
      </c>
      <c r="GW66" s="42"/>
    </row>
    <row r="67" spans="1:205" customFormat="1" hidden="1" x14ac:dyDescent="0.25">
      <c r="A67" t="s">
        <v>0</v>
      </c>
      <c r="B67" s="30" t="s">
        <v>1</v>
      </c>
      <c r="C67" s="30" t="s">
        <v>786</v>
      </c>
      <c r="D67" s="30" t="s">
        <v>2</v>
      </c>
      <c r="E67" s="30" t="s">
        <v>3</v>
      </c>
      <c r="F67" s="30" t="s">
        <v>4</v>
      </c>
      <c r="G67" s="30" t="s">
        <v>5</v>
      </c>
      <c r="H67" s="30" t="s">
        <v>6</v>
      </c>
      <c r="I67" s="30" t="s">
        <v>7</v>
      </c>
      <c r="J67" s="30" t="s">
        <v>8</v>
      </c>
      <c r="K67" s="30" t="s">
        <v>9</v>
      </c>
      <c r="L67" s="30" t="s">
        <v>10</v>
      </c>
      <c r="M67" s="30" t="s">
        <v>11</v>
      </c>
      <c r="N67" s="30" t="s">
        <v>12</v>
      </c>
      <c r="O67" s="30" t="s">
        <v>13</v>
      </c>
      <c r="P67" s="30" t="s">
        <v>14</v>
      </c>
      <c r="Q67" s="30" t="s">
        <v>15</v>
      </c>
      <c r="R67" s="30" t="s">
        <v>16</v>
      </c>
      <c r="S67" s="30" t="s">
        <v>17</v>
      </c>
      <c r="T67" s="30" t="s">
        <v>18</v>
      </c>
      <c r="U67" s="30" t="s">
        <v>19</v>
      </c>
      <c r="V67" s="30" t="s">
        <v>784</v>
      </c>
      <c r="W67" s="30" t="s">
        <v>20</v>
      </c>
      <c r="X67" s="30" t="s">
        <v>160</v>
      </c>
      <c r="Y67" s="22" t="s">
        <v>21</v>
      </c>
      <c r="Z67" s="22" t="s">
        <v>22</v>
      </c>
      <c r="AA67" s="22" t="s">
        <v>23</v>
      </c>
      <c r="AB67" s="22" t="s">
        <v>24</v>
      </c>
      <c r="AC67" s="22" t="s">
        <v>25</v>
      </c>
      <c r="AD67" s="22" t="s">
        <v>26</v>
      </c>
      <c r="AE67" s="22" t="s">
        <v>27</v>
      </c>
      <c r="AF67" s="22" t="s">
        <v>28</v>
      </c>
      <c r="AG67" s="22" t="s">
        <v>29</v>
      </c>
      <c r="AH67" s="97" t="s">
        <v>836</v>
      </c>
      <c r="AI67" s="97" t="s">
        <v>844</v>
      </c>
      <c r="AJ67" s="22" t="s">
        <v>30</v>
      </c>
      <c r="AK67" s="22" t="s">
        <v>31</v>
      </c>
      <c r="AL67" s="22" t="s">
        <v>32</v>
      </c>
      <c r="AM67" s="22" t="s">
        <v>33</v>
      </c>
      <c r="AN67" s="22" t="s">
        <v>34</v>
      </c>
      <c r="AO67" s="22" t="s">
        <v>35</v>
      </c>
      <c r="AP67" s="22" t="s">
        <v>36</v>
      </c>
      <c r="AQ67" s="22" t="s">
        <v>37</v>
      </c>
      <c r="AR67" s="23" t="s">
        <v>38</v>
      </c>
      <c r="AS67" s="23" t="s">
        <v>39</v>
      </c>
      <c r="AT67" s="23" t="s">
        <v>40</v>
      </c>
      <c r="AU67" s="23" t="s">
        <v>41</v>
      </c>
      <c r="AV67" s="23" t="s">
        <v>42</v>
      </c>
      <c r="AW67" s="23" t="s">
        <v>43</v>
      </c>
      <c r="AX67" s="23" t="s">
        <v>44</v>
      </c>
      <c r="AY67" s="23" t="s">
        <v>45</v>
      </c>
      <c r="AZ67" s="23" t="s">
        <v>46</v>
      </c>
      <c r="BA67" s="98" t="s">
        <v>836</v>
      </c>
      <c r="BB67" s="97" t="s">
        <v>844</v>
      </c>
      <c r="BC67" s="23" t="s">
        <v>47</v>
      </c>
      <c r="BD67" s="23" t="s">
        <v>48</v>
      </c>
      <c r="BE67" s="23" t="s">
        <v>49</v>
      </c>
      <c r="BF67" s="23" t="s">
        <v>50</v>
      </c>
      <c r="BG67" s="23" t="s">
        <v>51</v>
      </c>
      <c r="BH67" s="23" t="s">
        <v>52</v>
      </c>
      <c r="BI67" s="23" t="s">
        <v>53</v>
      </c>
      <c r="BJ67" s="24" t="s">
        <v>54</v>
      </c>
      <c r="BK67" s="24" t="s">
        <v>55</v>
      </c>
      <c r="BL67" s="24" t="s">
        <v>56</v>
      </c>
      <c r="BM67" s="24" t="s">
        <v>57</v>
      </c>
      <c r="BN67" s="24" t="s">
        <v>58</v>
      </c>
      <c r="BO67" s="24" t="s">
        <v>59</v>
      </c>
      <c r="BP67" s="24" t="s">
        <v>60</v>
      </c>
      <c r="BQ67" s="24" t="s">
        <v>61</v>
      </c>
      <c r="BR67" s="24" t="s">
        <v>62</v>
      </c>
      <c r="BS67" s="24" t="s">
        <v>63</v>
      </c>
      <c r="BT67" s="24" t="s">
        <v>64</v>
      </c>
      <c r="BU67" s="24" t="s">
        <v>65</v>
      </c>
      <c r="BV67" s="24" t="s">
        <v>66</v>
      </c>
      <c r="BW67" s="25" t="s">
        <v>67</v>
      </c>
      <c r="BX67" s="25" t="s">
        <v>68</v>
      </c>
      <c r="BY67" s="25" t="s">
        <v>69</v>
      </c>
      <c r="BZ67" s="25" t="s">
        <v>70</v>
      </c>
      <c r="CA67" s="25" t="s">
        <v>71</v>
      </c>
      <c r="CB67" s="25" t="s">
        <v>72</v>
      </c>
      <c r="CC67" s="25" t="s">
        <v>73</v>
      </c>
      <c r="CD67" s="25" t="s">
        <v>74</v>
      </c>
      <c r="CE67" s="97" t="s">
        <v>836</v>
      </c>
      <c r="CF67" s="97" t="s">
        <v>844</v>
      </c>
      <c r="CG67" s="25" t="s">
        <v>75</v>
      </c>
      <c r="CH67" s="25" t="s">
        <v>76</v>
      </c>
      <c r="CI67" s="25" t="s">
        <v>77</v>
      </c>
      <c r="CJ67" s="25" t="s">
        <v>78</v>
      </c>
      <c r="CK67" s="25" t="s">
        <v>79</v>
      </c>
      <c r="CL67" s="25" t="s">
        <v>80</v>
      </c>
      <c r="CM67" s="25" t="s">
        <v>81</v>
      </c>
      <c r="CN67" s="5" t="s">
        <v>82</v>
      </c>
      <c r="CO67" s="5" t="s">
        <v>83</v>
      </c>
      <c r="CP67" s="5" t="s">
        <v>84</v>
      </c>
      <c r="CQ67" s="5" t="s">
        <v>85</v>
      </c>
      <c r="CR67" s="5" t="s">
        <v>86</v>
      </c>
      <c r="CS67" s="5" t="s">
        <v>87</v>
      </c>
      <c r="CT67" s="5" t="s">
        <v>88</v>
      </c>
      <c r="CU67" s="5" t="s">
        <v>89</v>
      </c>
      <c r="CV67" s="5" t="s">
        <v>90</v>
      </c>
      <c r="CW67" s="97" t="s">
        <v>836</v>
      </c>
      <c r="CX67" s="97" t="s">
        <v>844</v>
      </c>
      <c r="CY67" s="5" t="s">
        <v>91</v>
      </c>
      <c r="CZ67" s="5" t="s">
        <v>92</v>
      </c>
      <c r="DA67" s="5" t="s">
        <v>93</v>
      </c>
      <c r="DB67" s="5" t="s">
        <v>94</v>
      </c>
      <c r="DC67" s="5" t="s">
        <v>95</v>
      </c>
      <c r="DD67" s="5" t="s">
        <v>96</v>
      </c>
      <c r="DE67" s="5" t="s">
        <v>97</v>
      </c>
      <c r="DF67" s="26" t="s">
        <v>98</v>
      </c>
      <c r="DG67" s="26" t="s">
        <v>99</v>
      </c>
      <c r="DH67" s="26" t="s">
        <v>100</v>
      </c>
      <c r="DI67" s="26" t="s">
        <v>101</v>
      </c>
      <c r="DJ67" s="26" t="s">
        <v>102</v>
      </c>
      <c r="DK67" s="26" t="s">
        <v>103</v>
      </c>
      <c r="DL67" s="26" t="s">
        <v>104</v>
      </c>
      <c r="DM67" s="26" t="s">
        <v>105</v>
      </c>
      <c r="DN67" s="26" t="s">
        <v>106</v>
      </c>
      <c r="DO67" s="97" t="s">
        <v>836</v>
      </c>
      <c r="DP67" s="97" t="s">
        <v>844</v>
      </c>
      <c r="DQ67" s="26" t="s">
        <v>107</v>
      </c>
      <c r="DR67" s="26" t="s">
        <v>108</v>
      </c>
      <c r="DS67" s="26" t="s">
        <v>109</v>
      </c>
      <c r="DT67" s="26" t="s">
        <v>110</v>
      </c>
      <c r="DU67" s="26" t="s">
        <v>111</v>
      </c>
      <c r="DV67" s="26" t="s">
        <v>112</v>
      </c>
      <c r="DW67" s="26" t="s">
        <v>113</v>
      </c>
      <c r="DX67" s="27" t="s">
        <v>114</v>
      </c>
      <c r="DY67" s="27" t="s">
        <v>115</v>
      </c>
      <c r="DZ67" s="27" t="s">
        <v>116</v>
      </c>
      <c r="EA67" s="27" t="s">
        <v>117</v>
      </c>
      <c r="EB67" s="27" t="s">
        <v>118</v>
      </c>
      <c r="EC67" s="27" t="s">
        <v>119</v>
      </c>
      <c r="ED67" s="27" t="s">
        <v>120</v>
      </c>
      <c r="EE67" s="27" t="s">
        <v>121</v>
      </c>
      <c r="EF67" s="27" t="s">
        <v>122</v>
      </c>
      <c r="EG67" s="97" t="s">
        <v>843</v>
      </c>
      <c r="EH67" s="97" t="s">
        <v>844</v>
      </c>
      <c r="EI67" s="27" t="s">
        <v>123</v>
      </c>
      <c r="EJ67" s="27" t="s">
        <v>124</v>
      </c>
      <c r="EK67" s="27" t="s">
        <v>125</v>
      </c>
      <c r="EL67" s="27" t="s">
        <v>126</v>
      </c>
      <c r="EM67" s="27" t="s">
        <v>127</v>
      </c>
      <c r="EN67" s="27" t="s">
        <v>142</v>
      </c>
      <c r="EO67" s="27" t="s">
        <v>145</v>
      </c>
      <c r="EP67" s="28" t="s">
        <v>128</v>
      </c>
      <c r="EQ67" s="28" t="s">
        <v>129</v>
      </c>
      <c r="ER67" s="28" t="s">
        <v>130</v>
      </c>
      <c r="ES67" s="28" t="s">
        <v>131</v>
      </c>
      <c r="ET67" s="28" t="s">
        <v>132</v>
      </c>
      <c r="EU67" s="28" t="s">
        <v>133</v>
      </c>
      <c r="EV67" s="28" t="s">
        <v>134</v>
      </c>
      <c r="EW67" s="28" t="s">
        <v>135</v>
      </c>
      <c r="EX67" s="97" t="s">
        <v>836</v>
      </c>
      <c r="EY67" s="97" t="s">
        <v>844</v>
      </c>
      <c r="EZ67" s="28" t="s">
        <v>137</v>
      </c>
      <c r="FA67" s="28" t="s">
        <v>138</v>
      </c>
      <c r="FB67" s="28" t="s">
        <v>139</v>
      </c>
      <c r="FC67" s="28" t="s">
        <v>140</v>
      </c>
      <c r="FD67" s="28" t="s">
        <v>143</v>
      </c>
      <c r="FE67" s="28" t="s">
        <v>144</v>
      </c>
      <c r="FF67" s="28" t="s">
        <v>146</v>
      </c>
      <c r="FG67" s="29" t="s">
        <v>147</v>
      </c>
      <c r="FH67" s="29" t="s">
        <v>148</v>
      </c>
      <c r="FI67" s="29" t="s">
        <v>149</v>
      </c>
      <c r="FJ67" s="29" t="s">
        <v>150</v>
      </c>
      <c r="FK67" s="29" t="s">
        <v>151</v>
      </c>
      <c r="FL67" s="29" t="s">
        <v>152</v>
      </c>
      <c r="FM67" s="29" t="s">
        <v>153</v>
      </c>
      <c r="FN67" s="29" t="s">
        <v>154</v>
      </c>
      <c r="FO67" s="29" t="s">
        <v>155</v>
      </c>
      <c r="FP67" s="29" t="s">
        <v>156</v>
      </c>
      <c r="FQ67" s="29" t="s">
        <v>157</v>
      </c>
      <c r="FR67" s="29" t="s">
        <v>158</v>
      </c>
      <c r="FS67" s="29" t="s">
        <v>159</v>
      </c>
      <c r="FU67" s="29" t="s">
        <v>161</v>
      </c>
      <c r="FV67" s="29" t="s">
        <v>162</v>
      </c>
      <c r="FW67" s="29" t="s">
        <v>163</v>
      </c>
      <c r="FX67" t="s">
        <v>164</v>
      </c>
      <c r="FY67" t="s">
        <v>165</v>
      </c>
      <c r="FZ67" t="s">
        <v>166</v>
      </c>
      <c r="GA67" t="s">
        <v>167</v>
      </c>
      <c r="GB67" t="s">
        <v>168</v>
      </c>
      <c r="GC67" t="s">
        <v>169</v>
      </c>
      <c r="GD67" t="s">
        <v>170</v>
      </c>
      <c r="GE67" t="s">
        <v>171</v>
      </c>
      <c r="GF67" t="s">
        <v>172</v>
      </c>
      <c r="GG67" t="s">
        <v>173</v>
      </c>
      <c r="GH67" t="s">
        <v>174</v>
      </c>
      <c r="GI67" t="s">
        <v>175</v>
      </c>
      <c r="GJ67" t="s">
        <v>176</v>
      </c>
      <c r="GK67" t="s">
        <v>177</v>
      </c>
      <c r="GL67" t="s">
        <v>178</v>
      </c>
      <c r="GM67" t="s">
        <v>179</v>
      </c>
      <c r="GN67" t="s">
        <v>180</v>
      </c>
      <c r="GO67" t="s">
        <v>181</v>
      </c>
      <c r="GP67" t="s">
        <v>182</v>
      </c>
      <c r="GQ67" t="s">
        <v>183</v>
      </c>
      <c r="GR67" t="s">
        <v>184</v>
      </c>
      <c r="GS67" t="s">
        <v>185</v>
      </c>
      <c r="GT67" t="s">
        <v>186</v>
      </c>
      <c r="GU67" t="s">
        <v>187</v>
      </c>
      <c r="GV67" t="s">
        <v>188</v>
      </c>
      <c r="GW67" t="s">
        <v>189</v>
      </c>
    </row>
    <row r="68" spans="1:205" s="128" customFormat="1" x14ac:dyDescent="0.25">
      <c r="AI68" s="5">
        <f>COUNTIFS(AG57:AG66, "&lt;&gt;", AH57:AH66, "&lt;&gt;")</f>
        <v>8</v>
      </c>
      <c r="AJ68" s="5">
        <f>COUNTIF(AI57:AI67,1)</f>
        <v>3</v>
      </c>
      <c r="AK68" s="131">
        <f>AJ68/AI68</f>
        <v>0.375</v>
      </c>
      <c r="BB68" s="5">
        <f>COUNTIFS(AZ57:AZ66, "&lt;&gt;", BA57:BA66, "&lt;&gt;")</f>
        <v>3</v>
      </c>
      <c r="BC68" s="5">
        <f>COUNTIF(BB57:BB67,1)</f>
        <v>3</v>
      </c>
      <c r="BD68" s="131">
        <f>BC68/BB68</f>
        <v>1</v>
      </c>
      <c r="CF68" s="5">
        <f>COUNTIFS(CD57:CD66, "&lt;&gt;", CE57:CE66, "&lt;&gt;")</f>
        <v>7</v>
      </c>
      <c r="CG68" s="5">
        <f>COUNTIF(CF57:CF67,1)</f>
        <v>5</v>
      </c>
      <c r="CH68" s="131">
        <f>CG68/CF68</f>
        <v>0.7142857142857143</v>
      </c>
      <c r="CX68" s="5">
        <f>COUNTIFS(CV57:CV66, "&lt;&gt;", CW57:CW66, "&lt;&gt;")</f>
        <v>9</v>
      </c>
      <c r="CY68" s="5">
        <f>COUNTIF(CX57:CX67,1)</f>
        <v>3</v>
      </c>
      <c r="CZ68" s="131">
        <f>CY68/CX68</f>
        <v>0.33333333333333331</v>
      </c>
      <c r="DP68" s="5">
        <f>COUNTIFS(DN57:DN66, "&lt;&gt;", DO57:DO66, "&lt;&gt;")</f>
        <v>5</v>
      </c>
      <c r="DQ68" s="5">
        <f>COUNTIF(DP57:DP67,1)</f>
        <v>5</v>
      </c>
      <c r="DR68" s="131">
        <f>DQ68/DP68</f>
        <v>1</v>
      </c>
      <c r="EH68" s="5">
        <f>COUNTIFS(EF57:EF66, "&lt;&gt;", EG57:EG66, "&lt;&gt;")</f>
        <v>9</v>
      </c>
      <c r="EI68" s="5">
        <f>COUNTIF(EH57:EH67,1)</f>
        <v>6</v>
      </c>
      <c r="EJ68" s="131">
        <f>EI68/EH68</f>
        <v>0.66666666666666663</v>
      </c>
      <c r="EY68" s="5">
        <f>COUNTIFS(EW57:EW66, "&lt;&gt;", EX57:EX66, "&lt;&gt;")</f>
        <v>10</v>
      </c>
      <c r="EZ68" s="5">
        <f>COUNTIF(EY57:EY67,1)</f>
        <v>1</v>
      </c>
      <c r="FA68" s="131">
        <f>EZ68/EY68</f>
        <v>0.1</v>
      </c>
    </row>
    <row r="69" spans="1:205" s="48" customFormat="1" x14ac:dyDescent="0.25">
      <c r="A69" s="38">
        <v>232</v>
      </c>
      <c r="B69" s="39" t="s">
        <v>676</v>
      </c>
      <c r="C69" s="39">
        <v>85</v>
      </c>
      <c r="D69" s="39" t="s">
        <v>279</v>
      </c>
      <c r="E69" s="39" t="s">
        <v>320</v>
      </c>
      <c r="F69" s="39" t="s">
        <v>282</v>
      </c>
      <c r="G69" s="39" t="s">
        <v>282</v>
      </c>
      <c r="H69" s="39" t="s">
        <v>281</v>
      </c>
      <c r="I69" s="39" t="s">
        <v>282</v>
      </c>
      <c r="J69" s="39" t="s">
        <v>282</v>
      </c>
      <c r="K69" s="39" t="s">
        <v>282</v>
      </c>
      <c r="L69" s="39" t="s">
        <v>282</v>
      </c>
      <c r="M69" s="39" t="s">
        <v>282</v>
      </c>
      <c r="N69" s="39" t="s">
        <v>282</v>
      </c>
      <c r="O69" s="38">
        <v>0</v>
      </c>
      <c r="P69" s="39"/>
      <c r="Q69" s="39"/>
      <c r="R69" s="39" t="s">
        <v>423</v>
      </c>
      <c r="S69" s="39"/>
      <c r="T69" s="39"/>
      <c r="U69" s="39"/>
      <c r="V69" s="39" t="s">
        <v>354</v>
      </c>
      <c r="W69" s="40" t="s">
        <v>464</v>
      </c>
      <c r="X69" s="39" t="s">
        <v>437</v>
      </c>
      <c r="Y69" s="38">
        <v>1</v>
      </c>
      <c r="Z69" s="39" t="s">
        <v>694</v>
      </c>
      <c r="AA69" s="39"/>
      <c r="AB69" s="39" t="s">
        <v>294</v>
      </c>
      <c r="AC69" s="39" t="s">
        <v>297</v>
      </c>
      <c r="AD69" s="38">
        <v>0</v>
      </c>
      <c r="AE69" s="39"/>
      <c r="AF69" s="39"/>
      <c r="AG69" s="39" t="s">
        <v>288</v>
      </c>
      <c r="AH69" s="98" t="s">
        <v>305</v>
      </c>
      <c r="AI69" s="97" t="str">
        <f>IF(AH69=AG69,1,"")</f>
        <v/>
      </c>
      <c r="AJ69" s="39" t="s">
        <v>521</v>
      </c>
      <c r="AK69" s="38">
        <v>0</v>
      </c>
      <c r="AL69" s="39"/>
      <c r="AM69" s="39"/>
      <c r="AN69" s="38">
        <v>0</v>
      </c>
      <c r="AO69" s="39"/>
      <c r="AP69" s="39"/>
      <c r="AQ69" s="39" t="s">
        <v>296</v>
      </c>
      <c r="AR69" s="38">
        <v>1</v>
      </c>
      <c r="AS69" s="39" t="s">
        <v>699</v>
      </c>
      <c r="AT69" s="39"/>
      <c r="AU69" s="39" t="s">
        <v>303</v>
      </c>
      <c r="AV69" s="39" t="s">
        <v>297</v>
      </c>
      <c r="AW69" s="38">
        <v>0</v>
      </c>
      <c r="AX69" s="39"/>
      <c r="AY69" s="39"/>
      <c r="AZ69" s="39" t="s">
        <v>288</v>
      </c>
      <c r="BA69" s="98" t="s">
        <v>324</v>
      </c>
      <c r="BB69" s="97" t="str">
        <f>IF(BA69=AZ69,1,"")</f>
        <v/>
      </c>
      <c r="BC69" s="39" t="s">
        <v>287</v>
      </c>
      <c r="BD69" s="38">
        <v>0</v>
      </c>
      <c r="BE69" s="39"/>
      <c r="BF69" s="39"/>
      <c r="BG69" s="38">
        <v>0</v>
      </c>
      <c r="BH69" s="39"/>
      <c r="BI69" s="39" t="s">
        <v>296</v>
      </c>
      <c r="BJ69" s="39" t="s">
        <v>303</v>
      </c>
      <c r="BK69" s="39" t="s">
        <v>331</v>
      </c>
      <c r="BL69" s="38">
        <v>0</v>
      </c>
      <c r="BM69" s="39"/>
      <c r="BN69" s="39"/>
      <c r="BO69" s="39" t="s">
        <v>298</v>
      </c>
      <c r="BP69" s="39" t="s">
        <v>331</v>
      </c>
      <c r="BQ69" s="38">
        <v>0</v>
      </c>
      <c r="BR69" s="39"/>
      <c r="BS69" s="39"/>
      <c r="BT69" s="38">
        <v>0</v>
      </c>
      <c r="BU69" s="39"/>
      <c r="BV69" s="39" t="s">
        <v>296</v>
      </c>
      <c r="BW69" s="38">
        <v>1</v>
      </c>
      <c r="BX69" s="39" t="s">
        <v>588</v>
      </c>
      <c r="BY69" s="39" t="s">
        <v>294</v>
      </c>
      <c r="BZ69" s="39" t="s">
        <v>297</v>
      </c>
      <c r="CA69" s="38">
        <v>0</v>
      </c>
      <c r="CB69" s="39"/>
      <c r="CC69" s="39"/>
      <c r="CD69" s="39" t="s">
        <v>288</v>
      </c>
      <c r="CE69" s="97" t="s">
        <v>288</v>
      </c>
      <c r="CF69" s="97">
        <f>IF(CE69=CD69,1,"")</f>
        <v>1</v>
      </c>
      <c r="CG69" s="39" t="s">
        <v>297</v>
      </c>
      <c r="CH69" s="38">
        <v>0</v>
      </c>
      <c r="CI69" s="39"/>
      <c r="CJ69" s="39"/>
      <c r="CK69" s="38">
        <v>0</v>
      </c>
      <c r="CL69" s="39"/>
      <c r="CM69" s="39" t="s">
        <v>296</v>
      </c>
      <c r="CN69" s="38">
        <v>1</v>
      </c>
      <c r="CO69" s="39" t="s">
        <v>359</v>
      </c>
      <c r="CP69" s="39"/>
      <c r="CQ69" s="39" t="s">
        <v>303</v>
      </c>
      <c r="CR69" s="39" t="s">
        <v>297</v>
      </c>
      <c r="CS69" s="38">
        <v>0</v>
      </c>
      <c r="CT69" s="39"/>
      <c r="CU69" s="39"/>
      <c r="CV69" s="39" t="s">
        <v>305</v>
      </c>
      <c r="CW69" s="98" t="s">
        <v>305</v>
      </c>
      <c r="CX69" s="97">
        <f>IF(CW69=CV69,1,"")</f>
        <v>1</v>
      </c>
      <c r="CY69" s="39" t="s">
        <v>287</v>
      </c>
      <c r="CZ69" s="38">
        <v>0</v>
      </c>
      <c r="DA69" s="39"/>
      <c r="DB69" s="39"/>
      <c r="DC69" s="38">
        <v>0</v>
      </c>
      <c r="DD69" s="39"/>
      <c r="DE69" s="39" t="s">
        <v>296</v>
      </c>
      <c r="DF69" s="38">
        <v>1</v>
      </c>
      <c r="DG69" s="39" t="s">
        <v>700</v>
      </c>
      <c r="DH69" s="39"/>
      <c r="DI69" s="39" t="s">
        <v>303</v>
      </c>
      <c r="DJ69" s="39" t="s">
        <v>302</v>
      </c>
      <c r="DK69" s="38">
        <v>0</v>
      </c>
      <c r="DL69" s="39"/>
      <c r="DM69" s="39"/>
      <c r="DN69" s="39" t="s">
        <v>305</v>
      </c>
      <c r="DO69" s="98" t="s">
        <v>305</v>
      </c>
      <c r="DP69" s="97">
        <f>IF(DO69=DN69,1,"")</f>
        <v>1</v>
      </c>
      <c r="DQ69" s="39" t="s">
        <v>302</v>
      </c>
      <c r="DR69" s="38">
        <v>0</v>
      </c>
      <c r="DS69" s="39"/>
      <c r="DT69" s="39"/>
      <c r="DU69" s="38">
        <v>0</v>
      </c>
      <c r="DV69" s="39"/>
      <c r="DW69" s="39" t="s">
        <v>296</v>
      </c>
      <c r="DX69" s="38">
        <v>1</v>
      </c>
      <c r="DY69" s="39" t="s">
        <v>696</v>
      </c>
      <c r="DZ69" s="39"/>
      <c r="EA69" s="39" t="s">
        <v>303</v>
      </c>
      <c r="EB69" s="39" t="s">
        <v>331</v>
      </c>
      <c r="EC69" s="38">
        <v>0</v>
      </c>
      <c r="ED69" s="39"/>
      <c r="EE69" s="39"/>
      <c r="EF69" s="39" t="s">
        <v>298</v>
      </c>
      <c r="EG69" s="98" t="s">
        <v>298</v>
      </c>
      <c r="EH69" s="97">
        <f>IF(EG69=EF69,1,"")</f>
        <v>1</v>
      </c>
      <c r="EI69" s="39" t="s">
        <v>331</v>
      </c>
      <c r="EJ69" s="38">
        <v>0</v>
      </c>
      <c r="EK69" s="39"/>
      <c r="EL69" s="39"/>
      <c r="EM69" s="39"/>
      <c r="EN69" s="39"/>
      <c r="EO69" s="39" t="s">
        <v>292</v>
      </c>
      <c r="EP69" s="38">
        <v>1</v>
      </c>
      <c r="EQ69" s="39" t="s">
        <v>697</v>
      </c>
      <c r="ER69" s="39" t="s">
        <v>294</v>
      </c>
      <c r="ES69" s="39" t="s">
        <v>302</v>
      </c>
      <c r="ET69" s="38">
        <v>0</v>
      </c>
      <c r="EU69" s="39"/>
      <c r="EV69" s="39"/>
      <c r="EW69" s="39" t="s">
        <v>305</v>
      </c>
      <c r="EX69" s="98" t="s">
        <v>298</v>
      </c>
      <c r="EY69" s="97" t="str">
        <f>IF(EX69=EW69,1,"")</f>
        <v/>
      </c>
      <c r="EZ69" s="38">
        <v>0</v>
      </c>
      <c r="FA69" s="39"/>
      <c r="FB69" s="39"/>
      <c r="FC69" s="39"/>
      <c r="FD69" s="38">
        <v>0</v>
      </c>
      <c r="FE69" s="39"/>
      <c r="FF69" s="39" t="s">
        <v>328</v>
      </c>
      <c r="FG69" s="38">
        <v>0</v>
      </c>
      <c r="FH69" s="39"/>
      <c r="FI69" s="39"/>
      <c r="FJ69" s="39"/>
      <c r="FK69" s="39"/>
      <c r="FL69" s="39"/>
      <c r="FM69" s="39"/>
      <c r="FN69" s="39"/>
      <c r="FO69" s="39"/>
      <c r="FP69" s="38">
        <v>1</v>
      </c>
      <c r="FQ69" s="39" t="s">
        <v>701</v>
      </c>
      <c r="FR69" s="39"/>
      <c r="FS69" s="39"/>
      <c r="FT69" s="40"/>
      <c r="FU69" s="39" t="s">
        <v>335</v>
      </c>
      <c r="FV69" s="39"/>
      <c r="FW69" s="39"/>
      <c r="FX69" s="38">
        <v>-1</v>
      </c>
      <c r="FY69" s="38">
        <v>-1</v>
      </c>
      <c r="FZ69" s="38">
        <v>-1</v>
      </c>
      <c r="GA69" s="38">
        <v>-1</v>
      </c>
      <c r="GB69" s="38">
        <v>-1</v>
      </c>
      <c r="GC69" s="38">
        <v>-1</v>
      </c>
      <c r="GD69" s="38">
        <v>-1</v>
      </c>
      <c r="GE69" s="38">
        <v>-1</v>
      </c>
      <c r="GF69" s="38">
        <v>-1</v>
      </c>
      <c r="GG69" s="38">
        <v>-1</v>
      </c>
      <c r="GH69" s="38">
        <v>-1</v>
      </c>
      <c r="GI69" s="38">
        <v>-1</v>
      </c>
      <c r="GJ69" s="38">
        <v>-1</v>
      </c>
      <c r="GK69" s="38">
        <v>-1</v>
      </c>
      <c r="GL69" s="38">
        <v>-1</v>
      </c>
      <c r="GM69" s="38">
        <v>-15</v>
      </c>
      <c r="GN69" s="41"/>
      <c r="GO69" s="41"/>
      <c r="GP69" s="39" t="s">
        <v>319</v>
      </c>
      <c r="GQ69" s="39" t="s">
        <v>320</v>
      </c>
      <c r="GR69" s="39" t="s">
        <v>277</v>
      </c>
      <c r="GS69" s="38">
        <v>15</v>
      </c>
      <c r="GT69" s="38">
        <v>15</v>
      </c>
      <c r="GU69" s="38">
        <v>38</v>
      </c>
      <c r="GV69" s="38">
        <v>10</v>
      </c>
      <c r="GW69" s="42"/>
    </row>
    <row r="70" spans="1:205" s="40" customFormat="1" x14ac:dyDescent="0.25">
      <c r="A70" s="51">
        <v>229</v>
      </c>
      <c r="B70" s="52" t="s">
        <v>676</v>
      </c>
      <c r="C70" s="52">
        <v>85</v>
      </c>
      <c r="D70" s="52" t="s">
        <v>353</v>
      </c>
      <c r="E70" s="52" t="s">
        <v>280</v>
      </c>
      <c r="F70" s="52" t="s">
        <v>281</v>
      </c>
      <c r="G70" s="52" t="s">
        <v>281</v>
      </c>
      <c r="H70" s="52" t="s">
        <v>282</v>
      </c>
      <c r="I70" s="52" t="s">
        <v>282</v>
      </c>
      <c r="J70" s="52" t="s">
        <v>282</v>
      </c>
      <c r="K70" s="52" t="s">
        <v>282</v>
      </c>
      <c r="L70" s="52" t="s">
        <v>281</v>
      </c>
      <c r="M70" s="52" t="s">
        <v>281</v>
      </c>
      <c r="N70" s="52" t="s">
        <v>282</v>
      </c>
      <c r="O70" s="51">
        <v>0</v>
      </c>
      <c r="P70" s="52"/>
      <c r="Q70" s="52"/>
      <c r="R70" s="52" t="s">
        <v>283</v>
      </c>
      <c r="S70" s="52" t="s">
        <v>322</v>
      </c>
      <c r="T70" s="52"/>
      <c r="U70" s="52"/>
      <c r="V70" s="52" t="s">
        <v>354</v>
      </c>
      <c r="W70" s="52"/>
      <c r="X70" s="52" t="s">
        <v>350</v>
      </c>
      <c r="Y70" s="51">
        <v>1</v>
      </c>
      <c r="Z70" s="52" t="s">
        <v>677</v>
      </c>
      <c r="AA70" s="52"/>
      <c r="AB70" s="52" t="s">
        <v>303</v>
      </c>
      <c r="AC70" s="52" t="s">
        <v>331</v>
      </c>
      <c r="AD70" s="51">
        <v>0</v>
      </c>
      <c r="AE70" s="52"/>
      <c r="AF70" s="52"/>
      <c r="AG70" s="52" t="s">
        <v>305</v>
      </c>
      <c r="AH70" s="98" t="s">
        <v>305</v>
      </c>
      <c r="AI70" s="97">
        <f>IF(AH70=AG70,1,"")</f>
        <v>1</v>
      </c>
      <c r="AJ70" s="52" t="s">
        <v>331</v>
      </c>
      <c r="AK70" s="51">
        <v>0</v>
      </c>
      <c r="AL70" s="52"/>
      <c r="AM70" s="52"/>
      <c r="AN70" s="51">
        <v>0</v>
      </c>
      <c r="AO70" s="52"/>
      <c r="AP70" s="52"/>
      <c r="AQ70" s="52" t="s">
        <v>296</v>
      </c>
      <c r="AR70" s="51">
        <v>1</v>
      </c>
      <c r="AS70" s="52" t="s">
        <v>678</v>
      </c>
      <c r="AT70" s="52"/>
      <c r="AU70" s="52" t="s">
        <v>294</v>
      </c>
      <c r="AV70" s="52" t="s">
        <v>287</v>
      </c>
      <c r="AW70" s="51">
        <v>0</v>
      </c>
      <c r="AX70" s="52"/>
      <c r="AY70" s="52"/>
      <c r="AZ70" s="52" t="s">
        <v>288</v>
      </c>
      <c r="BA70" s="98" t="s">
        <v>840</v>
      </c>
      <c r="BB70" s="97">
        <v>1</v>
      </c>
      <c r="BC70" s="52" t="s">
        <v>287</v>
      </c>
      <c r="BD70" s="51">
        <v>0</v>
      </c>
      <c r="BE70" s="52"/>
      <c r="BF70" s="52"/>
      <c r="BG70" s="51">
        <v>0</v>
      </c>
      <c r="BH70" s="52"/>
      <c r="BI70" s="52" t="s">
        <v>296</v>
      </c>
      <c r="BJ70" s="52"/>
      <c r="BK70" s="52"/>
      <c r="BL70" s="51">
        <v>0</v>
      </c>
      <c r="BM70" s="52"/>
      <c r="BN70" s="52"/>
      <c r="BO70" s="52"/>
      <c r="BP70" s="52"/>
      <c r="BQ70" s="51">
        <v>0</v>
      </c>
      <c r="BR70" s="52"/>
      <c r="BS70" s="52"/>
      <c r="BT70" s="51">
        <v>0</v>
      </c>
      <c r="BU70" s="52"/>
      <c r="BV70" s="52"/>
      <c r="BW70" s="51">
        <v>0</v>
      </c>
      <c r="BX70" s="52"/>
      <c r="BY70" s="52"/>
      <c r="BZ70" s="52"/>
      <c r="CA70" s="51">
        <v>0</v>
      </c>
      <c r="CB70" s="52"/>
      <c r="CC70" s="52"/>
      <c r="CD70" s="52"/>
      <c r="CE70" s="97"/>
      <c r="CF70" s="97"/>
      <c r="CG70" s="52"/>
      <c r="CH70" s="51">
        <v>0</v>
      </c>
      <c r="CI70" s="52"/>
      <c r="CJ70" s="52"/>
      <c r="CK70" s="51">
        <v>0</v>
      </c>
      <c r="CL70" s="52"/>
      <c r="CM70" s="52"/>
      <c r="CN70" s="51">
        <v>1</v>
      </c>
      <c r="CO70" s="52" t="s">
        <v>679</v>
      </c>
      <c r="CP70" s="52"/>
      <c r="CQ70" s="52" t="s">
        <v>303</v>
      </c>
      <c r="CR70" s="52" t="s">
        <v>331</v>
      </c>
      <c r="CS70" s="51">
        <v>0</v>
      </c>
      <c r="CT70" s="52"/>
      <c r="CU70" s="52"/>
      <c r="CV70" s="52" t="s">
        <v>305</v>
      </c>
      <c r="CW70" s="98" t="s">
        <v>305</v>
      </c>
      <c r="CX70" s="97">
        <f>IF(CW70=CV70,1,"")</f>
        <v>1</v>
      </c>
      <c r="CY70" s="52" t="s">
        <v>331</v>
      </c>
      <c r="CZ70" s="51">
        <v>0</v>
      </c>
      <c r="DA70" s="52"/>
      <c r="DB70" s="52"/>
      <c r="DC70" s="51">
        <v>1</v>
      </c>
      <c r="DD70" s="52" t="s">
        <v>680</v>
      </c>
      <c r="DE70" s="52" t="s">
        <v>296</v>
      </c>
      <c r="DF70" s="51">
        <v>1</v>
      </c>
      <c r="DG70" s="52" t="s">
        <v>681</v>
      </c>
      <c r="DH70" s="52"/>
      <c r="DI70" s="52" t="s">
        <v>303</v>
      </c>
      <c r="DJ70" s="52" t="s">
        <v>331</v>
      </c>
      <c r="DK70" s="51">
        <v>0</v>
      </c>
      <c r="DL70" s="52"/>
      <c r="DM70" s="52"/>
      <c r="DN70" s="52" t="s">
        <v>288</v>
      </c>
      <c r="DO70" s="98" t="s">
        <v>305</v>
      </c>
      <c r="DP70" s="97" t="str">
        <f>IF(DO70=DN70,1,"")</f>
        <v/>
      </c>
      <c r="DQ70" s="52" t="s">
        <v>331</v>
      </c>
      <c r="DR70" s="51">
        <v>0</v>
      </c>
      <c r="DS70" s="52"/>
      <c r="DT70" s="52"/>
      <c r="DU70" s="51">
        <v>0</v>
      </c>
      <c r="DV70" s="52"/>
      <c r="DW70" s="52" t="s">
        <v>299</v>
      </c>
      <c r="DX70" s="51">
        <v>1</v>
      </c>
      <c r="DY70" s="52" t="s">
        <v>362</v>
      </c>
      <c r="DZ70" s="52"/>
      <c r="EA70" s="52" t="s">
        <v>303</v>
      </c>
      <c r="EB70" s="52" t="s">
        <v>331</v>
      </c>
      <c r="EC70" s="51">
        <v>0</v>
      </c>
      <c r="ED70" s="52"/>
      <c r="EE70" s="52"/>
      <c r="EF70" s="52" t="s">
        <v>305</v>
      </c>
      <c r="EG70" s="98" t="s">
        <v>298</v>
      </c>
      <c r="EH70" s="97" t="str">
        <f>IF(EG70=EF70,1,"")</f>
        <v/>
      </c>
      <c r="EI70" s="52" t="s">
        <v>331</v>
      </c>
      <c r="EJ70" s="51">
        <v>0</v>
      </c>
      <c r="EK70" s="52"/>
      <c r="EL70" s="52"/>
      <c r="EM70" s="52"/>
      <c r="EN70" s="52"/>
      <c r="EO70" s="52" t="s">
        <v>296</v>
      </c>
      <c r="EP70" s="51">
        <v>1</v>
      </c>
      <c r="EQ70" s="52" t="s">
        <v>682</v>
      </c>
      <c r="ER70" s="52" t="s">
        <v>303</v>
      </c>
      <c r="ES70" s="52" t="s">
        <v>331</v>
      </c>
      <c r="ET70" s="51">
        <v>0</v>
      </c>
      <c r="EU70" s="52"/>
      <c r="EV70" s="52"/>
      <c r="EW70" s="52" t="s">
        <v>288</v>
      </c>
      <c r="EX70" s="98" t="s">
        <v>305</v>
      </c>
      <c r="EY70" s="97" t="str">
        <f>IF(EX70=EW70,1,"")</f>
        <v/>
      </c>
      <c r="EZ70" s="51">
        <v>0</v>
      </c>
      <c r="FA70" s="52"/>
      <c r="FB70" s="52"/>
      <c r="FC70" s="52"/>
      <c r="FD70" s="51">
        <v>0</v>
      </c>
      <c r="FE70" s="52"/>
      <c r="FF70" s="52" t="s">
        <v>296</v>
      </c>
      <c r="FG70" s="51">
        <v>0</v>
      </c>
      <c r="FH70" s="52"/>
      <c r="FI70" s="52"/>
      <c r="FJ70" s="52"/>
      <c r="FK70" s="52"/>
      <c r="FL70" s="52"/>
      <c r="FM70" s="52"/>
      <c r="FN70" s="52"/>
      <c r="FO70" s="52"/>
      <c r="FP70" s="51">
        <v>1</v>
      </c>
      <c r="FQ70" s="52" t="s">
        <v>683</v>
      </c>
      <c r="FR70" s="52"/>
      <c r="FS70" s="52"/>
      <c r="FT70" s="48"/>
      <c r="FU70" s="52" t="s">
        <v>317</v>
      </c>
      <c r="FV70" s="52" t="s">
        <v>684</v>
      </c>
      <c r="FW70" s="52"/>
      <c r="FX70" s="51">
        <v>-1</v>
      </c>
      <c r="FY70" s="51">
        <v>-1</v>
      </c>
      <c r="FZ70" s="51">
        <v>-1</v>
      </c>
      <c r="GA70" s="51">
        <v>-1</v>
      </c>
      <c r="GB70" s="51">
        <v>-1</v>
      </c>
      <c r="GC70" s="51">
        <v>-1</v>
      </c>
      <c r="GD70" s="51">
        <v>-1</v>
      </c>
      <c r="GE70" s="51">
        <v>-1</v>
      </c>
      <c r="GF70" s="51">
        <v>-1</v>
      </c>
      <c r="GG70" s="51">
        <v>-1</v>
      </c>
      <c r="GH70" s="51">
        <v>-1</v>
      </c>
      <c r="GI70" s="51">
        <v>-1</v>
      </c>
      <c r="GJ70" s="51">
        <v>-1</v>
      </c>
      <c r="GK70" s="51">
        <v>-1</v>
      </c>
      <c r="GL70" s="51">
        <v>-1</v>
      </c>
      <c r="GM70" s="51">
        <v>-15</v>
      </c>
      <c r="GN70" s="53"/>
      <c r="GO70" s="53"/>
      <c r="GP70" s="52" t="s">
        <v>319</v>
      </c>
      <c r="GQ70" s="52" t="s">
        <v>320</v>
      </c>
      <c r="GR70" s="52" t="s">
        <v>277</v>
      </c>
      <c r="GS70" s="51">
        <v>15</v>
      </c>
      <c r="GT70" s="51">
        <v>15</v>
      </c>
      <c r="GU70" s="51">
        <v>49</v>
      </c>
      <c r="GV70" s="51">
        <v>25</v>
      </c>
      <c r="GW70" s="54"/>
    </row>
    <row r="71" spans="1:205" s="40" customFormat="1" x14ac:dyDescent="0.25">
      <c r="A71" s="51">
        <v>247</v>
      </c>
      <c r="B71" s="52" t="s">
        <v>676</v>
      </c>
      <c r="C71" s="52">
        <v>85</v>
      </c>
      <c r="D71" s="52" t="s">
        <v>353</v>
      </c>
      <c r="E71" s="52" t="s">
        <v>377</v>
      </c>
      <c r="F71" s="52" t="s">
        <v>281</v>
      </c>
      <c r="G71" s="52" t="s">
        <v>281</v>
      </c>
      <c r="H71" s="52" t="s">
        <v>281</v>
      </c>
      <c r="I71" s="52" t="s">
        <v>282</v>
      </c>
      <c r="J71" s="52" t="s">
        <v>282</v>
      </c>
      <c r="K71" s="52" t="s">
        <v>282</v>
      </c>
      <c r="L71" s="52" t="s">
        <v>282</v>
      </c>
      <c r="M71" s="52" t="s">
        <v>282</v>
      </c>
      <c r="N71" s="52" t="s">
        <v>282</v>
      </c>
      <c r="O71" s="51">
        <v>0</v>
      </c>
      <c r="P71" s="52"/>
      <c r="Q71" s="52"/>
      <c r="R71" s="52" t="s">
        <v>283</v>
      </c>
      <c r="S71" s="52" t="s">
        <v>378</v>
      </c>
      <c r="T71" s="52"/>
      <c r="U71" s="52"/>
      <c r="V71" s="52"/>
      <c r="W71" s="52"/>
      <c r="X71" s="52" t="s">
        <v>437</v>
      </c>
      <c r="Y71" s="51">
        <v>1</v>
      </c>
      <c r="Z71" s="52" t="s">
        <v>365</v>
      </c>
      <c r="AA71" s="52"/>
      <c r="AB71" s="52" t="s">
        <v>301</v>
      </c>
      <c r="AC71" s="52" t="s">
        <v>331</v>
      </c>
      <c r="AD71" s="51">
        <v>0</v>
      </c>
      <c r="AE71" s="52"/>
      <c r="AF71" s="52"/>
      <c r="AG71" s="52" t="s">
        <v>288</v>
      </c>
      <c r="AH71" s="98" t="s">
        <v>288</v>
      </c>
      <c r="AI71" s="97">
        <f>IF(AH71=AG71,1,"")</f>
        <v>1</v>
      </c>
      <c r="AJ71" s="52" t="s">
        <v>331</v>
      </c>
      <c r="AK71" s="51">
        <v>0</v>
      </c>
      <c r="AL71" s="52"/>
      <c r="AM71" s="52"/>
      <c r="AN71" s="51">
        <v>1</v>
      </c>
      <c r="AO71" s="52" t="s">
        <v>738</v>
      </c>
      <c r="AP71" s="52"/>
      <c r="AQ71" s="52" t="s">
        <v>328</v>
      </c>
      <c r="AR71" s="51">
        <v>1</v>
      </c>
      <c r="AS71" s="52" t="s">
        <v>739</v>
      </c>
      <c r="AT71" s="52"/>
      <c r="AU71" s="52" t="s">
        <v>301</v>
      </c>
      <c r="AV71" s="52" t="s">
        <v>287</v>
      </c>
      <c r="AW71" s="51">
        <v>0</v>
      </c>
      <c r="AX71" s="52"/>
      <c r="AY71" s="52"/>
      <c r="AZ71" s="52" t="s">
        <v>324</v>
      </c>
      <c r="BA71" s="98" t="s">
        <v>324</v>
      </c>
      <c r="BB71" s="97">
        <f>IF(BA71=AZ71,1,"")</f>
        <v>1</v>
      </c>
      <c r="BC71" s="52" t="s">
        <v>339</v>
      </c>
      <c r="BD71" s="51">
        <v>0</v>
      </c>
      <c r="BE71" s="52"/>
      <c r="BF71" s="52"/>
      <c r="BG71" s="51">
        <v>0</v>
      </c>
      <c r="BH71" s="52"/>
      <c r="BI71" s="52" t="s">
        <v>328</v>
      </c>
      <c r="BJ71" s="52" t="s">
        <v>303</v>
      </c>
      <c r="BK71" s="52" t="s">
        <v>331</v>
      </c>
      <c r="BL71" s="51">
        <v>0</v>
      </c>
      <c r="BM71" s="52"/>
      <c r="BN71" s="52"/>
      <c r="BO71" s="52" t="s">
        <v>298</v>
      </c>
      <c r="BP71" s="52" t="s">
        <v>331</v>
      </c>
      <c r="BQ71" s="51">
        <v>0</v>
      </c>
      <c r="BR71" s="52"/>
      <c r="BS71" s="52"/>
      <c r="BT71" s="51">
        <v>0</v>
      </c>
      <c r="BU71" s="52"/>
      <c r="BV71" s="52" t="s">
        <v>299</v>
      </c>
      <c r="BW71" s="51">
        <v>1</v>
      </c>
      <c r="BX71" s="52" t="s">
        <v>740</v>
      </c>
      <c r="BY71" s="52" t="s">
        <v>301</v>
      </c>
      <c r="BZ71" s="52" t="s">
        <v>297</v>
      </c>
      <c r="CA71" s="51">
        <v>0</v>
      </c>
      <c r="CB71" s="52"/>
      <c r="CC71" s="52"/>
      <c r="CD71" s="52" t="s">
        <v>324</v>
      </c>
      <c r="CE71" s="97" t="s">
        <v>288</v>
      </c>
      <c r="CF71" s="97" t="str">
        <f>IF(CE71=CD71,1,"")</f>
        <v/>
      </c>
      <c r="CG71" s="52" t="s">
        <v>331</v>
      </c>
      <c r="CH71" s="51">
        <v>0</v>
      </c>
      <c r="CI71" s="52"/>
      <c r="CJ71" s="52"/>
      <c r="CK71" s="51">
        <v>0</v>
      </c>
      <c r="CL71" s="52"/>
      <c r="CM71" s="52" t="s">
        <v>299</v>
      </c>
      <c r="CN71" s="51">
        <v>1</v>
      </c>
      <c r="CO71" s="52" t="s">
        <v>370</v>
      </c>
      <c r="CP71" s="52"/>
      <c r="CQ71" s="52" t="s">
        <v>294</v>
      </c>
      <c r="CR71" s="52" t="s">
        <v>302</v>
      </c>
      <c r="CS71" s="51">
        <v>0</v>
      </c>
      <c r="CT71" s="52"/>
      <c r="CU71" s="52"/>
      <c r="CV71" s="52" t="s">
        <v>288</v>
      </c>
      <c r="CW71" s="98" t="s">
        <v>305</v>
      </c>
      <c r="CX71" s="97" t="str">
        <f>IF(CW71=CV71,1,"")</f>
        <v/>
      </c>
      <c r="CY71" s="52" t="s">
        <v>331</v>
      </c>
      <c r="CZ71" s="51">
        <v>0</v>
      </c>
      <c r="DA71" s="52"/>
      <c r="DB71" s="52"/>
      <c r="DC71" s="51">
        <v>1</v>
      </c>
      <c r="DD71" s="52" t="s">
        <v>741</v>
      </c>
      <c r="DE71" s="52" t="s">
        <v>299</v>
      </c>
      <c r="DF71" s="51">
        <v>1</v>
      </c>
      <c r="DG71" s="52" t="s">
        <v>742</v>
      </c>
      <c r="DH71" s="52"/>
      <c r="DI71" s="52" t="s">
        <v>301</v>
      </c>
      <c r="DJ71" s="52" t="s">
        <v>297</v>
      </c>
      <c r="DK71" s="51">
        <v>0</v>
      </c>
      <c r="DL71" s="52"/>
      <c r="DM71" s="52"/>
      <c r="DN71" s="52" t="s">
        <v>288</v>
      </c>
      <c r="DO71" s="98" t="s">
        <v>288</v>
      </c>
      <c r="DP71" s="97">
        <f>IF(DO71=DN71,1,"")</f>
        <v>1</v>
      </c>
      <c r="DQ71" s="52" t="s">
        <v>339</v>
      </c>
      <c r="DR71" s="51">
        <v>0</v>
      </c>
      <c r="DS71" s="52"/>
      <c r="DT71" s="52"/>
      <c r="DU71" s="51">
        <v>0</v>
      </c>
      <c r="DV71" s="52"/>
      <c r="DW71" s="52" t="s">
        <v>299</v>
      </c>
      <c r="DX71" s="51">
        <v>1</v>
      </c>
      <c r="DY71" s="52" t="s">
        <v>743</v>
      </c>
      <c r="DZ71" s="52"/>
      <c r="EA71" s="52" t="s">
        <v>294</v>
      </c>
      <c r="EB71" s="52" t="s">
        <v>331</v>
      </c>
      <c r="EC71" s="51">
        <v>0</v>
      </c>
      <c r="ED71" s="52"/>
      <c r="EE71" s="52"/>
      <c r="EF71" s="52" t="s">
        <v>298</v>
      </c>
      <c r="EG71" s="98" t="s">
        <v>298</v>
      </c>
      <c r="EH71" s="97">
        <f>IF(EG71=EF71,1,"")</f>
        <v>1</v>
      </c>
      <c r="EI71" s="52" t="s">
        <v>331</v>
      </c>
      <c r="EJ71" s="51">
        <v>0</v>
      </c>
      <c r="EK71" s="52"/>
      <c r="EL71" s="52"/>
      <c r="EM71" s="52" t="s">
        <v>744</v>
      </c>
      <c r="EN71" s="52"/>
      <c r="EO71" s="52" t="s">
        <v>299</v>
      </c>
      <c r="EP71" s="51">
        <v>1</v>
      </c>
      <c r="EQ71" s="52" t="s">
        <v>374</v>
      </c>
      <c r="ER71" s="52" t="s">
        <v>301</v>
      </c>
      <c r="ES71" s="52" t="s">
        <v>331</v>
      </c>
      <c r="ET71" s="51">
        <v>0</v>
      </c>
      <c r="EU71" s="52"/>
      <c r="EV71" s="52"/>
      <c r="EW71" s="52" t="s">
        <v>288</v>
      </c>
      <c r="EX71" s="98" t="s">
        <v>288</v>
      </c>
      <c r="EY71" s="97">
        <f>IF(EX71=EW71,1,"")</f>
        <v>1</v>
      </c>
      <c r="EZ71" s="51">
        <v>0</v>
      </c>
      <c r="FA71" s="52"/>
      <c r="FB71" s="52"/>
      <c r="FC71" s="52"/>
      <c r="FD71" s="51">
        <v>0</v>
      </c>
      <c r="FE71" s="52"/>
      <c r="FF71" s="52" t="s">
        <v>299</v>
      </c>
      <c r="FG71" s="51">
        <v>0</v>
      </c>
      <c r="FH71" s="52"/>
      <c r="FI71" s="52"/>
      <c r="FJ71" s="52"/>
      <c r="FK71" s="52"/>
      <c r="FL71" s="52"/>
      <c r="FM71" s="52"/>
      <c r="FN71" s="52"/>
      <c r="FO71" s="52"/>
      <c r="FP71" s="51">
        <v>1</v>
      </c>
      <c r="FQ71" s="52" t="s">
        <v>745</v>
      </c>
      <c r="FR71" s="52"/>
      <c r="FS71" s="52"/>
      <c r="FT71" s="48"/>
      <c r="FU71" s="52" t="s">
        <v>317</v>
      </c>
      <c r="FV71" s="52" t="s">
        <v>746</v>
      </c>
      <c r="FW71" s="52"/>
      <c r="FX71" s="51">
        <v>-1</v>
      </c>
      <c r="FY71" s="51">
        <v>-1</v>
      </c>
      <c r="FZ71" s="51">
        <v>-1</v>
      </c>
      <c r="GA71" s="51">
        <v>-1</v>
      </c>
      <c r="GB71" s="51">
        <v>-1</v>
      </c>
      <c r="GC71" s="51">
        <v>-1</v>
      </c>
      <c r="GD71" s="51">
        <v>-1</v>
      </c>
      <c r="GE71" s="51">
        <v>-1</v>
      </c>
      <c r="GF71" s="51">
        <v>-1</v>
      </c>
      <c r="GG71" s="51">
        <v>-1</v>
      </c>
      <c r="GH71" s="51">
        <v>-1</v>
      </c>
      <c r="GI71" s="51">
        <v>-1</v>
      </c>
      <c r="GJ71" s="51">
        <v>-1</v>
      </c>
      <c r="GK71" s="51">
        <v>-1</v>
      </c>
      <c r="GL71" s="51">
        <v>-1</v>
      </c>
      <c r="GM71" s="51">
        <v>-15</v>
      </c>
      <c r="GN71" s="53"/>
      <c r="GO71" s="53"/>
      <c r="GP71" s="52" t="s">
        <v>319</v>
      </c>
      <c r="GQ71" s="52" t="s">
        <v>320</v>
      </c>
      <c r="GR71" s="52" t="s">
        <v>277</v>
      </c>
      <c r="GS71" s="51">
        <v>15</v>
      </c>
      <c r="GT71" s="51">
        <v>15</v>
      </c>
      <c r="GU71" s="51">
        <v>34</v>
      </c>
      <c r="GV71" s="51">
        <v>8</v>
      </c>
      <c r="GW71" s="54"/>
    </row>
    <row r="72" spans="1:205" s="5" customFormat="1" x14ac:dyDescent="0.25">
      <c r="A72" s="128">
        <v>248</v>
      </c>
      <c r="B72" s="106" t="s">
        <v>676</v>
      </c>
      <c r="C72" s="106">
        <v>85</v>
      </c>
      <c r="D72" s="106" t="s">
        <v>279</v>
      </c>
      <c r="E72" s="106" t="s">
        <v>422</v>
      </c>
      <c r="F72" s="106" t="s">
        <v>282</v>
      </c>
      <c r="G72" s="106" t="s">
        <v>281</v>
      </c>
      <c r="H72" s="106" t="s">
        <v>282</v>
      </c>
      <c r="I72" s="106" t="s">
        <v>282</v>
      </c>
      <c r="J72" s="106" t="s">
        <v>282</v>
      </c>
      <c r="K72" s="106" t="s">
        <v>281</v>
      </c>
      <c r="L72" s="106" t="s">
        <v>282</v>
      </c>
      <c r="M72" s="106" t="s">
        <v>282</v>
      </c>
      <c r="N72" s="106" t="s">
        <v>282</v>
      </c>
      <c r="O72" s="128">
        <v>0</v>
      </c>
      <c r="P72" s="106"/>
      <c r="Q72" s="106"/>
      <c r="R72" s="106" t="s">
        <v>283</v>
      </c>
      <c r="S72" s="106" t="s">
        <v>378</v>
      </c>
      <c r="T72" s="106"/>
      <c r="U72" s="106"/>
      <c r="V72" s="106"/>
      <c r="X72" s="106" t="s">
        <v>350</v>
      </c>
      <c r="Y72" s="128">
        <v>1</v>
      </c>
      <c r="Z72" s="106" t="s">
        <v>374</v>
      </c>
      <c r="AA72" s="106"/>
      <c r="AB72" s="106" t="s">
        <v>301</v>
      </c>
      <c r="AC72" s="106" t="s">
        <v>331</v>
      </c>
      <c r="AD72" s="128">
        <v>0</v>
      </c>
      <c r="AE72" s="106"/>
      <c r="AF72" s="106"/>
      <c r="AG72" s="106" t="s">
        <v>288</v>
      </c>
      <c r="AH72" s="106" t="s">
        <v>288</v>
      </c>
      <c r="AI72" s="5">
        <f>IF(AH72=AG72,1,"")</f>
        <v>1</v>
      </c>
      <c r="AJ72" s="106" t="s">
        <v>500</v>
      </c>
      <c r="AK72" s="128">
        <v>0</v>
      </c>
      <c r="AL72" s="106"/>
      <c r="AM72" s="106"/>
      <c r="AN72" s="128">
        <v>0</v>
      </c>
      <c r="AO72" s="106"/>
      <c r="AP72" s="106"/>
      <c r="AQ72" s="106" t="s">
        <v>292</v>
      </c>
      <c r="AR72" s="128">
        <v>1</v>
      </c>
      <c r="AS72" s="106" t="s">
        <v>739</v>
      </c>
      <c r="AT72" s="106"/>
      <c r="AU72" s="106" t="s">
        <v>301</v>
      </c>
      <c r="AV72" s="106" t="s">
        <v>287</v>
      </c>
      <c r="AW72" s="128">
        <v>0</v>
      </c>
      <c r="AX72" s="106"/>
      <c r="AY72" s="106"/>
      <c r="AZ72" s="106" t="s">
        <v>288</v>
      </c>
      <c r="BA72" s="106" t="s">
        <v>324</v>
      </c>
      <c r="BB72" s="5" t="str">
        <f>IF(BA72=AZ72,1,"")</f>
        <v/>
      </c>
      <c r="BC72" s="106" t="s">
        <v>302</v>
      </c>
      <c r="BD72" s="128">
        <v>0</v>
      </c>
      <c r="BE72" s="106"/>
      <c r="BF72" s="106"/>
      <c r="BG72" s="128">
        <v>0</v>
      </c>
      <c r="BH72" s="106"/>
      <c r="BI72" s="106" t="s">
        <v>328</v>
      </c>
      <c r="BJ72" s="106" t="s">
        <v>294</v>
      </c>
      <c r="BK72" s="106" t="s">
        <v>297</v>
      </c>
      <c r="BL72" s="128">
        <v>0</v>
      </c>
      <c r="BM72" s="106"/>
      <c r="BN72" s="106"/>
      <c r="BO72" s="106" t="s">
        <v>288</v>
      </c>
      <c r="BP72" s="106" t="s">
        <v>302</v>
      </c>
      <c r="BQ72" s="128">
        <v>0</v>
      </c>
      <c r="BR72" s="106"/>
      <c r="BS72" s="106"/>
      <c r="BT72" s="128">
        <v>0</v>
      </c>
      <c r="BU72" s="106"/>
      <c r="BV72" s="106" t="s">
        <v>299</v>
      </c>
      <c r="BW72" s="128">
        <v>1</v>
      </c>
      <c r="BX72" s="106" t="s">
        <v>747</v>
      </c>
      <c r="BY72" s="106" t="s">
        <v>301</v>
      </c>
      <c r="BZ72" s="106" t="s">
        <v>297</v>
      </c>
      <c r="CA72" s="128">
        <v>0</v>
      </c>
      <c r="CB72" s="106"/>
      <c r="CC72" s="106"/>
      <c r="CD72" s="106" t="s">
        <v>288</v>
      </c>
      <c r="CE72" s="5" t="s">
        <v>841</v>
      </c>
      <c r="CF72" s="5" t="str">
        <f>IF(CE72=CD72,1,"")</f>
        <v/>
      </c>
      <c r="CG72" s="106" t="s">
        <v>331</v>
      </c>
      <c r="CH72" s="128">
        <v>0</v>
      </c>
      <c r="CI72" s="106"/>
      <c r="CJ72" s="106"/>
      <c r="CK72" s="128">
        <v>0</v>
      </c>
      <c r="CL72" s="106"/>
      <c r="CM72" s="106" t="s">
        <v>299</v>
      </c>
      <c r="CN72" s="128">
        <v>1</v>
      </c>
      <c r="CO72" s="106" t="s">
        <v>370</v>
      </c>
      <c r="CP72" s="106"/>
      <c r="CQ72" s="106" t="s">
        <v>294</v>
      </c>
      <c r="CR72" s="106" t="s">
        <v>297</v>
      </c>
      <c r="CS72" s="128">
        <v>0</v>
      </c>
      <c r="CT72" s="106"/>
      <c r="CU72" s="106"/>
      <c r="CV72" s="106" t="s">
        <v>305</v>
      </c>
      <c r="CW72" s="106" t="s">
        <v>298</v>
      </c>
      <c r="CX72" s="5" t="str">
        <f>IF(CW72=CV72,1,"")</f>
        <v/>
      </c>
      <c r="CY72" s="106" t="s">
        <v>302</v>
      </c>
      <c r="CZ72" s="128">
        <v>0</v>
      </c>
      <c r="DA72" s="106"/>
      <c r="DB72" s="106"/>
      <c r="DC72" s="128">
        <v>0</v>
      </c>
      <c r="DD72" s="106"/>
      <c r="DE72" s="106" t="s">
        <v>299</v>
      </c>
      <c r="DF72" s="128">
        <v>0</v>
      </c>
      <c r="DG72" s="106"/>
      <c r="DH72" s="106"/>
      <c r="DI72" s="106" t="s">
        <v>301</v>
      </c>
      <c r="DJ72" s="106" t="s">
        <v>297</v>
      </c>
      <c r="DK72" s="128">
        <v>0</v>
      </c>
      <c r="DL72" s="106"/>
      <c r="DM72" s="106"/>
      <c r="DN72" s="106" t="s">
        <v>324</v>
      </c>
      <c r="DO72" s="106"/>
      <c r="DP72" s="5" t="str">
        <f>IF(DO72=DN72,1,"")</f>
        <v/>
      </c>
      <c r="DQ72" s="106" t="s">
        <v>302</v>
      </c>
      <c r="DR72" s="128">
        <v>0</v>
      </c>
      <c r="DS72" s="106"/>
      <c r="DT72" s="106"/>
      <c r="DU72" s="128">
        <v>0</v>
      </c>
      <c r="DV72" s="106"/>
      <c r="DW72" s="106" t="s">
        <v>328</v>
      </c>
      <c r="DX72" s="128">
        <v>1</v>
      </c>
      <c r="DY72" s="106" t="s">
        <v>748</v>
      </c>
      <c r="DZ72" s="106"/>
      <c r="EA72" s="106" t="s">
        <v>301</v>
      </c>
      <c r="EB72" s="106" t="s">
        <v>331</v>
      </c>
      <c r="EC72" s="128">
        <v>0</v>
      </c>
      <c r="ED72" s="106"/>
      <c r="EE72" s="106"/>
      <c r="EF72" s="106" t="s">
        <v>288</v>
      </c>
      <c r="EG72" s="106" t="s">
        <v>298</v>
      </c>
      <c r="EH72" s="5" t="str">
        <f>IF(EG72=EF72,1,"")</f>
        <v/>
      </c>
      <c r="EI72" s="106" t="s">
        <v>302</v>
      </c>
      <c r="EJ72" s="128">
        <v>0</v>
      </c>
      <c r="EK72" s="106"/>
      <c r="EL72" s="106"/>
      <c r="EM72" s="106"/>
      <c r="EN72" s="106"/>
      <c r="EO72" s="106" t="s">
        <v>328</v>
      </c>
      <c r="EP72" s="128">
        <v>1</v>
      </c>
      <c r="EQ72" s="106" t="s">
        <v>374</v>
      </c>
      <c r="ER72" s="106" t="s">
        <v>301</v>
      </c>
      <c r="ES72" s="106" t="s">
        <v>331</v>
      </c>
      <c r="ET72" s="128">
        <v>0</v>
      </c>
      <c r="EU72" s="106"/>
      <c r="EV72" s="106"/>
      <c r="EW72" s="106" t="s">
        <v>288</v>
      </c>
      <c r="EX72" s="106" t="s">
        <v>288</v>
      </c>
      <c r="EY72" s="5">
        <f>IF(EX72=EW72,1,"")</f>
        <v>1</v>
      </c>
      <c r="EZ72" s="128">
        <v>0</v>
      </c>
      <c r="FA72" s="106"/>
      <c r="FB72" s="106"/>
      <c r="FC72" s="106"/>
      <c r="FD72" s="128">
        <v>0</v>
      </c>
      <c r="FE72" s="106"/>
      <c r="FF72" s="106" t="s">
        <v>299</v>
      </c>
      <c r="FG72" s="128">
        <v>0</v>
      </c>
      <c r="FH72" s="106"/>
      <c r="FI72" s="106"/>
      <c r="FJ72" s="106"/>
      <c r="FK72" s="106"/>
      <c r="FL72" s="106"/>
      <c r="FM72" s="106"/>
      <c r="FN72" s="106"/>
      <c r="FO72" s="106"/>
      <c r="FP72" s="128">
        <v>0</v>
      </c>
      <c r="FQ72" s="106"/>
      <c r="FR72" s="106"/>
      <c r="FS72" s="106"/>
      <c r="FU72" s="106" t="s">
        <v>317</v>
      </c>
      <c r="FV72" s="106" t="s">
        <v>749</v>
      </c>
      <c r="FW72" s="106"/>
      <c r="FX72" s="128">
        <v>-1</v>
      </c>
      <c r="FY72" s="128">
        <v>-1</v>
      </c>
      <c r="FZ72" s="128">
        <v>-1</v>
      </c>
      <c r="GA72" s="128">
        <v>-1</v>
      </c>
      <c r="GB72" s="128">
        <v>-1</v>
      </c>
      <c r="GC72" s="128">
        <v>-1</v>
      </c>
      <c r="GD72" s="128">
        <v>-1</v>
      </c>
      <c r="GE72" s="128">
        <v>-1</v>
      </c>
      <c r="GF72" s="128">
        <v>-1</v>
      </c>
      <c r="GG72" s="128">
        <v>-1</v>
      </c>
      <c r="GH72" s="128">
        <v>-1</v>
      </c>
      <c r="GI72" s="128">
        <v>-1</v>
      </c>
      <c r="GJ72" s="128">
        <v>-1</v>
      </c>
      <c r="GK72" s="128">
        <v>-1</v>
      </c>
      <c r="GL72" s="128">
        <v>-1</v>
      </c>
      <c r="GM72" s="128">
        <v>-15</v>
      </c>
      <c r="GN72" s="129"/>
      <c r="GO72" s="129"/>
      <c r="GP72" s="106" t="s">
        <v>319</v>
      </c>
      <c r="GQ72" s="106" t="s">
        <v>320</v>
      </c>
      <c r="GR72" s="106" t="s">
        <v>277</v>
      </c>
      <c r="GS72" s="128">
        <v>15</v>
      </c>
      <c r="GT72" s="128">
        <v>15</v>
      </c>
      <c r="GU72" s="128">
        <v>40</v>
      </c>
      <c r="GV72" s="128">
        <v>12</v>
      </c>
      <c r="GW72" s="130"/>
    </row>
    <row r="73" spans="1:205" s="5" customFormat="1" x14ac:dyDescent="0.25">
      <c r="A73" s="128"/>
      <c r="B73" s="106"/>
      <c r="C73" s="106"/>
      <c r="D73" s="106"/>
      <c r="E73" s="106"/>
      <c r="F73" s="106"/>
      <c r="G73" s="106"/>
      <c r="H73" s="106"/>
      <c r="I73" s="106"/>
      <c r="J73" s="106"/>
      <c r="K73" s="106"/>
      <c r="L73" s="106"/>
      <c r="M73" s="106"/>
      <c r="N73" s="106"/>
      <c r="O73" s="128"/>
      <c r="P73" s="106"/>
      <c r="Q73" s="106"/>
      <c r="R73" s="106"/>
      <c r="S73" s="106"/>
      <c r="T73" s="106"/>
      <c r="U73" s="106"/>
      <c r="V73" s="106"/>
      <c r="X73" s="106"/>
      <c r="Y73" s="128"/>
      <c r="Z73" s="106"/>
      <c r="AA73" s="106"/>
      <c r="AB73" s="106"/>
      <c r="AC73" s="106"/>
      <c r="AD73" s="128"/>
      <c r="AE73" s="106"/>
      <c r="AF73" s="106"/>
      <c r="AG73" s="106"/>
      <c r="AH73" s="106"/>
      <c r="AI73" s="5">
        <f>COUNTIFS(AG69:AG72, "&lt;&gt;", AH69:AH72, "&lt;&gt;")</f>
        <v>4</v>
      </c>
      <c r="AJ73" s="5">
        <f>COUNTIF(AI69:AI72,1)</f>
        <v>3</v>
      </c>
      <c r="AK73" s="131">
        <f>AJ73/AI73</f>
        <v>0.75</v>
      </c>
      <c r="AL73" s="106"/>
      <c r="AM73" s="106"/>
      <c r="AN73" s="128"/>
      <c r="AO73" s="106"/>
      <c r="AP73" s="106"/>
      <c r="AQ73" s="106"/>
      <c r="AR73" s="128"/>
      <c r="AS73" s="106"/>
      <c r="AT73" s="106"/>
      <c r="AU73" s="106"/>
      <c r="AV73" s="106"/>
      <c r="AW73" s="128"/>
      <c r="AX73" s="106"/>
      <c r="AY73" s="106"/>
      <c r="AZ73" s="106"/>
      <c r="BA73" s="106"/>
      <c r="BB73" s="5">
        <f>COUNTIFS(AZ69:AZ72, "&lt;&gt;", BA69:BA72, "&lt;&gt;")</f>
        <v>4</v>
      </c>
      <c r="BC73" s="5">
        <f>COUNTIF(BB69:BB72,1)</f>
        <v>2</v>
      </c>
      <c r="BD73" s="131">
        <f>BC73/BB73</f>
        <v>0.5</v>
      </c>
      <c r="BE73" s="106"/>
      <c r="BF73" s="106"/>
      <c r="BG73" s="128"/>
      <c r="BH73" s="106"/>
      <c r="BI73" s="106"/>
      <c r="BJ73" s="106"/>
      <c r="BK73" s="106"/>
      <c r="BL73" s="128"/>
      <c r="BM73" s="106"/>
      <c r="BN73" s="106"/>
      <c r="BO73" s="106"/>
      <c r="BP73" s="106"/>
      <c r="BQ73" s="128"/>
      <c r="BR73" s="106"/>
      <c r="BS73" s="106"/>
      <c r="BT73" s="128"/>
      <c r="BU73" s="106"/>
      <c r="BV73" s="106"/>
      <c r="BW73" s="128"/>
      <c r="BX73" s="106"/>
      <c r="BY73" s="106"/>
      <c r="BZ73" s="106"/>
      <c r="CA73" s="128"/>
      <c r="CB73" s="106"/>
      <c r="CC73" s="106"/>
      <c r="CD73" s="106"/>
      <c r="CF73" s="5">
        <f>COUNTIFS(CD69:CD72, "&lt;&gt;", CE69:CE72, "&lt;&gt;")</f>
        <v>3</v>
      </c>
      <c r="CG73" s="5">
        <f>COUNTIF(CF69:CF72,1)</f>
        <v>1</v>
      </c>
      <c r="CH73" s="131">
        <f>CG73/CF73</f>
        <v>0.33333333333333331</v>
      </c>
      <c r="CI73" s="106"/>
      <c r="CJ73" s="106"/>
      <c r="CK73" s="128"/>
      <c r="CL73" s="106"/>
      <c r="CM73" s="106"/>
      <c r="CN73" s="128"/>
      <c r="CO73" s="106"/>
      <c r="CP73" s="106"/>
      <c r="CQ73" s="106"/>
      <c r="CR73" s="106"/>
      <c r="CS73" s="128"/>
      <c r="CT73" s="106"/>
      <c r="CU73" s="106"/>
      <c r="CV73" s="106"/>
      <c r="CW73" s="106"/>
      <c r="CX73" s="5">
        <f>COUNTIFS(CV69:CV72, "&lt;&gt;", CW69:CW72, "&lt;&gt;")</f>
        <v>4</v>
      </c>
      <c r="CY73" s="5">
        <f>COUNTIF(CX69:CX72,1)</f>
        <v>2</v>
      </c>
      <c r="CZ73" s="131">
        <f>CY73/CX73</f>
        <v>0.5</v>
      </c>
      <c r="DA73" s="106"/>
      <c r="DB73" s="106"/>
      <c r="DC73" s="128"/>
      <c r="DD73" s="106"/>
      <c r="DE73" s="106"/>
      <c r="DF73" s="128"/>
      <c r="DG73" s="106"/>
      <c r="DH73" s="106"/>
      <c r="DI73" s="106"/>
      <c r="DJ73" s="106"/>
      <c r="DK73" s="128"/>
      <c r="DL73" s="106"/>
      <c r="DM73" s="106"/>
      <c r="DN73" s="106"/>
      <c r="DO73" s="106"/>
      <c r="DP73" s="5">
        <f>COUNTIFS(DN69:DN72, "&lt;&gt;", DO69:DO72, "&lt;&gt;")</f>
        <v>3</v>
      </c>
      <c r="DQ73" s="5">
        <f>COUNTIF(DP69:DP72,1)</f>
        <v>2</v>
      </c>
      <c r="DR73" s="131">
        <f>DQ73/DP73</f>
        <v>0.66666666666666663</v>
      </c>
      <c r="DS73" s="106"/>
      <c r="DT73" s="106"/>
      <c r="DU73" s="128"/>
      <c r="DV73" s="106"/>
      <c r="DW73" s="106"/>
      <c r="DX73" s="128"/>
      <c r="DY73" s="106"/>
      <c r="DZ73" s="106"/>
      <c r="EA73" s="106"/>
      <c r="EB73" s="106"/>
      <c r="EC73" s="128"/>
      <c r="ED73" s="106"/>
      <c r="EE73" s="106"/>
      <c r="EF73" s="106"/>
      <c r="EG73" s="106"/>
      <c r="EH73" s="5">
        <f>COUNTIFS(EF69:EF72, "&lt;&gt;", EG69:EG72, "&lt;&gt;")</f>
        <v>4</v>
      </c>
      <c r="EI73" s="5">
        <f>COUNTIF(EH69:EH72,1)</f>
        <v>2</v>
      </c>
      <c r="EJ73" s="131">
        <f>EI73/EH73</f>
        <v>0.5</v>
      </c>
      <c r="EK73" s="106"/>
      <c r="EL73" s="106"/>
      <c r="EM73" s="106"/>
      <c r="EN73" s="106"/>
      <c r="EO73" s="106"/>
      <c r="EP73" s="128"/>
      <c r="EQ73" s="106"/>
      <c r="ER73" s="106"/>
      <c r="ES73" s="106"/>
      <c r="ET73" s="128"/>
      <c r="EU73" s="106"/>
      <c r="EV73" s="106"/>
      <c r="EW73" s="106"/>
      <c r="EX73" s="106"/>
      <c r="EY73" s="5">
        <f>COUNTIFS(EW69:EW72, "&lt;&gt;", EX69:EX72, "&lt;&gt;")</f>
        <v>4</v>
      </c>
      <c r="EZ73" s="5">
        <f>COUNTIF(EY69:EY72,1)</f>
        <v>2</v>
      </c>
      <c r="FA73" s="131">
        <f>EZ73/EY73</f>
        <v>0.5</v>
      </c>
      <c r="FB73" s="106"/>
      <c r="FC73" s="106"/>
      <c r="FD73" s="128"/>
      <c r="FE73" s="106"/>
      <c r="FF73" s="106"/>
      <c r="FG73" s="128"/>
      <c r="FH73" s="106"/>
      <c r="FI73" s="106"/>
      <c r="FJ73" s="106"/>
      <c r="FK73" s="106"/>
      <c r="FL73" s="106"/>
      <c r="FM73" s="106"/>
      <c r="FN73" s="106"/>
      <c r="FO73" s="106"/>
      <c r="FP73" s="128"/>
      <c r="FQ73" s="106"/>
      <c r="FR73" s="106"/>
      <c r="FS73" s="106"/>
      <c r="FU73" s="106"/>
      <c r="FV73" s="106"/>
      <c r="FW73" s="106"/>
      <c r="FX73" s="128"/>
      <c r="FY73" s="128"/>
      <c r="FZ73" s="128"/>
      <c r="GA73" s="128"/>
      <c r="GB73" s="128"/>
      <c r="GC73" s="128"/>
      <c r="GD73" s="128"/>
      <c r="GE73" s="128"/>
      <c r="GF73" s="128"/>
      <c r="GG73" s="128"/>
      <c r="GH73" s="128"/>
      <c r="GI73" s="128"/>
      <c r="GJ73" s="128"/>
      <c r="GK73" s="128"/>
      <c r="GL73" s="128"/>
      <c r="GM73" s="128"/>
      <c r="GN73" s="129"/>
      <c r="GO73" s="129"/>
      <c r="GP73" s="106"/>
      <c r="GQ73" s="106"/>
      <c r="GR73" s="106"/>
      <c r="GS73" s="128"/>
      <c r="GT73" s="128"/>
      <c r="GU73" s="128"/>
      <c r="GV73" s="128"/>
      <c r="GW73" s="130"/>
    </row>
    <row r="74" spans="1:205" x14ac:dyDescent="0.25">
      <c r="A74" s="65">
        <v>208</v>
      </c>
      <c r="B74" s="61" t="s">
        <v>278</v>
      </c>
      <c r="C74" s="61">
        <v>10</v>
      </c>
      <c r="D74" s="61" t="s">
        <v>279</v>
      </c>
      <c r="E74" s="61" t="s">
        <v>320</v>
      </c>
      <c r="F74" s="61" t="s">
        <v>282</v>
      </c>
      <c r="G74" s="61" t="s">
        <v>281</v>
      </c>
      <c r="H74" s="61" t="s">
        <v>282</v>
      </c>
      <c r="I74" s="61" t="s">
        <v>282</v>
      </c>
      <c r="J74" s="61" t="s">
        <v>282</v>
      </c>
      <c r="K74" s="61" t="s">
        <v>282</v>
      </c>
      <c r="L74" s="61" t="s">
        <v>282</v>
      </c>
      <c r="M74" s="61" t="s">
        <v>282</v>
      </c>
      <c r="N74" s="61" t="s">
        <v>282</v>
      </c>
      <c r="O74" s="65">
        <v>1</v>
      </c>
      <c r="P74" s="61" t="s">
        <v>623</v>
      </c>
      <c r="Q74" s="61"/>
      <c r="R74" s="61" t="s">
        <v>355</v>
      </c>
      <c r="S74" s="61"/>
      <c r="T74" s="61"/>
      <c r="U74" s="61" t="s">
        <v>322</v>
      </c>
      <c r="V74" s="61" t="s">
        <v>320</v>
      </c>
      <c r="W74" s="61"/>
      <c r="X74" s="61" t="s">
        <v>425</v>
      </c>
      <c r="Y74" s="65">
        <v>1</v>
      </c>
      <c r="Z74" s="61" t="s">
        <v>466</v>
      </c>
      <c r="AA74" s="61"/>
      <c r="AB74" s="61" t="s">
        <v>294</v>
      </c>
      <c r="AC74" s="61" t="s">
        <v>302</v>
      </c>
      <c r="AD74" s="65">
        <v>0</v>
      </c>
      <c r="AE74" s="61"/>
      <c r="AF74" s="61"/>
      <c r="AG74" s="61" t="s">
        <v>305</v>
      </c>
      <c r="AH74" s="98" t="s">
        <v>305</v>
      </c>
      <c r="AI74" s="97">
        <f>IF(AH74=AG74,1,"")</f>
        <v>1</v>
      </c>
      <c r="AJ74" s="61"/>
      <c r="AK74" s="65">
        <v>0</v>
      </c>
      <c r="AL74" s="61"/>
      <c r="AM74" s="61"/>
      <c r="AN74" s="65">
        <v>1</v>
      </c>
      <c r="AO74" s="61" t="s">
        <v>624</v>
      </c>
      <c r="AP74" s="61"/>
      <c r="AQ74" s="61" t="s">
        <v>299</v>
      </c>
      <c r="AR74" s="65">
        <v>0</v>
      </c>
      <c r="AS74" s="61"/>
      <c r="AT74" s="61"/>
      <c r="AU74" s="61"/>
      <c r="AV74" s="61"/>
      <c r="AW74" s="65">
        <v>0</v>
      </c>
      <c r="AX74" s="61"/>
      <c r="AY74" s="61"/>
      <c r="AZ74" s="61"/>
      <c r="BA74" s="98"/>
      <c r="BC74" s="61"/>
      <c r="BD74" s="65">
        <v>0</v>
      </c>
      <c r="BE74" s="61"/>
      <c r="BF74" s="61"/>
      <c r="BG74" s="65">
        <v>0</v>
      </c>
      <c r="BH74" s="61"/>
      <c r="BI74" s="61"/>
      <c r="BJ74" s="61" t="s">
        <v>294</v>
      </c>
      <c r="BK74" s="61"/>
      <c r="BL74" s="65">
        <v>0</v>
      </c>
      <c r="BM74" s="61"/>
      <c r="BN74" s="61"/>
      <c r="BO74" s="61"/>
      <c r="BP74" s="61"/>
      <c r="BQ74" s="65">
        <v>0</v>
      </c>
      <c r="BR74" s="61"/>
      <c r="BS74" s="61"/>
      <c r="BT74" s="65">
        <v>0</v>
      </c>
      <c r="BU74" s="61"/>
      <c r="BV74" s="61"/>
      <c r="BW74" s="65">
        <v>1</v>
      </c>
      <c r="BX74" s="61" t="s">
        <v>385</v>
      </c>
      <c r="BY74" s="61" t="s">
        <v>301</v>
      </c>
      <c r="BZ74" s="61" t="s">
        <v>297</v>
      </c>
      <c r="CA74" s="65">
        <v>0</v>
      </c>
      <c r="CB74" s="61"/>
      <c r="CC74" s="61"/>
      <c r="CD74" s="61" t="s">
        <v>288</v>
      </c>
      <c r="CE74" s="97" t="s">
        <v>288</v>
      </c>
      <c r="CF74" s="97">
        <f>IF(CE74=CD74,1,"")</f>
        <v>1</v>
      </c>
      <c r="CG74" s="61" t="s">
        <v>339</v>
      </c>
      <c r="CH74" s="65">
        <v>0</v>
      </c>
      <c r="CI74" s="61"/>
      <c r="CJ74" s="61"/>
      <c r="CK74" s="65">
        <v>0</v>
      </c>
      <c r="CL74" s="61"/>
      <c r="CM74" s="61" t="s">
        <v>299</v>
      </c>
      <c r="CN74" s="65">
        <v>0</v>
      </c>
      <c r="CO74" s="61"/>
      <c r="CP74" s="61"/>
      <c r="CQ74" s="61"/>
      <c r="CR74" s="61"/>
      <c r="CS74" s="65">
        <v>0</v>
      </c>
      <c r="CT74" s="61"/>
      <c r="CU74" s="61"/>
      <c r="CV74" s="61"/>
      <c r="CW74" s="98"/>
      <c r="CY74" s="61"/>
      <c r="CZ74" s="65">
        <v>0</v>
      </c>
      <c r="DA74" s="61"/>
      <c r="DB74" s="61"/>
      <c r="DC74" s="65">
        <v>0</v>
      </c>
      <c r="DD74" s="61"/>
      <c r="DE74" s="61"/>
      <c r="DF74" s="65">
        <v>1</v>
      </c>
      <c r="DG74" s="61" t="s">
        <v>625</v>
      </c>
      <c r="DH74" s="61"/>
      <c r="DI74" s="61" t="s">
        <v>294</v>
      </c>
      <c r="DJ74" s="61" t="s">
        <v>302</v>
      </c>
      <c r="DK74" s="65">
        <v>0</v>
      </c>
      <c r="DL74" s="61"/>
      <c r="DM74" s="61"/>
      <c r="DN74" s="61" t="s">
        <v>288</v>
      </c>
      <c r="DO74" s="98" t="s">
        <v>305</v>
      </c>
      <c r="DP74" s="97" t="str">
        <f>IF(DO74=DN74,1,"")</f>
        <v/>
      </c>
      <c r="DQ74" s="61" t="s">
        <v>302</v>
      </c>
      <c r="DR74" s="65">
        <v>0</v>
      </c>
      <c r="DS74" s="61"/>
      <c r="DT74" s="61"/>
      <c r="DU74" s="65">
        <v>1</v>
      </c>
      <c r="DV74" s="61" t="s">
        <v>626</v>
      </c>
      <c r="DW74" s="61" t="s">
        <v>299</v>
      </c>
      <c r="DX74" s="65">
        <v>0</v>
      </c>
      <c r="DY74" s="61"/>
      <c r="DZ74" s="61"/>
      <c r="EA74" s="61"/>
      <c r="EB74" s="61"/>
      <c r="EC74" s="65">
        <v>0</v>
      </c>
      <c r="ED74" s="61"/>
      <c r="EE74" s="61"/>
      <c r="EF74" s="61"/>
      <c r="EG74" s="98"/>
      <c r="EI74" s="61"/>
      <c r="EJ74" s="65">
        <v>0</v>
      </c>
      <c r="EK74" s="61"/>
      <c r="EL74" s="61"/>
      <c r="EM74" s="61"/>
      <c r="EN74" s="61"/>
      <c r="EO74" s="61"/>
      <c r="EP74" s="65">
        <v>0</v>
      </c>
      <c r="EQ74" s="61"/>
      <c r="ER74" s="61"/>
      <c r="ES74" s="61"/>
      <c r="ET74" s="65">
        <v>0</v>
      </c>
      <c r="EU74" s="61"/>
      <c r="EV74" s="61"/>
      <c r="EW74" s="61"/>
      <c r="EX74" s="98"/>
      <c r="EZ74" s="65">
        <v>0</v>
      </c>
      <c r="FA74" s="61"/>
      <c r="FB74" s="61"/>
      <c r="FC74" s="61"/>
      <c r="FD74" s="65">
        <v>0</v>
      </c>
      <c r="FE74" s="61"/>
      <c r="FF74" s="61"/>
      <c r="FG74" s="65">
        <v>1</v>
      </c>
      <c r="FH74" s="61" t="s">
        <v>621</v>
      </c>
      <c r="FI74" s="61"/>
      <c r="FJ74" s="61"/>
      <c r="FK74" s="61"/>
      <c r="FL74" s="61"/>
      <c r="FM74" s="61"/>
      <c r="FN74" s="61"/>
      <c r="FO74" s="61"/>
      <c r="FP74" s="65">
        <v>1</v>
      </c>
      <c r="FQ74" s="61" t="s">
        <v>627</v>
      </c>
      <c r="FR74" s="61"/>
      <c r="FS74" s="61"/>
      <c r="FT74" s="49"/>
      <c r="FU74" s="61" t="s">
        <v>351</v>
      </c>
      <c r="FV74" s="61"/>
      <c r="FW74" s="61"/>
      <c r="FX74" s="65">
        <v>-1</v>
      </c>
      <c r="FY74" s="65">
        <v>-1</v>
      </c>
      <c r="FZ74" s="65">
        <v>-1</v>
      </c>
      <c r="GA74" s="65">
        <v>-1</v>
      </c>
      <c r="GB74" s="65">
        <v>-1</v>
      </c>
      <c r="GC74" s="65">
        <v>-1</v>
      </c>
      <c r="GD74" s="65">
        <v>-1</v>
      </c>
      <c r="GE74" s="65">
        <v>-1</v>
      </c>
      <c r="GF74" s="65">
        <v>-1</v>
      </c>
      <c r="GG74" s="65">
        <v>-1</v>
      </c>
      <c r="GH74" s="65">
        <v>-1</v>
      </c>
      <c r="GI74" s="65">
        <v>-1</v>
      </c>
      <c r="GJ74" s="65">
        <v>-1</v>
      </c>
      <c r="GK74" s="65">
        <v>-1</v>
      </c>
      <c r="GL74" s="65">
        <v>-1</v>
      </c>
      <c r="GM74" s="65">
        <v>-15</v>
      </c>
      <c r="GN74" s="66"/>
      <c r="GO74" s="66"/>
      <c r="GP74" s="61"/>
      <c r="GQ74" s="61" t="s">
        <v>320</v>
      </c>
      <c r="GR74" s="61" t="s">
        <v>277</v>
      </c>
      <c r="GS74" s="65">
        <v>15</v>
      </c>
      <c r="GT74" s="65">
        <v>15</v>
      </c>
      <c r="GU74" s="65">
        <v>68</v>
      </c>
      <c r="GV74" s="65">
        <v>56</v>
      </c>
      <c r="GW74" s="67"/>
    </row>
    <row r="75" spans="1:205" s="75" customFormat="1" ht="13.8" thickBot="1" x14ac:dyDescent="0.3">
      <c r="A75" s="13">
        <v>117</v>
      </c>
      <c r="B75" s="20" t="s">
        <v>278</v>
      </c>
      <c r="C75" s="20">
        <v>10</v>
      </c>
      <c r="D75" s="14" t="s">
        <v>279</v>
      </c>
      <c r="E75" s="14" t="s">
        <v>280</v>
      </c>
      <c r="F75" s="14" t="s">
        <v>281</v>
      </c>
      <c r="G75" s="14" t="s">
        <v>281</v>
      </c>
      <c r="H75" s="14" t="s">
        <v>282</v>
      </c>
      <c r="I75" s="14" t="s">
        <v>281</v>
      </c>
      <c r="J75" s="14" t="s">
        <v>282</v>
      </c>
      <c r="K75" s="14" t="s">
        <v>282</v>
      </c>
      <c r="L75" s="14" t="s">
        <v>281</v>
      </c>
      <c r="M75" s="14" t="s">
        <v>282</v>
      </c>
      <c r="N75" s="14" t="s">
        <v>282</v>
      </c>
      <c r="O75" s="13">
        <v>0</v>
      </c>
      <c r="P75" s="14"/>
      <c r="Q75" s="14"/>
      <c r="R75" s="14" t="s">
        <v>283</v>
      </c>
      <c r="S75" s="14" t="s">
        <v>284</v>
      </c>
      <c r="T75" s="14"/>
      <c r="U75" s="14"/>
      <c r="V75" s="14">
        <v>1</v>
      </c>
      <c r="W75" s="14"/>
      <c r="X75" s="14" t="s">
        <v>316</v>
      </c>
      <c r="Y75" s="13">
        <v>1</v>
      </c>
      <c r="Z75" s="14" t="s">
        <v>285</v>
      </c>
      <c r="AA75" s="14"/>
      <c r="AB75" s="14" t="s">
        <v>286</v>
      </c>
      <c r="AC75" s="14" t="s">
        <v>287</v>
      </c>
      <c r="AD75" s="13">
        <v>0</v>
      </c>
      <c r="AE75" s="14"/>
      <c r="AF75" s="14"/>
      <c r="AG75" s="14" t="s">
        <v>288</v>
      </c>
      <c r="AH75" s="98" t="s">
        <v>298</v>
      </c>
      <c r="AI75" s="97" t="str">
        <f>IF(AH75=AG75,1,"")</f>
        <v/>
      </c>
      <c r="AJ75" s="14" t="s">
        <v>289</v>
      </c>
      <c r="AK75" s="13">
        <v>0</v>
      </c>
      <c r="AL75" s="14"/>
      <c r="AM75" s="14"/>
      <c r="AN75" s="13">
        <v>2</v>
      </c>
      <c r="AO75" s="14" t="s">
        <v>290</v>
      </c>
      <c r="AP75" s="14" t="s">
        <v>291</v>
      </c>
      <c r="AQ75" s="14" t="s">
        <v>292</v>
      </c>
      <c r="AR75" s="13">
        <v>1</v>
      </c>
      <c r="AS75" s="14" t="s">
        <v>293</v>
      </c>
      <c r="AT75" s="14"/>
      <c r="AU75" s="14" t="s">
        <v>294</v>
      </c>
      <c r="AV75" s="14" t="s">
        <v>287</v>
      </c>
      <c r="AW75" s="13">
        <v>0</v>
      </c>
      <c r="AX75" s="14"/>
      <c r="AY75" s="14"/>
      <c r="AZ75" s="14" t="s">
        <v>288</v>
      </c>
      <c r="BA75" s="99" t="s">
        <v>840</v>
      </c>
      <c r="BB75" s="97">
        <v>1</v>
      </c>
      <c r="BC75" s="14" t="s">
        <v>289</v>
      </c>
      <c r="BD75" s="13">
        <v>1</v>
      </c>
      <c r="BE75" s="14" t="s">
        <v>295</v>
      </c>
      <c r="BF75" s="14"/>
      <c r="BG75" s="13">
        <v>0</v>
      </c>
      <c r="BH75" s="14"/>
      <c r="BI75" s="14" t="s">
        <v>296</v>
      </c>
      <c r="BJ75" s="14" t="s">
        <v>294</v>
      </c>
      <c r="BK75" s="14" t="s">
        <v>297</v>
      </c>
      <c r="BL75" s="13">
        <v>0</v>
      </c>
      <c r="BM75" s="14"/>
      <c r="BN75" s="14"/>
      <c r="BO75" s="14" t="s">
        <v>298</v>
      </c>
      <c r="BP75" s="14" t="s">
        <v>289</v>
      </c>
      <c r="BQ75" s="13">
        <v>1</v>
      </c>
      <c r="BR75" s="14" t="s">
        <v>295</v>
      </c>
      <c r="BS75" s="14"/>
      <c r="BT75" s="13">
        <v>0</v>
      </c>
      <c r="BU75" s="14"/>
      <c r="BV75" s="14" t="s">
        <v>299</v>
      </c>
      <c r="BW75" s="13">
        <v>1</v>
      </c>
      <c r="BX75" s="14" t="s">
        <v>300</v>
      </c>
      <c r="BY75" s="14" t="s">
        <v>301</v>
      </c>
      <c r="BZ75" s="14" t="s">
        <v>302</v>
      </c>
      <c r="CA75" s="13">
        <v>0</v>
      </c>
      <c r="CB75" s="14"/>
      <c r="CC75" s="14"/>
      <c r="CD75" s="14" t="s">
        <v>298</v>
      </c>
      <c r="CE75" s="97"/>
      <c r="CF75" s="97"/>
      <c r="CG75" s="14" t="s">
        <v>289</v>
      </c>
      <c r="CH75" s="13">
        <v>0</v>
      </c>
      <c r="CI75" s="14"/>
      <c r="CJ75" s="14"/>
      <c r="CK75" s="13">
        <v>0</v>
      </c>
      <c r="CL75" s="14"/>
      <c r="CM75" s="14" t="s">
        <v>296</v>
      </c>
      <c r="CN75" s="13">
        <v>0</v>
      </c>
      <c r="CO75" s="14"/>
      <c r="CP75" s="14"/>
      <c r="CQ75" s="14" t="s">
        <v>303</v>
      </c>
      <c r="CR75" s="14" t="s">
        <v>304</v>
      </c>
      <c r="CS75" s="13">
        <v>0</v>
      </c>
      <c r="CT75" s="14"/>
      <c r="CU75" s="14"/>
      <c r="CV75" s="14" t="s">
        <v>305</v>
      </c>
      <c r="CW75" s="99"/>
      <c r="CX75" s="97"/>
      <c r="CY75" s="14" t="s">
        <v>304</v>
      </c>
      <c r="CZ75" s="13">
        <v>0</v>
      </c>
      <c r="DA75" s="14"/>
      <c r="DB75" s="14"/>
      <c r="DC75" s="13">
        <v>0</v>
      </c>
      <c r="DD75" s="14"/>
      <c r="DE75" s="14" t="s">
        <v>296</v>
      </c>
      <c r="DF75" s="13">
        <v>1</v>
      </c>
      <c r="DG75" s="14" t="s">
        <v>306</v>
      </c>
      <c r="DH75" s="14"/>
      <c r="DI75" s="14" t="s">
        <v>303</v>
      </c>
      <c r="DJ75" s="14" t="s">
        <v>304</v>
      </c>
      <c r="DK75" s="13">
        <v>0</v>
      </c>
      <c r="DL75" s="14"/>
      <c r="DM75" s="14"/>
      <c r="DN75" s="14" t="s">
        <v>298</v>
      </c>
      <c r="DO75" s="98" t="s">
        <v>298</v>
      </c>
      <c r="DP75" s="97">
        <f>IF(DO75=DN75,1,"")</f>
        <v>1</v>
      </c>
      <c r="DQ75" s="14" t="s">
        <v>304</v>
      </c>
      <c r="DR75" s="13">
        <v>0</v>
      </c>
      <c r="DS75" s="14"/>
      <c r="DT75" s="14"/>
      <c r="DU75" s="13">
        <v>0</v>
      </c>
      <c r="DV75" s="14"/>
      <c r="DW75" s="14" t="s">
        <v>296</v>
      </c>
      <c r="DX75" s="13">
        <v>2</v>
      </c>
      <c r="DY75" s="14" t="s">
        <v>307</v>
      </c>
      <c r="DZ75" s="14" t="s">
        <v>308</v>
      </c>
      <c r="EA75" s="14" t="s">
        <v>303</v>
      </c>
      <c r="EB75" s="14" t="s">
        <v>287</v>
      </c>
      <c r="EC75" s="13">
        <v>0</v>
      </c>
      <c r="ED75" s="14"/>
      <c r="EE75" s="14"/>
      <c r="EF75" s="14"/>
      <c r="EG75" s="98" t="s">
        <v>298</v>
      </c>
      <c r="EH75" s="97" t="str">
        <f>IF(EG75=EF75,1,"")</f>
        <v/>
      </c>
      <c r="EI75" s="14"/>
      <c r="EJ75" s="13">
        <v>0</v>
      </c>
      <c r="EK75" s="14"/>
      <c r="EL75" s="14"/>
      <c r="EM75" s="14"/>
      <c r="EN75" s="14"/>
      <c r="EO75" s="14"/>
      <c r="EP75" s="13">
        <v>1</v>
      </c>
      <c r="EQ75" s="14" t="s">
        <v>309</v>
      </c>
      <c r="ER75" s="14" t="s">
        <v>310</v>
      </c>
      <c r="ES75" s="14"/>
      <c r="ET75" s="13">
        <v>0</v>
      </c>
      <c r="EU75" s="14"/>
      <c r="EV75" s="14"/>
      <c r="EW75" s="14"/>
      <c r="EX75" s="98"/>
      <c r="EY75" s="97"/>
      <c r="EZ75" s="13">
        <v>0</v>
      </c>
      <c r="FA75" s="14"/>
      <c r="FB75" s="14"/>
      <c r="FC75" s="14"/>
      <c r="FD75" s="13">
        <v>0</v>
      </c>
      <c r="FE75" s="14"/>
      <c r="FF75" s="14"/>
      <c r="FG75" s="13">
        <v>0</v>
      </c>
      <c r="FH75" s="14"/>
      <c r="FI75" s="14"/>
      <c r="FJ75" s="14"/>
      <c r="FK75" s="14"/>
      <c r="FL75" s="14" t="s">
        <v>311</v>
      </c>
      <c r="FM75" s="14" t="s">
        <v>312</v>
      </c>
      <c r="FN75" s="14"/>
      <c r="FO75" s="14"/>
      <c r="FP75" s="13">
        <v>3</v>
      </c>
      <c r="FQ75" s="14" t="s">
        <v>313</v>
      </c>
      <c r="FR75" s="14" t="s">
        <v>314</v>
      </c>
      <c r="FS75" s="14" t="s">
        <v>315</v>
      </c>
      <c r="FT75" s="17"/>
      <c r="FU75" s="14" t="s">
        <v>317</v>
      </c>
      <c r="FV75" s="14"/>
      <c r="FW75" s="14" t="s">
        <v>318</v>
      </c>
      <c r="FX75" s="13">
        <v>-1</v>
      </c>
      <c r="FY75" s="13">
        <v>-1</v>
      </c>
      <c r="FZ75" s="13">
        <v>-1</v>
      </c>
      <c r="GA75" s="13">
        <v>-1</v>
      </c>
      <c r="GB75" s="13">
        <v>-1</v>
      </c>
      <c r="GC75" s="13">
        <v>-1</v>
      </c>
      <c r="GD75" s="13">
        <v>-1</v>
      </c>
      <c r="GE75" s="13">
        <v>-1</v>
      </c>
      <c r="GF75" s="13">
        <v>-1</v>
      </c>
      <c r="GG75" s="13">
        <v>-1</v>
      </c>
      <c r="GH75" s="13">
        <v>-1</v>
      </c>
      <c r="GI75" s="13">
        <v>-1</v>
      </c>
      <c r="GJ75" s="13">
        <v>-1</v>
      </c>
      <c r="GK75" s="13">
        <v>-1</v>
      </c>
      <c r="GL75" s="13">
        <v>-1</v>
      </c>
      <c r="GM75" s="13">
        <v>-15</v>
      </c>
      <c r="GN75" s="15"/>
      <c r="GO75" s="15"/>
      <c r="GP75" s="14" t="s">
        <v>319</v>
      </c>
      <c r="GQ75" s="14" t="s">
        <v>320</v>
      </c>
      <c r="GR75" s="14" t="s">
        <v>277</v>
      </c>
      <c r="GS75" s="13">
        <v>15</v>
      </c>
      <c r="GT75" s="13">
        <v>15</v>
      </c>
      <c r="GU75" s="13">
        <v>39</v>
      </c>
      <c r="GV75" s="13">
        <v>20</v>
      </c>
      <c r="GW75" s="16"/>
    </row>
    <row r="76" spans="1:205" s="50" customFormat="1" x14ac:dyDescent="0.25">
      <c r="A76" s="1"/>
      <c r="B76" s="18"/>
      <c r="C76" s="18"/>
      <c r="D76" s="2"/>
      <c r="E76" s="2"/>
      <c r="F76" s="2"/>
      <c r="G76" s="2"/>
      <c r="H76" s="2"/>
      <c r="I76" s="2"/>
      <c r="J76" s="2"/>
      <c r="K76" s="2"/>
      <c r="L76" s="2"/>
      <c r="M76" s="2"/>
      <c r="N76" s="2"/>
      <c r="O76" s="1"/>
      <c r="P76" s="2"/>
      <c r="Q76" s="2"/>
      <c r="R76" s="2"/>
      <c r="S76" s="2"/>
      <c r="T76" s="2"/>
      <c r="U76" s="2"/>
      <c r="V76" s="2"/>
      <c r="W76" s="2"/>
      <c r="X76" s="2"/>
      <c r="Y76" s="1"/>
      <c r="Z76" s="2"/>
      <c r="AA76" s="2"/>
      <c r="AB76" s="2"/>
      <c r="AC76" s="2"/>
      <c r="AD76" s="1"/>
      <c r="AE76" s="2"/>
      <c r="AF76" s="2"/>
      <c r="AG76" s="2"/>
      <c r="AH76" s="98"/>
      <c r="AI76" s="5">
        <f>COUNTIFS(AG74:AG75, "&lt;&gt;", AH74:AH75, "&lt;&gt;")</f>
        <v>2</v>
      </c>
      <c r="AJ76" s="5">
        <f>COUNTIF(AI74:AI75,1)</f>
        <v>1</v>
      </c>
      <c r="AK76" s="131">
        <f>AJ76/AI76</f>
        <v>0.5</v>
      </c>
      <c r="AL76" s="2"/>
      <c r="AM76" s="2"/>
      <c r="AN76" s="1"/>
      <c r="AO76" s="2"/>
      <c r="AP76" s="2"/>
      <c r="AQ76" s="2"/>
      <c r="AR76" s="1"/>
      <c r="AS76" s="2"/>
      <c r="AT76" s="2"/>
      <c r="AU76" s="2"/>
      <c r="AV76" s="2"/>
      <c r="AW76" s="1"/>
      <c r="AX76" s="2"/>
      <c r="AY76" s="2"/>
      <c r="AZ76" s="2"/>
      <c r="BA76" s="98"/>
      <c r="BB76" s="5">
        <f>COUNTIFS(AZ74:AZ75, "&lt;&gt;", BA74:BA75, "&lt;&gt;")</f>
        <v>1</v>
      </c>
      <c r="BC76" s="5">
        <f>COUNTIF(BB74:BB75,1)</f>
        <v>1</v>
      </c>
      <c r="BD76" s="131">
        <f>BC76/BB76</f>
        <v>1</v>
      </c>
      <c r="BE76" s="2"/>
      <c r="BF76" s="2"/>
      <c r="BG76" s="1"/>
      <c r="BH76" s="2"/>
      <c r="BI76" s="2"/>
      <c r="BJ76" s="2"/>
      <c r="BK76" s="2"/>
      <c r="BL76" s="1"/>
      <c r="BM76" s="2"/>
      <c r="BN76" s="2"/>
      <c r="BO76" s="2"/>
      <c r="BP76" s="2"/>
      <c r="BQ76" s="1"/>
      <c r="BR76" s="2"/>
      <c r="BS76" s="2"/>
      <c r="BT76" s="1"/>
      <c r="BU76" s="2"/>
      <c r="BV76" s="2"/>
      <c r="BW76" s="1"/>
      <c r="BX76" s="2"/>
      <c r="BY76" s="2"/>
      <c r="BZ76" s="2"/>
      <c r="CA76" s="1"/>
      <c r="CB76" s="2"/>
      <c r="CC76" s="2"/>
      <c r="CD76" s="2"/>
      <c r="CE76" s="97"/>
      <c r="CF76" s="5">
        <f>COUNTIFS(CD74:CD75, "&lt;&gt;", CE74:CE75, "&lt;&gt;")</f>
        <v>1</v>
      </c>
      <c r="CG76" s="5">
        <f>COUNTIF(CF74:CF75,1)</f>
        <v>1</v>
      </c>
      <c r="CH76" s="131">
        <f>CG76/CF76</f>
        <v>1</v>
      </c>
      <c r="CI76" s="2"/>
      <c r="CJ76" s="2"/>
      <c r="CK76" s="1"/>
      <c r="CL76" s="2"/>
      <c r="CM76" s="2"/>
      <c r="CN76" s="1"/>
      <c r="CO76" s="2"/>
      <c r="CP76" s="2"/>
      <c r="CQ76" s="2"/>
      <c r="CR76" s="2"/>
      <c r="CS76" s="1"/>
      <c r="CT76" s="2"/>
      <c r="CU76" s="2"/>
      <c r="CV76" s="2"/>
      <c r="CW76" s="98"/>
      <c r="CX76" s="5">
        <f>COUNTIFS(CV74:CV75, "&lt;&gt;", CW74:CW75, "&lt;&gt;")</f>
        <v>0</v>
      </c>
      <c r="CY76" s="5">
        <f>COUNTIF(CX74:CX75,1)</f>
        <v>0</v>
      </c>
      <c r="CZ76" s="131"/>
      <c r="DA76" s="2"/>
      <c r="DB76" s="2"/>
      <c r="DC76" s="1"/>
      <c r="DD76" s="2"/>
      <c r="DE76" s="2"/>
      <c r="DF76" s="1"/>
      <c r="DG76" s="2"/>
      <c r="DH76" s="2"/>
      <c r="DI76" s="2"/>
      <c r="DJ76" s="2"/>
      <c r="DK76" s="1"/>
      <c r="DL76" s="2"/>
      <c r="DM76" s="2"/>
      <c r="DN76" s="2"/>
      <c r="DO76" s="98"/>
      <c r="DP76" s="5">
        <f>COUNTIFS(DN74:DN75, "&lt;&gt;", DO74:DO75, "&lt;&gt;")</f>
        <v>2</v>
      </c>
      <c r="DQ76" s="5">
        <f>COUNTIF(DP74:DP75,1)</f>
        <v>1</v>
      </c>
      <c r="DR76" s="131">
        <f>DQ76/DP76</f>
        <v>0.5</v>
      </c>
      <c r="DS76" s="2"/>
      <c r="DT76" s="2"/>
      <c r="DU76" s="1"/>
      <c r="DV76" s="2"/>
      <c r="DW76" s="2"/>
      <c r="DX76" s="1"/>
      <c r="DY76" s="2"/>
      <c r="DZ76" s="2"/>
      <c r="EA76" s="2"/>
      <c r="EB76" s="2"/>
      <c r="EC76" s="1"/>
      <c r="ED76" s="2"/>
      <c r="EE76" s="2"/>
      <c r="EF76" s="2"/>
      <c r="EG76" s="98"/>
      <c r="EH76" s="5">
        <f>COUNTIFS(EF74:EF75, "&lt;&gt;", EG74:EG75, "&lt;&gt;")</f>
        <v>0</v>
      </c>
      <c r="EI76" s="5">
        <f>COUNTIF(EH74:EH75,1)</f>
        <v>0</v>
      </c>
      <c r="EJ76" s="131"/>
      <c r="EK76" s="2"/>
      <c r="EL76" s="2"/>
      <c r="EM76" s="2"/>
      <c r="EN76" s="2"/>
      <c r="EO76" s="2"/>
      <c r="EP76" s="1"/>
      <c r="EQ76" s="2"/>
      <c r="ER76" s="2"/>
      <c r="ES76" s="2"/>
      <c r="ET76" s="1"/>
      <c r="EU76" s="2"/>
      <c r="EV76" s="2"/>
      <c r="EW76" s="2"/>
      <c r="EX76" s="98"/>
      <c r="EY76" s="5">
        <f>COUNTIFS(EW74:EW75, "&lt;&gt;", EX74:EX75, "&lt;&gt;")</f>
        <v>0</v>
      </c>
      <c r="EZ76" s="5">
        <f>COUNTIF(EY74:EY75,1)</f>
        <v>0</v>
      </c>
      <c r="FA76" s="131"/>
      <c r="FB76" s="2"/>
      <c r="FC76" s="2"/>
      <c r="FD76" s="1"/>
      <c r="FE76" s="2"/>
      <c r="FF76" s="2"/>
      <c r="FG76" s="1"/>
      <c r="FH76" s="2"/>
      <c r="FI76" s="2"/>
      <c r="FJ76" s="2"/>
      <c r="FK76" s="2"/>
      <c r="FL76" s="2"/>
      <c r="FM76" s="2"/>
      <c r="FN76" s="2"/>
      <c r="FO76" s="2"/>
      <c r="FP76" s="1"/>
      <c r="FQ76" s="2"/>
      <c r="FR76" s="2"/>
      <c r="FS76" s="2"/>
      <c r="FT76"/>
      <c r="FU76" s="2"/>
      <c r="FV76" s="2"/>
      <c r="FW76" s="2"/>
      <c r="FX76" s="1"/>
      <c r="FY76" s="1"/>
      <c r="FZ76" s="1"/>
      <c r="GA76" s="1"/>
      <c r="GB76" s="1"/>
      <c r="GC76" s="1"/>
      <c r="GD76" s="1"/>
      <c r="GE76" s="1"/>
      <c r="GF76" s="1"/>
      <c r="GG76" s="1"/>
      <c r="GH76" s="1"/>
      <c r="GI76" s="1"/>
      <c r="GJ76" s="1"/>
      <c r="GK76" s="1"/>
      <c r="GL76" s="1"/>
      <c r="GM76" s="1"/>
      <c r="GN76" s="3"/>
      <c r="GO76" s="3"/>
      <c r="GP76" s="2"/>
      <c r="GQ76" s="2"/>
      <c r="GR76" s="2"/>
      <c r="GS76" s="1"/>
      <c r="GT76" s="1"/>
      <c r="GU76" s="1"/>
      <c r="GV76" s="1"/>
      <c r="GW76" s="4"/>
    </row>
    <row r="77" spans="1:205" s="48" customFormat="1" x14ac:dyDescent="0.25">
      <c r="A77" s="1"/>
      <c r="B77" s="19"/>
      <c r="C77" s="19"/>
      <c r="D77" s="2"/>
      <c r="E77" s="2"/>
      <c r="F77" s="2"/>
      <c r="G77" s="2"/>
      <c r="H77" s="2"/>
      <c r="I77" s="2"/>
      <c r="J77" s="2"/>
      <c r="K77" s="2"/>
      <c r="L77" s="2"/>
      <c r="M77" s="2"/>
      <c r="N77" s="2"/>
      <c r="O77" s="1"/>
      <c r="P77" s="2"/>
      <c r="Q77" s="2"/>
      <c r="R77" s="2"/>
      <c r="S77" s="2"/>
      <c r="T77" s="2"/>
      <c r="U77" s="2"/>
      <c r="V77" s="2"/>
      <c r="W77" s="2"/>
      <c r="X77" s="2"/>
      <c r="Y77" s="1"/>
      <c r="Z77" s="2"/>
      <c r="AA77" s="2"/>
      <c r="AB77" s="2"/>
      <c r="AC77" s="2"/>
      <c r="AD77" s="1"/>
      <c r="AE77" s="2"/>
      <c r="AF77" s="2"/>
      <c r="AG77" s="2"/>
      <c r="AH77" s="97"/>
      <c r="AI77" s="97"/>
      <c r="AJ77" s="40"/>
      <c r="AK77" s="1"/>
      <c r="AL77" s="2"/>
      <c r="AM77" s="2"/>
      <c r="AN77" s="1"/>
      <c r="AO77" s="2"/>
      <c r="AP77" s="2"/>
      <c r="AQ77" s="2"/>
      <c r="AR77" s="1"/>
      <c r="AS77" s="2"/>
      <c r="AT77" s="2"/>
      <c r="AU77" s="2"/>
      <c r="AV77" s="2"/>
      <c r="AW77" s="1"/>
      <c r="AX77" s="2"/>
      <c r="AY77" s="2"/>
      <c r="AZ77" s="2"/>
      <c r="BA77" s="98"/>
      <c r="BB77" s="97">
        <f>COUNTIF(BB45:BB75,1)</f>
        <v>8</v>
      </c>
      <c r="BC77" s="2"/>
      <c r="BD77" s="1"/>
      <c r="BE77" s="2"/>
      <c r="BF77" s="2"/>
      <c r="BG77" s="1"/>
      <c r="BH77" s="2"/>
      <c r="BI77" s="2"/>
      <c r="BJ77" s="2"/>
      <c r="BK77" s="2"/>
      <c r="BL77" s="1"/>
      <c r="BM77" s="2"/>
      <c r="BN77" s="2"/>
      <c r="BO77" s="2"/>
      <c r="BP77" s="2"/>
      <c r="BQ77" s="1"/>
      <c r="BR77" s="2"/>
      <c r="BS77" s="2"/>
      <c r="BT77" s="1"/>
      <c r="BU77" s="2"/>
      <c r="BV77" s="2"/>
      <c r="BW77" s="1"/>
      <c r="BX77" s="2"/>
      <c r="BY77" s="2"/>
      <c r="BZ77" s="2"/>
      <c r="CA77" s="1"/>
      <c r="CB77" s="2"/>
      <c r="CC77" s="2"/>
      <c r="CD77" s="2"/>
      <c r="CE77" s="97"/>
      <c r="CF77" s="97">
        <f>COUNTIF(CF45:CF75,1)</f>
        <v>10</v>
      </c>
      <c r="CG77" s="2"/>
      <c r="CH77" s="1"/>
      <c r="CI77" s="2"/>
      <c r="CJ77" s="2"/>
      <c r="CK77" s="1"/>
      <c r="CL77" s="2"/>
      <c r="CM77" s="2"/>
      <c r="CN77" s="1"/>
      <c r="CO77" s="2"/>
      <c r="CP77" s="2"/>
      <c r="CQ77" s="2"/>
      <c r="CR77" s="2"/>
      <c r="CS77" s="1"/>
      <c r="CT77" s="2"/>
      <c r="CU77" s="2"/>
      <c r="CV77" s="2"/>
      <c r="CW77" s="98"/>
      <c r="CX77" s="97">
        <f>COUNTIF(CX45:CX75,1)</f>
        <v>9</v>
      </c>
      <c r="CY77" s="2"/>
      <c r="CZ77" s="1"/>
      <c r="DA77" s="2"/>
      <c r="DB77" s="2"/>
      <c r="DC77" s="1"/>
      <c r="DD77" s="2"/>
      <c r="DE77" s="2"/>
      <c r="DF77" s="1"/>
      <c r="DG77" s="2"/>
      <c r="DH77" s="2"/>
      <c r="DI77" s="2"/>
      <c r="DJ77" s="2"/>
      <c r="DK77" s="1"/>
      <c r="DL77" s="2"/>
      <c r="DM77" s="2"/>
      <c r="DN77" s="2"/>
      <c r="DO77" s="98"/>
      <c r="DP77" s="97">
        <f>COUNTIF(DP45:DP75,1)</f>
        <v>11</v>
      </c>
      <c r="DQ77" s="2"/>
      <c r="DR77" s="1"/>
      <c r="DS77" s="2"/>
      <c r="DT77" s="2"/>
      <c r="DU77" s="1"/>
      <c r="DV77" s="2"/>
      <c r="DW77" s="2"/>
      <c r="DX77" s="1"/>
      <c r="DY77" s="2"/>
      <c r="DZ77" s="2"/>
      <c r="EA77" s="2"/>
      <c r="EB77" s="2"/>
      <c r="EC77" s="1"/>
      <c r="ED77" s="2"/>
      <c r="EE77" s="2"/>
      <c r="EF77" s="2"/>
      <c r="EG77" s="98"/>
      <c r="EH77" s="97">
        <f>COUNTIF(EH45:EH75,1)</f>
        <v>12</v>
      </c>
      <c r="EI77" s="2"/>
      <c r="EJ77" s="1"/>
      <c r="EK77" s="2"/>
      <c r="EL77" s="2"/>
      <c r="EM77" s="2"/>
      <c r="EN77" s="2"/>
      <c r="EO77" s="2"/>
      <c r="EP77" s="1"/>
      <c r="EQ77" s="2"/>
      <c r="ER77" s="2"/>
      <c r="ES77" s="2"/>
      <c r="ET77" s="1"/>
      <c r="EU77" s="2"/>
      <c r="EV77" s="2"/>
      <c r="EW77" s="2"/>
      <c r="EX77" s="98"/>
      <c r="EY77" s="97"/>
      <c r="EZ77" s="1"/>
      <c r="FA77" s="2"/>
      <c r="FB77" s="2"/>
      <c r="FC77" s="2"/>
      <c r="FD77" s="1"/>
      <c r="FE77" s="2"/>
      <c r="FF77" s="2"/>
      <c r="FG77" s="1"/>
      <c r="FH77" s="2"/>
      <c r="FI77" s="2"/>
      <c r="FJ77" s="2"/>
      <c r="FK77" s="2"/>
      <c r="FL77" s="2"/>
      <c r="FM77" s="2"/>
      <c r="FN77" s="2"/>
      <c r="FO77" s="2"/>
      <c r="FP77" s="1"/>
      <c r="FQ77" s="2"/>
      <c r="FR77" s="2"/>
      <c r="FS77" s="2"/>
      <c r="FT77"/>
      <c r="FU77" s="2"/>
      <c r="FV77" s="2"/>
      <c r="FW77" s="2"/>
      <c r="FX77" s="1"/>
      <c r="FY77" s="1"/>
      <c r="FZ77" s="1"/>
      <c r="GA77" s="1"/>
      <c r="GB77" s="1"/>
      <c r="GC77" s="1"/>
      <c r="GD77" s="1"/>
      <c r="GE77" s="1"/>
      <c r="GF77" s="1"/>
      <c r="GG77" s="1"/>
      <c r="GH77" s="1"/>
      <c r="GI77" s="1"/>
      <c r="GJ77" s="1"/>
      <c r="GK77" s="1"/>
      <c r="GL77" s="1"/>
      <c r="GM77" s="1"/>
      <c r="GN77" s="3"/>
      <c r="GO77" s="3"/>
      <c r="GP77" s="2"/>
      <c r="GQ77" s="2"/>
      <c r="GR77" s="2"/>
      <c r="GS77" s="1"/>
      <c r="GT77" s="1"/>
      <c r="GU77" s="1"/>
      <c r="GV77" s="1"/>
      <c r="GW77" s="4"/>
    </row>
    <row r="78" spans="1:205" s="40" customFormat="1" x14ac:dyDescent="0.25">
      <c r="A78" s="1"/>
      <c r="B78" s="19"/>
      <c r="C78" s="19"/>
      <c r="D78" s="2"/>
      <c r="E78" s="2"/>
      <c r="F78" s="2"/>
      <c r="G78" s="2"/>
      <c r="H78" s="2"/>
      <c r="I78" s="2"/>
      <c r="J78" s="2"/>
      <c r="K78" s="2"/>
      <c r="L78" s="2"/>
      <c r="M78" s="2"/>
      <c r="N78" s="2"/>
      <c r="O78" s="1"/>
      <c r="P78" s="2"/>
      <c r="Q78" s="2"/>
      <c r="R78" s="2"/>
      <c r="S78" s="2"/>
      <c r="T78" s="2"/>
      <c r="U78" s="2"/>
      <c r="V78" s="2"/>
      <c r="W78" s="2"/>
      <c r="X78" s="2"/>
      <c r="Y78" s="1"/>
      <c r="Z78" s="2"/>
      <c r="AA78" s="2"/>
      <c r="AB78" s="2"/>
      <c r="AC78" s="2"/>
      <c r="AD78" s="1"/>
      <c r="AE78" s="2"/>
      <c r="AF78" s="2"/>
      <c r="AG78" s="2"/>
      <c r="AH78" s="98"/>
      <c r="AI78" s="97"/>
      <c r="AJ78" s="39"/>
      <c r="AK78" s="1"/>
      <c r="AL78" s="2"/>
      <c r="AM78" s="2"/>
      <c r="AN78" s="1"/>
      <c r="AO78" s="2"/>
      <c r="AP78" s="2"/>
      <c r="AQ78" s="2"/>
      <c r="AR78" s="1"/>
      <c r="AS78" s="2"/>
      <c r="AT78" s="2"/>
      <c r="AU78" s="2"/>
      <c r="AV78" s="2"/>
      <c r="AW78" s="1"/>
      <c r="AX78" s="2"/>
      <c r="AY78" s="2"/>
      <c r="AZ78" s="2"/>
      <c r="BA78" s="98"/>
      <c r="BB78" s="97"/>
      <c r="BC78" s="2"/>
      <c r="BD78" s="1"/>
      <c r="BE78" s="2"/>
      <c r="BF78" s="2"/>
      <c r="BG78" s="1"/>
      <c r="BH78" s="2"/>
      <c r="BI78" s="2"/>
      <c r="BJ78" s="2"/>
      <c r="BK78" s="2"/>
      <c r="BL78" s="1"/>
      <c r="BM78" s="2"/>
      <c r="BN78" s="2"/>
      <c r="BO78" s="2"/>
      <c r="BP78" s="2"/>
      <c r="BQ78" s="1"/>
      <c r="BR78" s="2"/>
      <c r="BS78" s="2"/>
      <c r="BT78" s="1"/>
      <c r="BU78" s="2"/>
      <c r="BV78" s="2"/>
      <c r="BW78" s="1"/>
      <c r="BX78" s="2"/>
      <c r="BY78" s="2"/>
      <c r="BZ78" s="2"/>
      <c r="CA78" s="1"/>
      <c r="CB78" s="2"/>
      <c r="CC78" s="2"/>
      <c r="CD78" s="2"/>
      <c r="CE78" s="97"/>
      <c r="CF78" s="97"/>
      <c r="CG78" s="2"/>
      <c r="CH78" s="1"/>
      <c r="CI78" s="2"/>
      <c r="CJ78" s="2"/>
      <c r="CK78" s="1"/>
      <c r="CL78" s="2"/>
      <c r="CM78" s="2"/>
      <c r="CN78" s="1"/>
      <c r="CO78" s="2"/>
      <c r="CP78" s="2"/>
      <c r="CQ78" s="2"/>
      <c r="CR78" s="2"/>
      <c r="CS78" s="1"/>
      <c r="CT78" s="2"/>
      <c r="CU78" s="2"/>
      <c r="CV78" s="2"/>
      <c r="CW78" s="98"/>
      <c r="CX78" s="97"/>
      <c r="CY78" s="2"/>
      <c r="CZ78" s="1"/>
      <c r="DA78" s="2"/>
      <c r="DB78" s="2"/>
      <c r="DC78" s="1"/>
      <c r="DD78" s="2"/>
      <c r="DE78" s="2"/>
      <c r="DF78" s="1"/>
      <c r="DG78" s="2"/>
      <c r="DH78" s="2"/>
      <c r="DI78" s="2"/>
      <c r="DJ78" s="2"/>
      <c r="DK78" s="1"/>
      <c r="DL78" s="2"/>
      <c r="DM78" s="2"/>
      <c r="DN78" s="2"/>
      <c r="DO78" s="98"/>
      <c r="DP78" s="97"/>
      <c r="DQ78" s="2"/>
      <c r="DR78" s="1"/>
      <c r="DS78" s="2"/>
      <c r="DT78" s="2"/>
      <c r="DU78" s="1"/>
      <c r="DV78" s="2"/>
      <c r="DW78" s="2"/>
      <c r="DX78" s="1"/>
      <c r="DY78" s="2"/>
      <c r="DZ78" s="2"/>
      <c r="EA78" s="2"/>
      <c r="EB78" s="2"/>
      <c r="EC78" s="1"/>
      <c r="ED78" s="2"/>
      <c r="EE78" s="2"/>
      <c r="EF78" s="2"/>
      <c r="EG78" s="98"/>
      <c r="EH78" s="97"/>
      <c r="EI78" s="2"/>
      <c r="EJ78" s="1"/>
      <c r="EK78" s="2"/>
      <c r="EL78" s="2"/>
      <c r="EM78" s="2"/>
      <c r="EN78" s="2"/>
      <c r="EO78" s="2"/>
      <c r="EP78" s="1"/>
      <c r="EQ78" s="2"/>
      <c r="ER78" s="2"/>
      <c r="ES78" s="2"/>
      <c r="ET78" s="1"/>
      <c r="EU78" s="2"/>
      <c r="EV78" s="2"/>
      <c r="EW78" s="2"/>
      <c r="EX78" s="98"/>
      <c r="EY78" s="97"/>
      <c r="EZ78" s="1"/>
      <c r="FA78" s="2"/>
      <c r="FB78" s="2"/>
      <c r="FC78" s="2"/>
      <c r="FD78" s="1"/>
      <c r="FE78" s="2"/>
      <c r="FF78" s="2"/>
      <c r="FG78" s="1"/>
      <c r="FH78" s="2"/>
      <c r="FI78" s="2"/>
      <c r="FJ78" s="2"/>
      <c r="FK78" s="2"/>
      <c r="FL78" s="2"/>
      <c r="FM78" s="2"/>
      <c r="FN78" s="2"/>
      <c r="FO78" s="2"/>
      <c r="FP78" s="1"/>
      <c r="FQ78" s="2"/>
      <c r="FR78" s="2"/>
      <c r="FS78" s="2"/>
      <c r="FT78"/>
      <c r="FU78" s="2"/>
      <c r="FV78" s="2"/>
      <c r="FW78" s="2"/>
      <c r="FX78" s="1"/>
      <c r="FY78" s="1"/>
      <c r="FZ78" s="1"/>
      <c r="GA78" s="1"/>
      <c r="GB78" s="1"/>
      <c r="GC78" s="1"/>
      <c r="GD78" s="1"/>
      <c r="GE78" s="1"/>
      <c r="GF78" s="1"/>
      <c r="GG78" s="1"/>
      <c r="GH78" s="1"/>
      <c r="GI78" s="1"/>
      <c r="GJ78" s="1"/>
      <c r="GK78" s="1"/>
      <c r="GL78" s="1"/>
      <c r="GM78" s="1"/>
      <c r="GN78" s="3"/>
      <c r="GO78" s="3"/>
      <c r="GP78" s="2"/>
      <c r="GQ78" s="2"/>
      <c r="GR78" s="2"/>
      <c r="GS78" s="1"/>
      <c r="GT78" s="1"/>
      <c r="GU78" s="1"/>
      <c r="GV78" s="1"/>
      <c r="GW78" s="4"/>
    </row>
    <row r="79" spans="1:205" s="49" customFormat="1" x14ac:dyDescent="0.25">
      <c r="A79" s="38"/>
      <c r="B79" s="39"/>
      <c r="C79" s="39"/>
      <c r="D79" s="39"/>
      <c r="E79" s="39"/>
      <c r="F79" s="39"/>
      <c r="G79" s="39"/>
      <c r="H79" s="39"/>
      <c r="I79" s="39"/>
      <c r="J79" s="39"/>
      <c r="K79" s="39"/>
      <c r="L79" s="39"/>
      <c r="M79" s="39"/>
      <c r="N79" s="39"/>
      <c r="O79" s="38"/>
      <c r="P79" s="39"/>
      <c r="Q79" s="39"/>
      <c r="R79" s="39"/>
      <c r="S79" s="39"/>
      <c r="T79" s="39"/>
      <c r="U79" s="39"/>
      <c r="V79" s="39"/>
      <c r="W79" s="40"/>
      <c r="X79" s="39"/>
      <c r="Y79" s="38"/>
      <c r="Z79" s="39"/>
      <c r="AA79" s="39"/>
      <c r="AB79" s="39"/>
      <c r="AC79" s="39"/>
      <c r="AD79" s="38"/>
      <c r="AE79" s="39"/>
      <c r="AF79" s="39"/>
      <c r="AG79" s="39"/>
      <c r="AH79" s="98"/>
      <c r="AI79" s="97"/>
      <c r="AJ79" s="101"/>
      <c r="AK79" s="38"/>
      <c r="AL79" s="39"/>
      <c r="AM79" s="39"/>
      <c r="AN79" s="38"/>
      <c r="AO79" s="39"/>
      <c r="AP79" s="39"/>
      <c r="AQ79" s="39"/>
      <c r="AR79" s="38"/>
      <c r="AS79" s="39"/>
      <c r="AT79" s="39"/>
      <c r="AU79" s="39"/>
      <c r="AV79" s="39"/>
      <c r="AW79" s="38"/>
      <c r="AX79" s="39"/>
      <c r="AY79" s="39"/>
      <c r="AZ79" s="39"/>
      <c r="BA79" s="98"/>
      <c r="BB79" s="97"/>
      <c r="BC79" s="39"/>
      <c r="BD79" s="38"/>
      <c r="BE79" s="39"/>
      <c r="BF79" s="39"/>
      <c r="BG79" s="38"/>
      <c r="BH79" s="39"/>
      <c r="BI79" s="39"/>
      <c r="BJ79" s="39"/>
      <c r="BK79" s="39"/>
      <c r="BL79" s="38"/>
      <c r="BM79" s="39"/>
      <c r="BN79" s="39"/>
      <c r="BO79" s="39"/>
      <c r="BP79" s="39"/>
      <c r="BQ79" s="38"/>
      <c r="BR79" s="39"/>
      <c r="BS79" s="39"/>
      <c r="BT79" s="38"/>
      <c r="BU79" s="39"/>
      <c r="BV79" s="39"/>
      <c r="BW79" s="38"/>
      <c r="BX79" s="39"/>
      <c r="BY79" s="39"/>
      <c r="BZ79" s="39"/>
      <c r="CA79" s="38"/>
      <c r="CB79" s="39"/>
      <c r="CC79" s="39"/>
      <c r="CD79" s="39"/>
      <c r="CE79" s="97"/>
      <c r="CF79" s="97"/>
      <c r="CG79" s="39"/>
      <c r="CH79" s="38"/>
      <c r="CI79" s="39"/>
      <c r="CJ79" s="39"/>
      <c r="CK79" s="38"/>
      <c r="CL79" s="39"/>
      <c r="CM79" s="39"/>
      <c r="CN79" s="38"/>
      <c r="CO79" s="39"/>
      <c r="CP79" s="39"/>
      <c r="CQ79" s="39"/>
      <c r="CR79" s="39"/>
      <c r="CS79" s="38"/>
      <c r="CT79" s="39"/>
      <c r="CU79" s="39"/>
      <c r="CV79" s="39"/>
      <c r="CW79" s="98"/>
      <c r="CX79" s="97"/>
      <c r="CY79" s="39"/>
      <c r="CZ79" s="38"/>
      <c r="DA79" s="39"/>
      <c r="DB79" s="39"/>
      <c r="DC79" s="38"/>
      <c r="DD79" s="39"/>
      <c r="DE79" s="39"/>
      <c r="DF79" s="38"/>
      <c r="DG79" s="39"/>
      <c r="DH79" s="39"/>
      <c r="DI79" s="39"/>
      <c r="DJ79" s="39"/>
      <c r="DK79" s="38"/>
      <c r="DL79" s="39"/>
      <c r="DM79" s="39"/>
      <c r="DN79" s="39"/>
      <c r="DO79" s="98"/>
      <c r="DP79" s="97"/>
      <c r="DQ79" s="39"/>
      <c r="DR79" s="38"/>
      <c r="DS79" s="39"/>
      <c r="DT79" s="39"/>
      <c r="DU79" s="38"/>
      <c r="DV79" s="39"/>
      <c r="DW79" s="39"/>
      <c r="DX79" s="38"/>
      <c r="DY79" s="39"/>
      <c r="DZ79" s="39"/>
      <c r="EA79" s="39"/>
      <c r="EB79" s="39"/>
      <c r="EC79" s="38"/>
      <c r="ED79" s="39"/>
      <c r="EE79" s="39"/>
      <c r="EF79" s="39"/>
      <c r="EG79" s="98"/>
      <c r="EH79" s="97"/>
      <c r="EI79" s="39"/>
      <c r="EJ79" s="38"/>
      <c r="EK79" s="39"/>
      <c r="EL79" s="39"/>
      <c r="EM79" s="39"/>
      <c r="EN79" s="39"/>
      <c r="EO79" s="39"/>
      <c r="EP79" s="38"/>
      <c r="EQ79" s="39"/>
      <c r="ER79" s="39"/>
      <c r="ES79" s="39"/>
      <c r="ET79" s="38"/>
      <c r="EU79" s="39"/>
      <c r="EV79" s="39"/>
      <c r="EW79" s="39"/>
      <c r="EX79" s="98"/>
      <c r="EY79" s="97"/>
      <c r="EZ79" s="38"/>
      <c r="FA79" s="39"/>
      <c r="FB79" s="39"/>
      <c r="FC79" s="39"/>
      <c r="FD79" s="38"/>
      <c r="FE79" s="39"/>
      <c r="FF79" s="39"/>
      <c r="FG79" s="38"/>
      <c r="FH79" s="39"/>
      <c r="FI79" s="39"/>
      <c r="FJ79" s="39"/>
      <c r="FK79" s="39"/>
      <c r="FL79" s="39"/>
      <c r="FM79" s="39"/>
      <c r="FN79" s="39"/>
      <c r="FO79" s="39"/>
      <c r="FP79" s="38"/>
      <c r="FQ79" s="39"/>
      <c r="FR79" s="39"/>
      <c r="FS79" s="39"/>
      <c r="FT79" s="40"/>
      <c r="FU79" s="39"/>
      <c r="FV79" s="39"/>
      <c r="FW79" s="39"/>
      <c r="FX79" s="38"/>
      <c r="FY79" s="38"/>
      <c r="FZ79" s="38"/>
      <c r="GA79" s="38"/>
      <c r="GB79" s="38"/>
      <c r="GC79" s="38"/>
      <c r="GD79" s="38"/>
      <c r="GE79" s="38"/>
      <c r="GF79" s="38"/>
      <c r="GG79" s="38"/>
      <c r="GH79" s="38"/>
      <c r="GI79" s="38"/>
      <c r="GJ79" s="38"/>
      <c r="GK79" s="38"/>
      <c r="GL79" s="38"/>
      <c r="GM79" s="38"/>
      <c r="GN79" s="41"/>
      <c r="GO79" s="41"/>
      <c r="GP79" s="39"/>
      <c r="GQ79" s="39"/>
      <c r="GR79" s="39"/>
      <c r="GS79" s="38"/>
      <c r="GT79" s="38"/>
      <c r="GU79" s="38"/>
      <c r="GV79" s="38"/>
      <c r="GW79" s="42"/>
    </row>
    <row r="80" spans="1:205" s="50" customFormat="1" x14ac:dyDescent="0.25">
      <c r="A80" s="38"/>
      <c r="B80" s="39"/>
      <c r="C80" s="39"/>
      <c r="D80" s="39"/>
      <c r="E80" s="39"/>
      <c r="F80" s="39"/>
      <c r="G80" s="39"/>
      <c r="H80" s="39"/>
      <c r="I80" s="39"/>
      <c r="J80" s="39"/>
      <c r="K80" s="39"/>
      <c r="L80" s="39"/>
      <c r="M80" s="39"/>
      <c r="N80" s="39"/>
      <c r="O80" s="38"/>
      <c r="P80" s="39"/>
      <c r="Q80" s="39"/>
      <c r="R80" s="39"/>
      <c r="S80" s="39"/>
      <c r="T80" s="39"/>
      <c r="U80" s="39"/>
      <c r="V80" s="39"/>
      <c r="W80" s="40"/>
      <c r="X80" s="39"/>
      <c r="Y80" s="38"/>
      <c r="Z80" s="39"/>
      <c r="AA80" s="39"/>
      <c r="AB80" s="39"/>
      <c r="AC80" s="39"/>
      <c r="AD80" s="38"/>
      <c r="AE80" s="39"/>
      <c r="AF80" s="39"/>
      <c r="AG80" s="97"/>
      <c r="AH80"/>
      <c r="AI80" s="97"/>
      <c r="AJ80"/>
      <c r="AK80" s="38"/>
      <c r="AL80" s="39"/>
      <c r="AM80" s="39"/>
      <c r="AN80" s="38"/>
      <c r="AO80" s="39"/>
      <c r="AP80" s="39"/>
      <c r="AQ80" s="39"/>
      <c r="AR80" s="38"/>
      <c r="AS80" s="39"/>
      <c r="AT80" s="39"/>
      <c r="AU80" s="39"/>
      <c r="AV80" s="39"/>
      <c r="AW80" s="38"/>
      <c r="AX80" s="39"/>
      <c r="AY80" s="39"/>
      <c r="AZ80" s="97"/>
      <c r="BA80" s="98"/>
      <c r="BB80" s="97"/>
      <c r="BC80" s="101"/>
      <c r="BD80" s="38"/>
      <c r="BE80" s="39"/>
      <c r="BF80" s="39"/>
      <c r="BG80" s="38"/>
      <c r="BH80" s="39"/>
      <c r="BI80" s="39"/>
      <c r="BJ80" s="39"/>
      <c r="BK80" s="39"/>
      <c r="BL80" s="38"/>
      <c r="BM80" s="39"/>
      <c r="BN80" s="39"/>
      <c r="BO80" s="39"/>
      <c r="BP80" s="39"/>
      <c r="BQ80" s="38"/>
      <c r="BR80" s="39"/>
      <c r="BS80" s="39"/>
      <c r="BT80" s="38"/>
      <c r="BU80" s="39"/>
      <c r="BV80" s="39"/>
      <c r="BW80" s="38"/>
      <c r="BX80" s="39"/>
      <c r="BY80" s="39"/>
      <c r="BZ80" s="39"/>
      <c r="CA80" s="38"/>
      <c r="CB80" s="39"/>
      <c r="CC80" s="39"/>
      <c r="CD80" s="97"/>
      <c r="CE80" s="98"/>
      <c r="CF80" s="97"/>
      <c r="CG80" s="101"/>
      <c r="CH80" s="38"/>
      <c r="CI80" s="39"/>
      <c r="CJ80" s="39"/>
      <c r="CK80" s="38"/>
      <c r="CL80" s="39"/>
      <c r="CM80" s="39"/>
      <c r="CN80" s="38"/>
      <c r="CO80" s="39"/>
      <c r="CP80" s="39"/>
      <c r="CQ80" s="39"/>
      <c r="CR80" s="39"/>
      <c r="CS80" s="38"/>
      <c r="CT80" s="39"/>
      <c r="CU80" s="39"/>
      <c r="CV80" s="97"/>
      <c r="CW80" s="98"/>
      <c r="CX80" s="97"/>
      <c r="CY80" s="101"/>
      <c r="CZ80" s="38"/>
      <c r="DA80" s="39"/>
      <c r="DB80" s="39"/>
      <c r="DC80" s="38"/>
      <c r="DD80" s="39"/>
      <c r="DE80" s="39"/>
      <c r="DF80" s="38"/>
      <c r="DG80" s="39"/>
      <c r="DH80" s="39"/>
      <c r="DI80" s="39"/>
      <c r="DJ80" s="39"/>
      <c r="DK80" s="38"/>
      <c r="DL80" s="39"/>
      <c r="DM80" s="39"/>
      <c r="DN80" s="97"/>
      <c r="DO80" s="98"/>
      <c r="DP80" s="97"/>
      <c r="DQ80" s="101"/>
      <c r="DR80" s="38"/>
      <c r="DS80" s="39"/>
      <c r="DT80" s="39"/>
      <c r="DU80" s="38"/>
      <c r="DV80" s="39"/>
      <c r="DW80" s="39"/>
      <c r="DX80" s="38"/>
      <c r="DY80" s="39"/>
      <c r="DZ80" s="39"/>
      <c r="EA80" s="39"/>
      <c r="EB80" s="39"/>
      <c r="EC80" s="38"/>
      <c r="ED80" s="39"/>
      <c r="EE80" s="39"/>
      <c r="EF80" s="97"/>
      <c r="EG80" s="98"/>
      <c r="EH80" s="97"/>
      <c r="EI80" s="101"/>
      <c r="EJ80" s="38"/>
      <c r="EK80" s="39"/>
      <c r="EL80" s="39"/>
      <c r="EM80" s="39"/>
      <c r="EN80" s="39"/>
      <c r="EO80" s="39"/>
      <c r="EP80" s="38"/>
      <c r="EQ80" s="39"/>
      <c r="ER80" s="39"/>
      <c r="ES80" s="39"/>
      <c r="ET80" s="38"/>
      <c r="EU80" s="39"/>
      <c r="EV80" s="39"/>
      <c r="EW80" s="97"/>
      <c r="EX80" s="98"/>
      <c r="EY80" s="97"/>
      <c r="EZ80" s="101"/>
      <c r="FA80" s="39"/>
      <c r="FB80" s="39"/>
      <c r="FC80" s="39"/>
      <c r="FD80" s="38"/>
      <c r="FE80" s="39"/>
      <c r="FF80" s="39"/>
      <c r="FG80" s="38"/>
      <c r="FH80" s="39"/>
      <c r="FI80" s="39"/>
      <c r="FJ80" s="39"/>
      <c r="FK80" s="39"/>
      <c r="FL80" s="39"/>
      <c r="FM80" s="39"/>
      <c r="FN80" s="39"/>
      <c r="FO80" s="39"/>
      <c r="FP80" s="38"/>
      <c r="FQ80" s="39"/>
      <c r="FR80" s="39"/>
      <c r="FS80" s="39"/>
      <c r="FT80" s="40"/>
      <c r="FU80" s="39"/>
      <c r="FV80" s="39"/>
      <c r="FW80" s="39"/>
      <c r="FX80" s="38"/>
      <c r="FY80" s="38"/>
      <c r="FZ80" s="38"/>
      <c r="GA80" s="38"/>
      <c r="GB80" s="38"/>
      <c r="GC80" s="38"/>
      <c r="GD80" s="38"/>
      <c r="GE80" s="38"/>
      <c r="GF80" s="38"/>
      <c r="GG80" s="38"/>
      <c r="GH80" s="38"/>
      <c r="GI80" s="38"/>
      <c r="GJ80" s="38"/>
      <c r="GK80" s="38"/>
      <c r="GL80" s="38"/>
      <c r="GM80" s="38"/>
      <c r="GN80" s="41"/>
      <c r="GO80" s="41"/>
      <c r="GP80" s="39"/>
      <c r="GQ80" s="39"/>
      <c r="GR80" s="39"/>
      <c r="GS80" s="38"/>
      <c r="GT80" s="38"/>
      <c r="GU80" s="38"/>
      <c r="GV80" s="38"/>
      <c r="GW80" s="42"/>
    </row>
    <row r="81" spans="2:162" customFormat="1" x14ac:dyDescent="0.25">
      <c r="AH81" s="97"/>
      <c r="AI81" s="97"/>
      <c r="BB81" s="97"/>
      <c r="CF81" s="97"/>
      <c r="CX81" s="97"/>
      <c r="DH81" t="s">
        <v>848</v>
      </c>
      <c r="DP81" s="97"/>
      <c r="EH81" s="97"/>
      <c r="EY81" s="97"/>
    </row>
    <row r="82" spans="2:162" customFormat="1" x14ac:dyDescent="0.25">
      <c r="AH82" s="97"/>
      <c r="AI82" s="98"/>
      <c r="AJ82" s="101"/>
      <c r="BA82" s="97"/>
      <c r="BB82" s="97"/>
      <c r="CE82" s="97"/>
      <c r="CF82" s="97"/>
      <c r="CW82" s="97"/>
      <c r="CX82" s="97"/>
      <c r="DF82" t="s">
        <v>374</v>
      </c>
      <c r="DG82">
        <f>COUNTA(DG2:DG31,DG61:DG79)</f>
        <v>23</v>
      </c>
      <c r="DH82">
        <v>12</v>
      </c>
      <c r="DO82" s="97"/>
      <c r="DP82" s="97"/>
      <c r="EG82" s="97"/>
      <c r="EH82" s="97"/>
      <c r="EX82" s="97"/>
      <c r="EY82" s="97"/>
    </row>
    <row r="83" spans="2:162" customFormat="1" x14ac:dyDescent="0.25">
      <c r="AH83" s="97"/>
      <c r="AI83" s="97"/>
      <c r="BA83" s="97"/>
      <c r="BB83" s="98"/>
      <c r="BC83" s="101"/>
      <c r="CE83" s="97"/>
      <c r="CF83" s="98"/>
      <c r="CG83" s="101"/>
      <c r="CW83" s="97"/>
      <c r="CX83" s="98"/>
      <c r="CY83" s="101"/>
      <c r="DF83" t="s">
        <v>847</v>
      </c>
      <c r="DG83">
        <f>COUNTA(DG34:DG60)</f>
        <v>11</v>
      </c>
      <c r="DH83">
        <v>3</v>
      </c>
      <c r="DO83" s="97"/>
      <c r="DP83" s="98"/>
      <c r="DQ83" s="101"/>
      <c r="EG83" s="97"/>
      <c r="EH83" s="98"/>
      <c r="EI83" s="101"/>
      <c r="EX83" s="97"/>
      <c r="EY83" s="98"/>
      <c r="EZ83" s="101"/>
    </row>
    <row r="84" spans="2:162" s="6" customFormat="1" x14ac:dyDescent="0.25"/>
    <row r="85" spans="2:162" customFormat="1" x14ac:dyDescent="0.25">
      <c r="AH85" t="s">
        <v>838</v>
      </c>
    </row>
    <row r="86" spans="2:162" customFormat="1" ht="13.8" x14ac:dyDescent="0.25">
      <c r="AH86" t="s">
        <v>839</v>
      </c>
      <c r="AQ86" s="31"/>
      <c r="BI86" s="31"/>
      <c r="BV86" s="31"/>
      <c r="DE86" s="31"/>
      <c r="EO86" s="31"/>
      <c r="FF86" s="31"/>
    </row>
    <row r="87" spans="2:162" customFormat="1" x14ac:dyDescent="0.25">
      <c r="B87" t="s">
        <v>876</v>
      </c>
      <c r="H87" t="s">
        <v>889</v>
      </c>
      <c r="M87" s="56"/>
      <c r="N87" t="s">
        <v>888</v>
      </c>
      <c r="EY87" s="97"/>
    </row>
    <row r="88" spans="2:162" customFormat="1" x14ac:dyDescent="0.25">
      <c r="B88" s="30"/>
      <c r="C88" t="s">
        <v>877</v>
      </c>
      <c r="H88" s="48"/>
      <c r="I88" t="s">
        <v>781</v>
      </c>
      <c r="EY88" s="97"/>
    </row>
    <row r="89" spans="2:162" customFormat="1" x14ac:dyDescent="0.25">
      <c r="B89" s="22"/>
      <c r="C89" t="s">
        <v>854</v>
      </c>
      <c r="H89" s="50"/>
      <c r="I89" t="s">
        <v>782</v>
      </c>
      <c r="M89" s="98"/>
      <c r="N89" t="s">
        <v>915</v>
      </c>
      <c r="EY89" s="97"/>
    </row>
    <row r="90" spans="2:162" customFormat="1" x14ac:dyDescent="0.25">
      <c r="B90" s="23"/>
      <c r="C90" t="s">
        <v>878</v>
      </c>
      <c r="H90" s="49"/>
      <c r="I90" t="s">
        <v>783</v>
      </c>
      <c r="EY90" s="97"/>
    </row>
    <row r="91" spans="2:162" customFormat="1" x14ac:dyDescent="0.25">
      <c r="B91" s="24"/>
      <c r="C91" t="s">
        <v>879</v>
      </c>
      <c r="H91" s="40"/>
      <c r="I91" t="s">
        <v>779</v>
      </c>
      <c r="EY91" s="97"/>
    </row>
    <row r="92" spans="2:162" customFormat="1" x14ac:dyDescent="0.25">
      <c r="B92" s="25"/>
      <c r="C92" t="s">
        <v>437</v>
      </c>
      <c r="H92" s="10"/>
      <c r="I92" t="s">
        <v>780</v>
      </c>
      <c r="EY92" s="97"/>
    </row>
    <row r="93" spans="2:162" customFormat="1" x14ac:dyDescent="0.25">
      <c r="B93" s="5"/>
      <c r="C93" t="s">
        <v>350</v>
      </c>
      <c r="H93" t="s">
        <v>890</v>
      </c>
      <c r="EY93" s="97"/>
    </row>
    <row r="94" spans="2:162" customFormat="1" x14ac:dyDescent="0.25">
      <c r="B94" s="26"/>
      <c r="C94" t="s">
        <v>393</v>
      </c>
      <c r="H94" t="s">
        <v>882</v>
      </c>
      <c r="EY94" s="97"/>
    </row>
    <row r="95" spans="2:162" customFormat="1" x14ac:dyDescent="0.25">
      <c r="B95" s="27"/>
      <c r="C95" t="s">
        <v>880</v>
      </c>
    </row>
    <row r="96" spans="2:162" customFormat="1" x14ac:dyDescent="0.25">
      <c r="B96" s="28"/>
      <c r="C96" t="s">
        <v>881</v>
      </c>
      <c r="EH96" s="97"/>
    </row>
    <row r="97" spans="2:138" customFormat="1" x14ac:dyDescent="0.25">
      <c r="B97" s="29"/>
      <c r="C97" t="s">
        <v>877</v>
      </c>
      <c r="EH97" s="97"/>
    </row>
    <row r="98" spans="2:138" customFormat="1" x14ac:dyDescent="0.25">
      <c r="EH98" s="97"/>
    </row>
    <row r="99" spans="2:138" customFormat="1" x14ac:dyDescent="0.25">
      <c r="EH99" s="97"/>
    </row>
    <row r="100" spans="2:138" customFormat="1" x14ac:dyDescent="0.25">
      <c r="EH100" s="97"/>
    </row>
    <row r="101" spans="2:138" customFormat="1" x14ac:dyDescent="0.25">
      <c r="EH101" s="97"/>
    </row>
    <row r="102" spans="2:138" customFormat="1" x14ac:dyDescent="0.25">
      <c r="EH102" s="97"/>
    </row>
    <row r="103" spans="2:138" customFormat="1" x14ac:dyDescent="0.25">
      <c r="EH103" s="97"/>
    </row>
    <row r="104" spans="2:138" customFormat="1" x14ac:dyDescent="0.25"/>
    <row r="105" spans="2:138" customFormat="1" ht="28.2" x14ac:dyDescent="0.5">
      <c r="B105" s="8" t="s">
        <v>875</v>
      </c>
      <c r="C105" s="8"/>
      <c r="P105" s="8"/>
      <c r="Q105" s="107" t="s">
        <v>911</v>
      </c>
      <c r="Z105" s="107" t="s">
        <v>912</v>
      </c>
      <c r="AO105" s="107" t="s">
        <v>918</v>
      </c>
      <c r="AZ105" s="107"/>
    </row>
    <row r="106" spans="2:138" customFormat="1" x14ac:dyDescent="0.25"/>
    <row r="107" spans="2:138" customFormat="1" x14ac:dyDescent="0.25">
      <c r="B107" s="134" t="s">
        <v>751</v>
      </c>
      <c r="C107" s="134"/>
      <c r="D107" s="134"/>
      <c r="F107" s="134" t="s">
        <v>192</v>
      </c>
      <c r="G107" s="134"/>
      <c r="I107" s="134" t="s">
        <v>753</v>
      </c>
      <c r="J107" s="134"/>
      <c r="Q107" s="6" t="s">
        <v>817</v>
      </c>
      <c r="R107" s="6"/>
      <c r="S107" s="6"/>
      <c r="T107" s="6"/>
      <c r="U107" s="6"/>
      <c r="V107" s="6"/>
      <c r="W107" s="6"/>
      <c r="Z107" s="134" t="s">
        <v>916</v>
      </c>
      <c r="AA107" s="134"/>
      <c r="AB107" s="134"/>
      <c r="AC107" s="134"/>
      <c r="AD107" s="134"/>
    </row>
    <row r="108" spans="2:138" customFormat="1" x14ac:dyDescent="0.25">
      <c r="B108" t="s">
        <v>278</v>
      </c>
      <c r="D108">
        <f>COUNTIF(B2:B79,B108)</f>
        <v>2</v>
      </c>
      <c r="F108" t="s">
        <v>279</v>
      </c>
      <c r="G108">
        <f>COUNTIF(D2:D79,F108)</f>
        <v>26</v>
      </c>
      <c r="I108" s="2" t="s">
        <v>283</v>
      </c>
      <c r="J108">
        <f>COUNTIF(R2:R79,I108)</f>
        <v>17</v>
      </c>
      <c r="Q108" s="5" t="s">
        <v>849</v>
      </c>
      <c r="Z108" t="s">
        <v>818</v>
      </c>
    </row>
    <row r="109" spans="2:138" customFormat="1" x14ac:dyDescent="0.25">
      <c r="B109" t="s">
        <v>321</v>
      </c>
      <c r="D109">
        <f>COUNTIF(B2:B79,B109)</f>
        <v>20</v>
      </c>
      <c r="F109" s="2" t="s">
        <v>353</v>
      </c>
      <c r="G109">
        <f>COUNTIF(D2:D79,F109)</f>
        <v>41</v>
      </c>
      <c r="I109" s="2" t="s">
        <v>337</v>
      </c>
      <c r="J109">
        <f>COUNTIF(R2:R79,I109)</f>
        <v>12</v>
      </c>
      <c r="Q109" s="6" t="s">
        <v>790</v>
      </c>
      <c r="R109" s="6" t="s">
        <v>791</v>
      </c>
      <c r="T109" s="6" t="s">
        <v>793</v>
      </c>
      <c r="U109" s="6" t="s">
        <v>792</v>
      </c>
      <c r="W109" s="6" t="s">
        <v>795</v>
      </c>
      <c r="Z109" s="135" t="s">
        <v>798</v>
      </c>
      <c r="AA109" s="135"/>
    </row>
    <row r="110" spans="2:138" customFormat="1" x14ac:dyDescent="0.25">
      <c r="B110" t="s">
        <v>421</v>
      </c>
      <c r="D110">
        <f>COUNTIF(B3:B80,B110)</f>
        <v>13</v>
      </c>
      <c r="F110" t="s">
        <v>752</v>
      </c>
      <c r="G110">
        <v>1</v>
      </c>
      <c r="I110" s="2" t="s">
        <v>355</v>
      </c>
      <c r="J110">
        <f>COUNTIF(R2:R79,I110)</f>
        <v>16</v>
      </c>
      <c r="Q110">
        <v>1</v>
      </c>
      <c r="R110">
        <v>5</v>
      </c>
      <c r="T110">
        <f>_xlfn.RANK.AVG(Q110,$Q$110:$Q$114,1)</f>
        <v>1</v>
      </c>
      <c r="U110">
        <f>_xlfn.RANK.AVG(R110,$R$110:$R$114,1)</f>
        <v>4.5</v>
      </c>
      <c r="W110" s="4">
        <f>CORREL(T110:T114,U110:U114)</f>
        <v>-0.56428809364683474</v>
      </c>
      <c r="AA110" t="s">
        <v>823</v>
      </c>
      <c r="AB110" t="s">
        <v>821</v>
      </c>
      <c r="AC110" t="s">
        <v>827</v>
      </c>
      <c r="AD110" t="s">
        <v>831</v>
      </c>
      <c r="AE110" t="s">
        <v>828</v>
      </c>
      <c r="AF110" t="s">
        <v>829</v>
      </c>
      <c r="AG110" t="s">
        <v>830</v>
      </c>
    </row>
    <row r="111" spans="2:138" customFormat="1" x14ac:dyDescent="0.25">
      <c r="B111" t="s">
        <v>347</v>
      </c>
      <c r="D111">
        <f>COUNTIF(B3:B80,B111)</f>
        <v>19</v>
      </c>
      <c r="F111" s="7" t="s">
        <v>750</v>
      </c>
      <c r="G111" s="7">
        <f>SUM(G108:G110)</f>
        <v>68</v>
      </c>
      <c r="I111" s="2" t="s">
        <v>423</v>
      </c>
      <c r="J111">
        <f>COUNTIF(R2:R79,I111)</f>
        <v>23</v>
      </c>
      <c r="Q111">
        <v>2</v>
      </c>
      <c r="R111">
        <v>5</v>
      </c>
      <c r="T111">
        <f>_xlfn.RANK.AVG(Q111,$Q$110:$Q$114,1)</f>
        <v>2</v>
      </c>
      <c r="U111">
        <f>_xlfn.RANK.AVG(R111,$R$110:$R$114,1)</f>
        <v>4.5</v>
      </c>
      <c r="Z111" t="s">
        <v>284</v>
      </c>
      <c r="AA111">
        <v>2</v>
      </c>
      <c r="AB111">
        <v>2</v>
      </c>
      <c r="AC111">
        <f>AB111-AA111</f>
        <v>0</v>
      </c>
      <c r="AD111">
        <f>ABS(AC111)</f>
        <v>0</v>
      </c>
      <c r="AE111">
        <f>J116</f>
        <v>3</v>
      </c>
      <c r="AF111">
        <f>_xlfn.RANK.AVG(AD111,$AD$111:$AD$114,1)</f>
        <v>1</v>
      </c>
      <c r="AG111">
        <f>_xlfn.RANK.AVG(AE111,$AE$111:$AE$114,1)</f>
        <v>2</v>
      </c>
      <c r="AI111" s="4">
        <f>CORREL(AF111:AF114,AG111:AG114)</f>
        <v>-0.19999999999999996</v>
      </c>
      <c r="AJ111" t="s">
        <v>832</v>
      </c>
    </row>
    <row r="112" spans="2:138" customFormat="1" x14ac:dyDescent="0.25">
      <c r="B112" t="s">
        <v>376</v>
      </c>
      <c r="D112">
        <f>COUNTIF(B3:B80,B112)</f>
        <v>10</v>
      </c>
      <c r="I112" s="7" t="s">
        <v>750</v>
      </c>
      <c r="J112" s="7">
        <f>SUM(J108:J111)</f>
        <v>68</v>
      </c>
      <c r="Q112">
        <v>3</v>
      </c>
      <c r="R112">
        <v>3.5</v>
      </c>
      <c r="T112">
        <f>_xlfn.RANK.AVG(Q112,$Q$110:$Q$114,1)</f>
        <v>3</v>
      </c>
      <c r="U112">
        <f>_xlfn.RANK.AVG(R112,$R$110:$R$114,1)</f>
        <v>1</v>
      </c>
      <c r="Z112" t="s">
        <v>322</v>
      </c>
      <c r="AA112">
        <v>2</v>
      </c>
      <c r="AB112">
        <v>2.5</v>
      </c>
      <c r="AC112">
        <f t="shared" ref="AC112:AC141" si="8">AB112-AA112</f>
        <v>0.5</v>
      </c>
      <c r="AD112">
        <f t="shared" ref="AD112:AD141" si="9">ABS(AC112)</f>
        <v>0.5</v>
      </c>
      <c r="AE112">
        <f>J117</f>
        <v>7</v>
      </c>
      <c r="AF112">
        <f>_xlfn.RANK.AVG(AD112,$AD$111:$AD$114,1)</f>
        <v>3</v>
      </c>
      <c r="AG112">
        <f>_xlfn.RANK.AVG(AE112,$AE$111:$AE$114,1)</f>
        <v>4</v>
      </c>
      <c r="AJ112" t="s">
        <v>833</v>
      </c>
    </row>
    <row r="113" spans="2:35" customFormat="1" x14ac:dyDescent="0.25">
      <c r="B113" t="s">
        <v>676</v>
      </c>
      <c r="D113">
        <f>COUNTIF(B3:B80,B113)</f>
        <v>4</v>
      </c>
      <c r="Q113">
        <v>4</v>
      </c>
      <c r="R113">
        <v>4.2</v>
      </c>
      <c r="T113">
        <f>_xlfn.RANK.AVG(Q113,$Q$110:$Q$114,1)</f>
        <v>4</v>
      </c>
      <c r="U113">
        <f>_xlfn.RANK.AVG(R113,$R$110:$R$114,1)</f>
        <v>2</v>
      </c>
      <c r="Z113" t="s">
        <v>449</v>
      </c>
      <c r="AA113">
        <v>3</v>
      </c>
      <c r="AB113">
        <v>2</v>
      </c>
      <c r="AC113">
        <f t="shared" si="8"/>
        <v>-1</v>
      </c>
      <c r="AD113">
        <f t="shared" si="9"/>
        <v>1</v>
      </c>
      <c r="AE113">
        <f>J118</f>
        <v>2</v>
      </c>
      <c r="AF113">
        <f>_xlfn.RANK.AVG(AD113,$AD$111:$AD$114,1)</f>
        <v>4</v>
      </c>
      <c r="AG113">
        <f>_xlfn.RANK.AVG(AE113,$AE$111:$AE$114,1)</f>
        <v>1</v>
      </c>
    </row>
    <row r="114" spans="2:35" customFormat="1" x14ac:dyDescent="0.25">
      <c r="B114" s="7" t="s">
        <v>750</v>
      </c>
      <c r="C114" s="7"/>
      <c r="D114" s="7">
        <f>SUM(D108:D113)</f>
        <v>68</v>
      </c>
      <c r="Q114">
        <v>6</v>
      </c>
      <c r="R114">
        <v>4.33</v>
      </c>
      <c r="T114">
        <f>_xlfn.RANK.AVG(Q114,$Q$110:$Q$114,1)</f>
        <v>5</v>
      </c>
      <c r="U114">
        <f>_xlfn.RANK.AVG(R114,$R$110:$R$114,1)</f>
        <v>3</v>
      </c>
      <c r="Z114" t="s">
        <v>378</v>
      </c>
      <c r="AA114">
        <v>3</v>
      </c>
      <c r="AB114">
        <v>2.75</v>
      </c>
      <c r="AC114">
        <f t="shared" si="8"/>
        <v>-0.25</v>
      </c>
      <c r="AD114">
        <f t="shared" si="9"/>
        <v>0.25</v>
      </c>
      <c r="AE114">
        <f>J119</f>
        <v>5</v>
      </c>
      <c r="AF114">
        <f>_xlfn.RANK.AVG(AD114,$AD$111:$AD$114,1)</f>
        <v>2</v>
      </c>
      <c r="AG114">
        <f>_xlfn.RANK.AVG(AE114,$AE$111:$AE$114,1)</f>
        <v>3</v>
      </c>
    </row>
    <row r="115" spans="2:35" customFormat="1" x14ac:dyDescent="0.25">
      <c r="H115" s="9" t="s">
        <v>754</v>
      </c>
      <c r="I115" s="9"/>
      <c r="J115" s="9"/>
      <c r="K115" s="116" t="s">
        <v>789</v>
      </c>
      <c r="L115" s="9" t="s">
        <v>905</v>
      </c>
    </row>
    <row r="116" spans="2:35" customFormat="1" x14ac:dyDescent="0.25">
      <c r="H116" t="s">
        <v>755</v>
      </c>
      <c r="I116" t="s">
        <v>284</v>
      </c>
      <c r="J116">
        <f>COUNTIF(S3:S80,I116)</f>
        <v>3</v>
      </c>
      <c r="K116" s="117"/>
      <c r="Q116" t="s">
        <v>850</v>
      </c>
      <c r="Z116" s="135" t="s">
        <v>822</v>
      </c>
      <c r="AA116" s="135"/>
    </row>
    <row r="117" spans="2:35" customFormat="1" x14ac:dyDescent="0.25">
      <c r="B117" s="9" t="s">
        <v>869</v>
      </c>
      <c r="C117" s="9"/>
      <c r="D117" s="9" t="s">
        <v>907</v>
      </c>
      <c r="E117" s="9" t="s">
        <v>906</v>
      </c>
      <c r="I117" t="s">
        <v>322</v>
      </c>
      <c r="J117" s="10">
        <f>COUNTIF(S3:S80,I117)</f>
        <v>7</v>
      </c>
      <c r="K117" s="117">
        <v>79</v>
      </c>
      <c r="L117" s="4">
        <f>(J117/K117)*100</f>
        <v>8.8607594936708853</v>
      </c>
      <c r="Q117" s="6" t="s">
        <v>790</v>
      </c>
      <c r="R117" s="6" t="s">
        <v>791</v>
      </c>
      <c r="T117" s="6" t="s">
        <v>793</v>
      </c>
      <c r="U117" s="6" t="s">
        <v>792</v>
      </c>
      <c r="W117" s="6" t="s">
        <v>795</v>
      </c>
      <c r="AA117" t="s">
        <v>819</v>
      </c>
      <c r="AB117" t="s">
        <v>821</v>
      </c>
      <c r="AF117" t="s">
        <v>829</v>
      </c>
      <c r="AG117" t="s">
        <v>830</v>
      </c>
    </row>
    <row r="118" spans="2:35" customFormat="1" x14ac:dyDescent="0.25">
      <c r="B118" t="s">
        <v>278</v>
      </c>
      <c r="C118" s="2">
        <f>COUNTIF(B61:B79,B118)+COUNTIF(B2:B31,B118)</f>
        <v>2</v>
      </c>
      <c r="D118" s="115">
        <f>C118*C15</f>
        <v>44</v>
      </c>
      <c r="I118" t="s">
        <v>449</v>
      </c>
      <c r="J118">
        <f>COUNTIF(S3:S80,I118)</f>
        <v>2</v>
      </c>
      <c r="K118" s="117"/>
      <c r="L118" s="4"/>
      <c r="Q118">
        <v>2</v>
      </c>
      <c r="R118">
        <v>4.5</v>
      </c>
      <c r="T118">
        <f>_xlfn.RANK.AVG(Q118,$Q$118:$Q$121,1)</f>
        <v>1</v>
      </c>
      <c r="U118">
        <f>_xlfn.RANK.AVG(R118,$R$118:$R$121,1)</f>
        <v>3</v>
      </c>
      <c r="W118" s="89">
        <f>CORREL(T118:T121,U118:U121)</f>
        <v>0</v>
      </c>
      <c r="Z118" t="str">
        <f t="shared" ref="Z118:Z124" si="10">I123</f>
        <v>B4</v>
      </c>
      <c r="AA118">
        <v>1</v>
      </c>
      <c r="AB118">
        <v>1</v>
      </c>
      <c r="AC118">
        <f t="shared" si="8"/>
        <v>0</v>
      </c>
      <c r="AD118">
        <f t="shared" si="9"/>
        <v>0</v>
      </c>
      <c r="AE118">
        <f t="shared" ref="AE118:AE124" si="11">J123</f>
        <v>1</v>
      </c>
      <c r="AF118">
        <f t="shared" ref="AF118:AF124" si="12">_xlfn.RANK.AVG(AD118,$AD$118:$AD$124,1)</f>
        <v>2.5</v>
      </c>
      <c r="AG118">
        <f t="shared" ref="AG118:AG124" si="13">_xlfn.RANK.AVG(AE118,$AE$118:$AE$124,1)</f>
        <v>3</v>
      </c>
      <c r="AI118" s="4">
        <f>CORREL(AF118:AF124,AG118:AG124)</f>
        <v>8.7227837598864683E-2</v>
      </c>
    </row>
    <row r="119" spans="2:35" customFormat="1" x14ac:dyDescent="0.25">
      <c r="B119" t="s">
        <v>321</v>
      </c>
      <c r="C119" s="2">
        <f>COUNTIF(B61:B79,B119)+COUNTIF(B2:B31,B119)</f>
        <v>20</v>
      </c>
      <c r="D119" s="115">
        <f>C119*C63</f>
        <v>1450</v>
      </c>
      <c r="I119" t="s">
        <v>378</v>
      </c>
      <c r="J119" s="10">
        <f>COUNTIF(S3:S80,I119)</f>
        <v>5</v>
      </c>
      <c r="K119" s="117">
        <v>94</v>
      </c>
      <c r="L119" s="4">
        <f>(J119/K119)*100</f>
        <v>5.3191489361702127</v>
      </c>
      <c r="Q119">
        <v>3</v>
      </c>
      <c r="R119">
        <v>3</v>
      </c>
      <c r="T119">
        <f>_xlfn.RANK.AVG(Q119,$Q$118:$Q$121,1)</f>
        <v>2</v>
      </c>
      <c r="U119">
        <f>_xlfn.RANK.AVG(R119,$R$118:$R$121,1)</f>
        <v>1</v>
      </c>
      <c r="Z119" t="str">
        <f t="shared" si="10"/>
        <v>B5</v>
      </c>
      <c r="AA119">
        <v>1</v>
      </c>
      <c r="AB119">
        <v>1</v>
      </c>
      <c r="AC119">
        <f t="shared" si="8"/>
        <v>0</v>
      </c>
      <c r="AD119">
        <f t="shared" si="9"/>
        <v>0</v>
      </c>
      <c r="AE119">
        <f t="shared" si="11"/>
        <v>1</v>
      </c>
      <c r="AF119">
        <f t="shared" si="12"/>
        <v>2.5</v>
      </c>
      <c r="AG119">
        <f t="shared" si="13"/>
        <v>3</v>
      </c>
    </row>
    <row r="120" spans="2:35" customFormat="1" x14ac:dyDescent="0.25">
      <c r="B120" t="s">
        <v>421</v>
      </c>
      <c r="C120" s="2">
        <f>COUNTIF(B61:B79,B120)+COUNTIF(B2:B31,B120)</f>
        <v>9</v>
      </c>
      <c r="D120" s="115" t="e">
        <f>C120*C67</f>
        <v>#VALUE!</v>
      </c>
      <c r="E120" s="4" t="e">
        <f>(SUM(D118:D123))/(SUM(C118:C123))</f>
        <v>#VALUE!</v>
      </c>
      <c r="I120" s="7" t="s">
        <v>750</v>
      </c>
      <c r="J120" s="7">
        <f>SUM(J116:J119)</f>
        <v>17</v>
      </c>
      <c r="K120" s="117"/>
      <c r="L120" s="4"/>
      <c r="Q120">
        <v>4</v>
      </c>
      <c r="R120">
        <v>4.75</v>
      </c>
      <c r="T120">
        <f>_xlfn.RANK.AVG(Q120,$Q$118:$Q$121,1)</f>
        <v>3</v>
      </c>
      <c r="U120">
        <f>_xlfn.RANK.AVG(R120,$R$118:$R$121,1)</f>
        <v>4</v>
      </c>
      <c r="Z120" t="str">
        <f t="shared" si="10"/>
        <v>C3</v>
      </c>
      <c r="AA120">
        <v>1</v>
      </c>
      <c r="AB120">
        <v>1</v>
      </c>
      <c r="AC120">
        <f t="shared" si="8"/>
        <v>0</v>
      </c>
      <c r="AD120">
        <f t="shared" si="9"/>
        <v>0</v>
      </c>
      <c r="AE120">
        <f t="shared" si="11"/>
        <v>1</v>
      </c>
      <c r="AF120">
        <f t="shared" si="12"/>
        <v>2.5</v>
      </c>
      <c r="AG120">
        <f t="shared" si="13"/>
        <v>3</v>
      </c>
    </row>
    <row r="121" spans="2:35" customFormat="1" x14ac:dyDescent="0.25">
      <c r="B121" t="s">
        <v>347</v>
      </c>
      <c r="C121" s="2">
        <f>COUNTIF(B61:B79,B121)+COUNTIF(B2:B31,B121)</f>
        <v>0</v>
      </c>
      <c r="D121" s="115">
        <f>C121*C71</f>
        <v>0</v>
      </c>
      <c r="K121" s="117"/>
      <c r="L121" s="4"/>
      <c r="Q121">
        <v>5</v>
      </c>
      <c r="R121">
        <v>3.67</v>
      </c>
      <c r="T121">
        <f>_xlfn.RANK.AVG(Q121,$Q$118:$Q$121,1)</f>
        <v>4</v>
      </c>
      <c r="U121">
        <f>_xlfn.RANK.AVG(R121,$R$118:$R$121,1)</f>
        <v>2</v>
      </c>
      <c r="Z121" t="str">
        <f t="shared" si="10"/>
        <v>C4</v>
      </c>
      <c r="AA121">
        <v>1</v>
      </c>
      <c r="AB121">
        <v>2</v>
      </c>
      <c r="AC121">
        <f t="shared" si="8"/>
        <v>1</v>
      </c>
      <c r="AD121">
        <f t="shared" si="9"/>
        <v>1</v>
      </c>
      <c r="AE121">
        <f t="shared" si="11"/>
        <v>1</v>
      </c>
      <c r="AF121">
        <f t="shared" si="12"/>
        <v>5</v>
      </c>
      <c r="AG121">
        <f t="shared" si="13"/>
        <v>3</v>
      </c>
    </row>
    <row r="122" spans="2:35" customFormat="1" x14ac:dyDescent="0.25">
      <c r="B122" t="s">
        <v>376</v>
      </c>
      <c r="C122" s="2">
        <f>COUNTIF(B61:B79,B122)+COUNTIF(B2:B31,B122)</f>
        <v>6</v>
      </c>
      <c r="D122" s="115">
        <f>C122*C57</f>
        <v>435</v>
      </c>
      <c r="K122" s="117"/>
      <c r="L122" s="4"/>
      <c r="Z122" t="str">
        <f t="shared" si="10"/>
        <v>C5</v>
      </c>
      <c r="AA122">
        <v>1</v>
      </c>
      <c r="AB122">
        <v>2.33</v>
      </c>
      <c r="AC122">
        <f t="shared" si="8"/>
        <v>1.33</v>
      </c>
      <c r="AD122">
        <f t="shared" si="9"/>
        <v>1.33</v>
      </c>
      <c r="AE122">
        <f t="shared" si="11"/>
        <v>3</v>
      </c>
      <c r="AF122">
        <f t="shared" si="12"/>
        <v>6</v>
      </c>
      <c r="AG122">
        <f t="shared" si="13"/>
        <v>6.5</v>
      </c>
    </row>
    <row r="123" spans="2:35" customFormat="1" x14ac:dyDescent="0.25">
      <c r="B123" t="s">
        <v>676</v>
      </c>
      <c r="C123" s="2">
        <f>COUNTIF(B61:B79,B123)+COUNTIF(B2:B31,B123)</f>
        <v>4</v>
      </c>
      <c r="D123" s="115">
        <f>C123*C77</f>
        <v>0</v>
      </c>
      <c r="H123" t="s">
        <v>756</v>
      </c>
      <c r="I123" t="s">
        <v>338</v>
      </c>
      <c r="J123">
        <f>COUNTIF(T2:T79,I123)</f>
        <v>1</v>
      </c>
      <c r="K123" s="117"/>
      <c r="L123" s="4"/>
      <c r="Q123" t="s">
        <v>851</v>
      </c>
      <c r="Z123" t="str">
        <f t="shared" si="10"/>
        <v>D2</v>
      </c>
      <c r="AA123">
        <v>2</v>
      </c>
      <c r="AB123">
        <v>2</v>
      </c>
      <c r="AC123">
        <f t="shared" si="8"/>
        <v>0</v>
      </c>
      <c r="AD123">
        <f t="shared" si="9"/>
        <v>0</v>
      </c>
      <c r="AE123">
        <f t="shared" si="11"/>
        <v>3</v>
      </c>
      <c r="AF123">
        <f t="shared" si="12"/>
        <v>2.5</v>
      </c>
      <c r="AG123">
        <f t="shared" si="13"/>
        <v>6.5</v>
      </c>
    </row>
    <row r="124" spans="2:35" customFormat="1" x14ac:dyDescent="0.25">
      <c r="I124" t="s">
        <v>403</v>
      </c>
      <c r="J124">
        <f>COUNTIF(T2:T79,I124)</f>
        <v>1</v>
      </c>
      <c r="K124" s="117"/>
      <c r="L124" s="4"/>
      <c r="Q124" s="6" t="s">
        <v>790</v>
      </c>
      <c r="R124" s="6" t="s">
        <v>791</v>
      </c>
      <c r="T124" s="6" t="s">
        <v>793</v>
      </c>
      <c r="U124" s="6" t="s">
        <v>792</v>
      </c>
      <c r="W124" s="6" t="s">
        <v>795</v>
      </c>
      <c r="Z124" t="str">
        <f t="shared" si="10"/>
        <v>D3</v>
      </c>
      <c r="AA124">
        <v>1</v>
      </c>
      <c r="AB124">
        <v>3</v>
      </c>
      <c r="AC124">
        <f t="shared" si="8"/>
        <v>2</v>
      </c>
      <c r="AD124">
        <f t="shared" si="9"/>
        <v>2</v>
      </c>
      <c r="AE124">
        <f t="shared" si="11"/>
        <v>1</v>
      </c>
      <c r="AF124">
        <f t="shared" si="12"/>
        <v>7</v>
      </c>
      <c r="AG124">
        <f t="shared" si="13"/>
        <v>3</v>
      </c>
    </row>
    <row r="125" spans="2:35" customFormat="1" x14ac:dyDescent="0.25">
      <c r="B125" s="9" t="s">
        <v>870</v>
      </c>
      <c r="I125" t="s">
        <v>378</v>
      </c>
      <c r="J125">
        <f>COUNTIF(T3:T80,I125)</f>
        <v>1</v>
      </c>
      <c r="K125" s="117"/>
      <c r="L125" s="4"/>
      <c r="Q125">
        <v>2</v>
      </c>
      <c r="R125">
        <v>4.25</v>
      </c>
      <c r="T125">
        <f>_xlfn.RANK.AVG(Q125,$Q$125:$Q$127,1)</f>
        <v>1</v>
      </c>
      <c r="U125">
        <f>_xlfn.RANK.AVG(R125,$R$125:$R$127,1)</f>
        <v>2</v>
      </c>
      <c r="W125" s="4">
        <f>CORREL(T125:T128,U125:U128)</f>
        <v>0.5</v>
      </c>
    </row>
    <row r="126" spans="2:35" customFormat="1" x14ac:dyDescent="0.25">
      <c r="B126" t="s">
        <v>278</v>
      </c>
      <c r="C126">
        <f>COUNTIF(B34:B58,B126)</f>
        <v>0</v>
      </c>
      <c r="D126" s="115">
        <f>C126*C61</f>
        <v>0</v>
      </c>
      <c r="I126" t="s">
        <v>463</v>
      </c>
      <c r="J126">
        <f>COUNTIF(T3:T80,I126)</f>
        <v>1</v>
      </c>
      <c r="K126" s="117"/>
      <c r="L126" s="4"/>
      <c r="Q126">
        <v>3</v>
      </c>
      <c r="R126">
        <v>3.5</v>
      </c>
      <c r="T126">
        <f>_xlfn.RANK.AVG(Q126,$Q$125:$Q$127,1)</f>
        <v>2</v>
      </c>
      <c r="U126">
        <f>_xlfn.RANK.AVG(R126,$R$125:$R$127,1)</f>
        <v>1</v>
      </c>
      <c r="Z126" s="105" t="s">
        <v>824</v>
      </c>
      <c r="AA126" s="105"/>
    </row>
    <row r="127" spans="2:35" customFormat="1" x14ac:dyDescent="0.25">
      <c r="B127" t="s">
        <v>321</v>
      </c>
      <c r="C127">
        <f>COUNTIF(B34:B58,B127)</f>
        <v>0</v>
      </c>
      <c r="D127" s="115">
        <f>C127*C63</f>
        <v>0</v>
      </c>
      <c r="I127" t="s">
        <v>424</v>
      </c>
      <c r="J127" s="12">
        <f>COUNTIF(T3:T80,I127)</f>
        <v>3</v>
      </c>
      <c r="K127" s="117">
        <v>143</v>
      </c>
      <c r="L127" s="4">
        <f>(J127/K127)*100</f>
        <v>2.0979020979020979</v>
      </c>
      <c r="Q127">
        <v>4</v>
      </c>
      <c r="R127">
        <v>4.33</v>
      </c>
      <c r="T127">
        <f>_xlfn.RANK.AVG(Q127,$Q$125:$Q$127,1)</f>
        <v>3</v>
      </c>
      <c r="U127">
        <f>_xlfn.RANK.AVG(R127,$R$125:$R$127,1)</f>
        <v>3</v>
      </c>
      <c r="AA127" t="s">
        <v>819</v>
      </c>
      <c r="AB127" t="s">
        <v>821</v>
      </c>
      <c r="AF127" t="s">
        <v>829</v>
      </c>
      <c r="AG127" t="s">
        <v>830</v>
      </c>
    </row>
    <row r="128" spans="2:35" customFormat="1" x14ac:dyDescent="0.25">
      <c r="B128" t="s">
        <v>421</v>
      </c>
      <c r="C128">
        <f>COUNTIF(B34:B58,B128)</f>
        <v>2</v>
      </c>
      <c r="D128" s="115">
        <f>C128*C68</f>
        <v>0</v>
      </c>
      <c r="E128" s="4">
        <f>(SUM(D126:D131))/(SUM(C126:C131))</f>
        <v>75.217391304347828</v>
      </c>
      <c r="I128" t="s">
        <v>395</v>
      </c>
      <c r="J128" s="12">
        <f>COUNTIF(T3:T80,I128)</f>
        <v>3</v>
      </c>
      <c r="K128" s="117">
        <v>93</v>
      </c>
      <c r="L128" s="4">
        <f>(J128/K128)*100</f>
        <v>3.225806451612903</v>
      </c>
      <c r="Z128" t="str">
        <f>I133</f>
        <v>B1</v>
      </c>
      <c r="AA128">
        <v>2</v>
      </c>
      <c r="AB128">
        <v>1.5</v>
      </c>
      <c r="AC128">
        <f t="shared" si="8"/>
        <v>-0.5</v>
      </c>
      <c r="AD128">
        <f t="shared" si="9"/>
        <v>0.5</v>
      </c>
      <c r="AE128">
        <f>J133</f>
        <v>3</v>
      </c>
      <c r="AF128">
        <f>_xlfn.RANK.AVG(AD128,$AD$128:$AD$130,1)</f>
        <v>3</v>
      </c>
      <c r="AG128">
        <f>_xlfn.RANK.AVG(AE128,$AE$128:$AE$130,1)</f>
        <v>2</v>
      </c>
      <c r="AI128" s="4">
        <f>CORREL(AF128:AF130,AG128:AG130)</f>
        <v>0.5</v>
      </c>
    </row>
    <row r="129" spans="2:48" customFormat="1" x14ac:dyDescent="0.25">
      <c r="B129" t="s">
        <v>347</v>
      </c>
      <c r="C129">
        <f>COUNTIF(B34:B58,B129)</f>
        <v>19</v>
      </c>
      <c r="D129" s="115">
        <f>C129*C72</f>
        <v>1615</v>
      </c>
      <c r="I129" t="s">
        <v>757</v>
      </c>
      <c r="J129">
        <f>COUNTIF(T3:T80,I129)</f>
        <v>1</v>
      </c>
      <c r="K129" s="117"/>
      <c r="L129" s="4"/>
      <c r="Q129" t="s">
        <v>852</v>
      </c>
      <c r="Z129" t="str">
        <f>I134</f>
        <v>B2</v>
      </c>
      <c r="AA129">
        <v>2</v>
      </c>
      <c r="AB129">
        <v>1.75</v>
      </c>
      <c r="AC129">
        <f t="shared" si="8"/>
        <v>-0.25</v>
      </c>
      <c r="AD129">
        <f t="shared" si="9"/>
        <v>0.25</v>
      </c>
      <c r="AE129">
        <f>J134</f>
        <v>11</v>
      </c>
      <c r="AF129">
        <f>_xlfn.RANK.AVG(AD129,$AD$128:$AD$130,1)</f>
        <v>2</v>
      </c>
      <c r="AG129">
        <f>_xlfn.RANK.AVG(AE129,$AE$128:$AE$130,1)</f>
        <v>3</v>
      </c>
    </row>
    <row r="130" spans="2:48" customFormat="1" x14ac:dyDescent="0.25">
      <c r="B130" t="s">
        <v>376</v>
      </c>
      <c r="C130">
        <f>COUNTIF(B34:B58,B130)</f>
        <v>2</v>
      </c>
      <c r="D130" s="115">
        <f>C130*C52</f>
        <v>115</v>
      </c>
      <c r="I130" s="7" t="s">
        <v>750</v>
      </c>
      <c r="J130" s="7">
        <f>SUM(J123:J128)</f>
        <v>10</v>
      </c>
      <c r="K130" s="117"/>
      <c r="L130" s="4"/>
      <c r="Q130" s="6" t="s">
        <v>790</v>
      </c>
      <c r="R130" s="6" t="s">
        <v>791</v>
      </c>
      <c r="T130" s="6" t="s">
        <v>793</v>
      </c>
      <c r="U130" s="6" t="s">
        <v>792</v>
      </c>
      <c r="W130" s="6" t="s">
        <v>795</v>
      </c>
      <c r="Z130" t="s">
        <v>710</v>
      </c>
      <c r="AA130">
        <v>2</v>
      </c>
      <c r="AB130">
        <v>2</v>
      </c>
      <c r="AC130">
        <f t="shared" si="8"/>
        <v>0</v>
      </c>
      <c r="AD130">
        <f t="shared" si="9"/>
        <v>0</v>
      </c>
      <c r="AE130">
        <v>1</v>
      </c>
      <c r="AF130">
        <f>_xlfn.RANK.AVG(AD130,$AD$128:$AD$130,1)</f>
        <v>1</v>
      </c>
      <c r="AG130">
        <f>_xlfn.RANK.AVG(AE130,$AE$128:$AE$130,1)</f>
        <v>1</v>
      </c>
    </row>
    <row r="131" spans="2:48" customFormat="1" x14ac:dyDescent="0.25">
      <c r="B131" t="s">
        <v>676</v>
      </c>
      <c r="C131">
        <f>COUNTIF(B34:B58,B131)</f>
        <v>0</v>
      </c>
      <c r="D131" s="115">
        <f>C131*C77</f>
        <v>0</v>
      </c>
      <c r="K131" s="117"/>
      <c r="L131" s="4"/>
      <c r="Q131">
        <v>2</v>
      </c>
      <c r="R131">
        <v>4.5</v>
      </c>
      <c r="T131">
        <f>_xlfn.RANK.AVG(Q131,$Q$131:$Q$135,1)</f>
        <v>1</v>
      </c>
      <c r="U131">
        <f>_xlfn.RANK.AVG(R131,$R$131:$R$135,1)</f>
        <v>3</v>
      </c>
      <c r="W131" s="4">
        <f>CORREL(T131:T135,U131:U135)</f>
        <v>0.69999999999999984</v>
      </c>
    </row>
    <row r="132" spans="2:48" customFormat="1" x14ac:dyDescent="0.25">
      <c r="K132" s="117"/>
      <c r="L132" s="4"/>
      <c r="Q132">
        <v>3</v>
      </c>
      <c r="R132">
        <v>4</v>
      </c>
      <c r="T132">
        <f>_xlfn.RANK.AVG(Q132,$Q$131:$Q$135,1)</f>
        <v>2</v>
      </c>
      <c r="U132">
        <f>_xlfn.RANK.AVG(R132,$R$131:$R$135,1)</f>
        <v>1</v>
      </c>
      <c r="Z132" s="105" t="s">
        <v>825</v>
      </c>
      <c r="AA132" s="105"/>
      <c r="AB132" t="s">
        <v>826</v>
      </c>
      <c r="AO132" t="s">
        <v>919</v>
      </c>
    </row>
    <row r="133" spans="2:48" customFormat="1" x14ac:dyDescent="0.25">
      <c r="H133" t="s">
        <v>758</v>
      </c>
      <c r="I133" t="s">
        <v>284</v>
      </c>
      <c r="J133" s="10">
        <f>COUNTIF(U4:U81,I133)</f>
        <v>3</v>
      </c>
      <c r="K133" s="117">
        <v>65</v>
      </c>
      <c r="L133" s="4">
        <f>(J133/K133)*100</f>
        <v>4.6153846153846159</v>
      </c>
      <c r="Q133">
        <v>4</v>
      </c>
      <c r="R133">
        <v>4.33</v>
      </c>
      <c r="T133">
        <f>_xlfn.RANK.AVG(Q133,$Q$131:$Q$135,1)</f>
        <v>3</v>
      </c>
      <c r="U133">
        <f>_xlfn.RANK.AVG(R133,$R$131:$R$135,1)</f>
        <v>2</v>
      </c>
      <c r="AA133" t="s">
        <v>819</v>
      </c>
      <c r="AB133" t="s">
        <v>821</v>
      </c>
      <c r="AF133" t="s">
        <v>829</v>
      </c>
      <c r="AG133" t="s">
        <v>830</v>
      </c>
    </row>
    <row r="134" spans="2:48" customFormat="1" x14ac:dyDescent="0.25">
      <c r="I134" t="s">
        <v>322</v>
      </c>
      <c r="J134" s="10">
        <f>COUNTIF(U4:U81,I134)</f>
        <v>11</v>
      </c>
      <c r="K134" s="117">
        <v>105</v>
      </c>
      <c r="L134" s="4">
        <f>(J134/K134)*100</f>
        <v>10.476190476190476</v>
      </c>
      <c r="Q134">
        <v>5</v>
      </c>
      <c r="R134">
        <v>4.8600000000000003</v>
      </c>
      <c r="T134">
        <f>_xlfn.RANK.AVG(Q134,$Q$131:$Q$135,1)</f>
        <v>4</v>
      </c>
      <c r="U134">
        <f>_xlfn.RANK.AVG(R134,$R$131:$R$135,1)</f>
        <v>4</v>
      </c>
      <c r="Z134" t="str">
        <f>I141</f>
        <v>C5</v>
      </c>
      <c r="AA134">
        <v>1</v>
      </c>
      <c r="AB134">
        <v>1.8</v>
      </c>
      <c r="AC134">
        <f t="shared" si="8"/>
        <v>0.8</v>
      </c>
      <c r="AD134">
        <f t="shared" si="9"/>
        <v>0.8</v>
      </c>
      <c r="AE134">
        <f>J141</f>
        <v>11</v>
      </c>
      <c r="AF134">
        <f>_xlfn.RANK.AVG(AD134,$AD$134:$AD$135,1)</f>
        <v>2</v>
      </c>
      <c r="AG134">
        <f>_xlfn.RANK.AVG(AE134,$AE$134:$AE$135,1)</f>
        <v>2</v>
      </c>
      <c r="AI134" s="4">
        <f>CORREL(AF134:AF135,AG134:AG135)</f>
        <v>1</v>
      </c>
    </row>
    <row r="135" spans="2:48" customFormat="1" x14ac:dyDescent="0.25">
      <c r="I135" t="s">
        <v>394</v>
      </c>
      <c r="J135">
        <f>COUNTIF(U4:U81,I135)</f>
        <v>1</v>
      </c>
      <c r="K135" s="117"/>
      <c r="L135" s="4"/>
      <c r="Q135">
        <v>6</v>
      </c>
      <c r="R135">
        <v>5</v>
      </c>
      <c r="T135">
        <f>_xlfn.RANK.AVG(Q135,$Q$131:$Q$135,1)</f>
        <v>5</v>
      </c>
      <c r="U135">
        <f>_xlfn.RANK.AVG(R135,$R$131:$R$135,1)</f>
        <v>5</v>
      </c>
      <c r="Z135" t="str">
        <f>I142</f>
        <v>C6</v>
      </c>
      <c r="AA135">
        <v>1</v>
      </c>
      <c r="AB135">
        <v>1.5</v>
      </c>
      <c r="AC135">
        <f t="shared" si="8"/>
        <v>0.5</v>
      </c>
      <c r="AD135">
        <f t="shared" si="9"/>
        <v>0.5</v>
      </c>
      <c r="AE135">
        <f>J142</f>
        <v>8</v>
      </c>
      <c r="AF135">
        <f>_xlfn.RANK.AVG(AD135,$AD$134:$AD$135,1)</f>
        <v>1</v>
      </c>
      <c r="AG135">
        <f>_xlfn.RANK.AVG(AE135,$AE$134:$AE$135,1)</f>
        <v>1</v>
      </c>
    </row>
    <row r="136" spans="2:48" customFormat="1" x14ac:dyDescent="0.25">
      <c r="I136" t="s">
        <v>710</v>
      </c>
      <c r="J136">
        <f>COUNTIF(U4:U81,I136)</f>
        <v>1</v>
      </c>
      <c r="K136" s="117"/>
      <c r="L136" s="4"/>
    </row>
    <row r="137" spans="2:48" customFormat="1" x14ac:dyDescent="0.25">
      <c r="I137" s="7" t="s">
        <v>750</v>
      </c>
      <c r="J137" s="7">
        <f>SUM(J133:J136)</f>
        <v>16</v>
      </c>
      <c r="K137" s="117"/>
      <c r="L137" s="4"/>
      <c r="Z137" s="105" t="s">
        <v>825</v>
      </c>
      <c r="AA137" s="105"/>
      <c r="AB137" t="s">
        <v>585</v>
      </c>
    </row>
    <row r="138" spans="2:48" customFormat="1" ht="21.6" x14ac:dyDescent="0.4">
      <c r="K138" s="117"/>
      <c r="L138" s="4"/>
      <c r="Q138" s="22" t="s">
        <v>798</v>
      </c>
      <c r="AA138" t="s">
        <v>819</v>
      </c>
      <c r="AB138" t="s">
        <v>821</v>
      </c>
      <c r="AF138" t="s">
        <v>829</v>
      </c>
      <c r="AG138" t="s">
        <v>830</v>
      </c>
      <c r="AO138" s="107" t="s">
        <v>925</v>
      </c>
    </row>
    <row r="139" spans="2:48" customFormat="1" x14ac:dyDescent="0.25">
      <c r="K139" s="117"/>
      <c r="L139" s="4"/>
      <c r="Q139" s="6" t="s">
        <v>790</v>
      </c>
      <c r="R139" s="6" t="s">
        <v>791</v>
      </c>
      <c r="T139" s="6" t="s">
        <v>793</v>
      </c>
      <c r="U139" s="6" t="s">
        <v>792</v>
      </c>
      <c r="W139" s="6" t="s">
        <v>795</v>
      </c>
      <c r="Z139" t="s">
        <v>463</v>
      </c>
      <c r="AA139">
        <v>2</v>
      </c>
      <c r="AB139">
        <v>3</v>
      </c>
      <c r="AC139">
        <f t="shared" si="8"/>
        <v>1</v>
      </c>
      <c r="AD139">
        <f t="shared" si="9"/>
        <v>1</v>
      </c>
      <c r="AE139">
        <f>J140</f>
        <v>2</v>
      </c>
      <c r="AF139">
        <f>_xlfn.RANK.AVG(AD139,$AD$139:$AD$141,1)</f>
        <v>3</v>
      </c>
      <c r="AG139">
        <f>_xlfn.RANK.AVG(AE139,$AE$139:$AE$141,1)</f>
        <v>1</v>
      </c>
      <c r="AI139" s="4">
        <f>CORREL(AF139:AF141,AG139:AG141)</f>
        <v>-0.86602540378443849</v>
      </c>
      <c r="AP139" s="6" t="s">
        <v>466</v>
      </c>
      <c r="AQ139" s="6" t="s">
        <v>316</v>
      </c>
      <c r="AR139" s="6" t="s">
        <v>437</v>
      </c>
      <c r="AS139" s="6" t="s">
        <v>926</v>
      </c>
      <c r="AT139" s="6" t="s">
        <v>927</v>
      </c>
      <c r="AU139" s="6" t="s">
        <v>928</v>
      </c>
      <c r="AV139" s="6" t="s">
        <v>929</v>
      </c>
    </row>
    <row r="140" spans="2:48" customFormat="1" x14ac:dyDescent="0.25">
      <c r="H140" t="s">
        <v>603</v>
      </c>
      <c r="I140" t="s">
        <v>463</v>
      </c>
      <c r="J140">
        <f>COUNTIF(W4:W81,I140)</f>
        <v>2</v>
      </c>
      <c r="K140" s="117"/>
      <c r="L140" s="4"/>
      <c r="Q140">
        <v>1</v>
      </c>
      <c r="R140">
        <v>1</v>
      </c>
      <c r="T140">
        <f>_xlfn.RANK.AVG(Q140,$Q$140:$Q$144,1)</f>
        <v>1</v>
      </c>
      <c r="U140">
        <f>_xlfn.RANK.AVG(R140,$R$140:$R$144,1)</f>
        <v>1</v>
      </c>
      <c r="W140" s="4">
        <f>CORREL(T140:T144,U140:U144)</f>
        <v>0.29999999999999993</v>
      </c>
      <c r="Z140" t="str">
        <f t="shared" ref="Z140:Z141" si="14">Z134</f>
        <v>C5</v>
      </c>
      <c r="AA140">
        <v>2</v>
      </c>
      <c r="AB140">
        <v>2.5</v>
      </c>
      <c r="AC140">
        <f t="shared" si="8"/>
        <v>0.5</v>
      </c>
      <c r="AD140">
        <f t="shared" si="9"/>
        <v>0.5</v>
      </c>
      <c r="AE140">
        <f>J141</f>
        <v>11</v>
      </c>
      <c r="AF140">
        <f>_xlfn.RANK.AVG(AD140,$AD$139:$AD$141,1)</f>
        <v>1.5</v>
      </c>
      <c r="AG140">
        <f>_xlfn.RANK.AVG(AE140,$AE$139:$AE$141,1)</f>
        <v>3</v>
      </c>
      <c r="AO140" s="6" t="s">
        <v>898</v>
      </c>
      <c r="AP140" s="132">
        <f>AK76</f>
        <v>0.5</v>
      </c>
      <c r="AQ140" s="132">
        <f>BD76</f>
        <v>1</v>
      </c>
      <c r="AR140" s="132">
        <f>CH76</f>
        <v>1</v>
      </c>
      <c r="AS140" s="132"/>
      <c r="AT140" s="132">
        <f>DR76</f>
        <v>0.5</v>
      </c>
    </row>
    <row r="141" spans="2:48" customFormat="1" x14ac:dyDescent="0.25">
      <c r="I141" t="s">
        <v>424</v>
      </c>
      <c r="J141" s="12">
        <f>COUNTIF(W4:W81,I141)</f>
        <v>11</v>
      </c>
      <c r="K141" s="117">
        <v>45</v>
      </c>
      <c r="L141" s="4">
        <f>(J141/K141)*100</f>
        <v>24.444444444444443</v>
      </c>
      <c r="Q141">
        <v>2</v>
      </c>
      <c r="R141">
        <v>5</v>
      </c>
      <c r="T141">
        <f>_xlfn.RANK.AVG(Q141,$Q$140:$Q$144,1)</f>
        <v>2</v>
      </c>
      <c r="U141">
        <f>_xlfn.RANK.AVG(R141,$R$140:$R$144,1)</f>
        <v>5</v>
      </c>
      <c r="Z141" t="str">
        <f t="shared" si="14"/>
        <v>C6</v>
      </c>
      <c r="AA141">
        <v>2</v>
      </c>
      <c r="AB141">
        <v>2.5</v>
      </c>
      <c r="AC141">
        <f t="shared" si="8"/>
        <v>0.5</v>
      </c>
      <c r="AD141">
        <f t="shared" si="9"/>
        <v>0.5</v>
      </c>
      <c r="AE141">
        <f>J142</f>
        <v>8</v>
      </c>
      <c r="AF141">
        <f>_xlfn.RANK.AVG(AD141,$AD$139:$AD$141,1)</f>
        <v>1.5</v>
      </c>
      <c r="AG141">
        <f>_xlfn.RANK.AVG(AE141,$AE$139:$AE$141,1)</f>
        <v>2</v>
      </c>
      <c r="AO141" s="6" t="s">
        <v>899</v>
      </c>
      <c r="AP141" s="132">
        <f>AK22</f>
        <v>0.33333333333333331</v>
      </c>
      <c r="AQ141" s="132">
        <f>BD22</f>
        <v>0.81818181818181823</v>
      </c>
      <c r="AR141" s="132">
        <f>CH22</f>
        <v>1</v>
      </c>
      <c r="AS141" s="132">
        <f>CZ22</f>
        <v>0.7</v>
      </c>
      <c r="AT141" s="132">
        <f>DR22</f>
        <v>0.88888888888888884</v>
      </c>
      <c r="AU141" s="132">
        <f>EJ22</f>
        <v>0.7</v>
      </c>
      <c r="AV141" s="132">
        <f>FA22</f>
        <v>0.76923076923076927</v>
      </c>
    </row>
    <row r="142" spans="2:48" customFormat="1" x14ac:dyDescent="0.25">
      <c r="I142" t="s">
        <v>464</v>
      </c>
      <c r="J142" s="12">
        <f>COUNTIF(W4:W81,I142)</f>
        <v>8</v>
      </c>
      <c r="K142" s="117">
        <v>48</v>
      </c>
      <c r="L142" s="4">
        <f>(J142/K142)*100</f>
        <v>16.666666666666664</v>
      </c>
      <c r="Q142">
        <v>3</v>
      </c>
      <c r="R142">
        <v>3.5</v>
      </c>
      <c r="T142">
        <f>_xlfn.RANK.AVG(Q142,$Q$140:$Q$144,1)</f>
        <v>3</v>
      </c>
      <c r="U142">
        <f>_xlfn.RANK.AVG(R142,$R$140:$R$144,1)</f>
        <v>2</v>
      </c>
      <c r="AO142" s="6" t="s">
        <v>900</v>
      </c>
      <c r="AP142" s="132">
        <f>AK36</f>
        <v>0.55555555555555558</v>
      </c>
      <c r="AQ142" s="132">
        <f>BD36</f>
        <v>1</v>
      </c>
      <c r="AR142" s="132">
        <f>CH36</f>
        <v>0.83333333333333337</v>
      </c>
      <c r="AS142" s="132">
        <f>CZ36</f>
        <v>0.66666666666666663</v>
      </c>
      <c r="AT142" s="132">
        <f>DR36</f>
        <v>1</v>
      </c>
      <c r="AU142" s="132">
        <f>EJ36</f>
        <v>0.875</v>
      </c>
      <c r="AV142" s="132">
        <f>FA36</f>
        <v>0.625</v>
      </c>
    </row>
    <row r="143" spans="2:48" customFormat="1" x14ac:dyDescent="0.25">
      <c r="I143" t="s">
        <v>652</v>
      </c>
      <c r="J143">
        <f>COUNTIF(W4:W81,I143)</f>
        <v>2</v>
      </c>
      <c r="K143" s="117"/>
      <c r="Q143">
        <v>4</v>
      </c>
      <c r="R143">
        <v>4.4000000000000004</v>
      </c>
      <c r="T143">
        <f>_xlfn.RANK.AVG(Q143,$Q$140:$Q$144,1)</f>
        <v>4</v>
      </c>
      <c r="U143">
        <f>_xlfn.RANK.AVG(R143,$R$140:$R$144,1)</f>
        <v>4</v>
      </c>
      <c r="Z143" s="104" t="s">
        <v>820</v>
      </c>
      <c r="AA143" s="104"/>
      <c r="AO143" s="6" t="s">
        <v>901</v>
      </c>
      <c r="AP143" s="132">
        <f>AK56</f>
        <v>0.53333333333333333</v>
      </c>
      <c r="AQ143" s="132">
        <f>BD56</f>
        <v>0.625</v>
      </c>
      <c r="AR143" s="132">
        <f>CH56</f>
        <v>0.7142857142857143</v>
      </c>
      <c r="AS143" s="132">
        <f>CZ56</f>
        <v>0.77777777777777779</v>
      </c>
      <c r="AT143" s="132">
        <f>DR56</f>
        <v>1</v>
      </c>
      <c r="AU143" s="132">
        <f>EJ56</f>
        <v>0.5</v>
      </c>
      <c r="AV143" s="132">
        <f>FA56</f>
        <v>0.46666666666666667</v>
      </c>
    </row>
    <row r="144" spans="2:48" customFormat="1" x14ac:dyDescent="0.25">
      <c r="I144" s="7" t="s">
        <v>750</v>
      </c>
      <c r="J144" s="7">
        <f>SUM(J140:J143)</f>
        <v>23</v>
      </c>
      <c r="Q144">
        <v>6</v>
      </c>
      <c r="R144">
        <v>3.67</v>
      </c>
      <c r="T144">
        <f>_xlfn.RANK.AVG(Q144,$Q$140:$Q$144,1)</f>
        <v>5</v>
      </c>
      <c r="U144">
        <f>_xlfn.RANK.AVG(R144,$R$140:$R$144,1)</f>
        <v>3</v>
      </c>
      <c r="Z144" t="s">
        <v>298</v>
      </c>
      <c r="AA144">
        <v>1</v>
      </c>
      <c r="AO144" s="6" t="s">
        <v>902</v>
      </c>
      <c r="AP144" s="132">
        <f>AK68</f>
        <v>0.375</v>
      </c>
      <c r="AQ144" s="132">
        <f>BD68</f>
        <v>1</v>
      </c>
      <c r="AR144" s="132">
        <f>CH68</f>
        <v>0.7142857142857143</v>
      </c>
      <c r="AS144" s="132">
        <f>CZ68</f>
        <v>0.33333333333333331</v>
      </c>
      <c r="AT144" s="132">
        <f>DR68</f>
        <v>1</v>
      </c>
      <c r="AU144" s="132">
        <f>EJ68</f>
        <v>0.66666666666666663</v>
      </c>
      <c r="AV144" s="132">
        <f>FA68</f>
        <v>0.1</v>
      </c>
    </row>
    <row r="145" spans="8:48" customFormat="1" x14ac:dyDescent="0.25">
      <c r="Z145" t="s">
        <v>305</v>
      </c>
      <c r="AA145">
        <v>2</v>
      </c>
      <c r="AO145" s="6" t="s">
        <v>903</v>
      </c>
      <c r="AP145" s="132">
        <f>AK73</f>
        <v>0.75</v>
      </c>
      <c r="AQ145" s="132">
        <f>BD73</f>
        <v>0.5</v>
      </c>
      <c r="AR145" s="132">
        <f>CH73</f>
        <v>0.33333333333333331</v>
      </c>
      <c r="AS145" s="132">
        <f>CZ73</f>
        <v>0.5</v>
      </c>
      <c r="AT145" s="132">
        <f>DR73</f>
        <v>0.66666666666666663</v>
      </c>
      <c r="AU145" s="132">
        <f>EJ73</f>
        <v>0.5</v>
      </c>
      <c r="AV145" s="132">
        <f>FA73</f>
        <v>0.5</v>
      </c>
    </row>
    <row r="146" spans="8:48" customFormat="1" x14ac:dyDescent="0.25">
      <c r="H146" t="s">
        <v>760</v>
      </c>
      <c r="K146" t="s">
        <v>908</v>
      </c>
      <c r="Q146" t="s">
        <v>799</v>
      </c>
      <c r="Z146" t="s">
        <v>288</v>
      </c>
      <c r="AA146">
        <v>3</v>
      </c>
    </row>
    <row r="147" spans="8:48" customFormat="1" x14ac:dyDescent="0.25">
      <c r="K147" t="s">
        <v>909</v>
      </c>
      <c r="Q147" s="6" t="s">
        <v>790</v>
      </c>
      <c r="R147" s="6" t="s">
        <v>791</v>
      </c>
      <c r="T147" s="6" t="s">
        <v>793</v>
      </c>
      <c r="U147" s="6" t="s">
        <v>792</v>
      </c>
      <c r="W147" s="6" t="s">
        <v>795</v>
      </c>
      <c r="Z147" t="s">
        <v>324</v>
      </c>
      <c r="AA147">
        <v>4</v>
      </c>
    </row>
    <row r="148" spans="8:48" customFormat="1" x14ac:dyDescent="0.25">
      <c r="Q148">
        <v>2</v>
      </c>
      <c r="R148">
        <v>4.33</v>
      </c>
      <c r="T148">
        <f>_xlfn.RANK.AVG(Q148,$Q$148:$Q$151,1)</f>
        <v>1</v>
      </c>
      <c r="U148">
        <f>_xlfn.RANK.AVG(R148,$R$148:$R$151,1)</f>
        <v>1.5</v>
      </c>
      <c r="W148" s="4">
        <f>CORREL(T148:T151,U148:U151)</f>
        <v>0.44721359549995793</v>
      </c>
    </row>
    <row r="149" spans="8:48" customFormat="1" ht="21.6" x14ac:dyDescent="0.4">
      <c r="Q149">
        <v>3</v>
      </c>
      <c r="R149">
        <v>5</v>
      </c>
      <c r="T149">
        <f>_xlfn.RANK.AVG(Q149,$Q$148:$Q$151,1)</f>
        <v>2</v>
      </c>
      <c r="U149">
        <f>_xlfn.RANK.AVG(R149,$R$148:$R$151,1)</f>
        <v>3.5</v>
      </c>
      <c r="AO149" s="107" t="s">
        <v>925</v>
      </c>
      <c r="AQ149" s="6" t="s">
        <v>898</v>
      </c>
      <c r="AR149" s="6" t="s">
        <v>899</v>
      </c>
      <c r="AS149" s="6" t="s">
        <v>900</v>
      </c>
      <c r="AT149" s="6" t="s">
        <v>901</v>
      </c>
      <c r="AU149" s="6" t="s">
        <v>902</v>
      </c>
      <c r="AV149" s="6" t="s">
        <v>903</v>
      </c>
    </row>
    <row r="150" spans="8:48" customFormat="1" x14ac:dyDescent="0.25">
      <c r="Q150">
        <v>4</v>
      </c>
      <c r="R150">
        <v>4.33</v>
      </c>
      <c r="T150">
        <f>_xlfn.RANK.AVG(Q150,$Q$148:$Q$151,1)</f>
        <v>3</v>
      </c>
      <c r="U150">
        <f>_xlfn.RANK.AVG(R150,$R$148:$R$151,1)</f>
        <v>1.5</v>
      </c>
      <c r="AP150" s="6" t="s">
        <v>466</v>
      </c>
      <c r="AQ150" s="132">
        <f>AP140</f>
        <v>0.5</v>
      </c>
      <c r="AR150" s="132">
        <f>AP141</f>
        <v>0.33333333333333331</v>
      </c>
      <c r="AS150" s="132">
        <f>AP142</f>
        <v>0.55555555555555558</v>
      </c>
      <c r="AT150" s="132">
        <f>AP143</f>
        <v>0.53333333333333333</v>
      </c>
      <c r="AU150" s="132">
        <f>AP144</f>
        <v>0.375</v>
      </c>
      <c r="AV150" s="132">
        <f>AP145</f>
        <v>0.75</v>
      </c>
    </row>
    <row r="151" spans="8:48" customFormat="1" x14ac:dyDescent="0.25">
      <c r="Q151">
        <v>5</v>
      </c>
      <c r="R151">
        <v>5</v>
      </c>
      <c r="T151">
        <f>_xlfn.RANK.AVG(Q151,$Q$148:$Q$151,1)</f>
        <v>4</v>
      </c>
      <c r="U151">
        <f>_xlfn.RANK.AVG(R151,$R$148:$R$151,1)</f>
        <v>3.5</v>
      </c>
      <c r="AP151" s="6" t="s">
        <v>316</v>
      </c>
      <c r="AQ151" s="132">
        <f>AQ140</f>
        <v>1</v>
      </c>
      <c r="AR151" s="132">
        <f>AQ141</f>
        <v>0.81818181818181823</v>
      </c>
      <c r="AS151" s="132">
        <f>AQ142</f>
        <v>1</v>
      </c>
      <c r="AT151" s="132">
        <f>AQ143</f>
        <v>0.625</v>
      </c>
      <c r="AU151" s="132">
        <f>AQ144</f>
        <v>1</v>
      </c>
      <c r="AV151" s="132">
        <f>AQ145</f>
        <v>0.5</v>
      </c>
    </row>
    <row r="152" spans="8:48" customFormat="1" ht="21.6" x14ac:dyDescent="0.4">
      <c r="H152" s="107" t="s">
        <v>910</v>
      </c>
      <c r="AP152" s="6" t="s">
        <v>437</v>
      </c>
      <c r="AQ152" s="132">
        <f>AR140</f>
        <v>1</v>
      </c>
      <c r="AR152" s="132">
        <f>AR141</f>
        <v>1</v>
      </c>
      <c r="AS152" s="132">
        <f>AR142</f>
        <v>0.83333333333333337</v>
      </c>
      <c r="AT152" s="132">
        <f>AR143</f>
        <v>0.7142857142857143</v>
      </c>
      <c r="AU152" s="132">
        <f>AR144</f>
        <v>0.7142857142857143</v>
      </c>
      <c r="AV152" s="132">
        <f>AR145</f>
        <v>0.33333333333333331</v>
      </c>
    </row>
    <row r="153" spans="8:48" customFormat="1" x14ac:dyDescent="0.25">
      <c r="Q153" t="s">
        <v>800</v>
      </c>
      <c r="AP153" s="6" t="s">
        <v>926</v>
      </c>
      <c r="AQ153" s="132"/>
      <c r="AR153" s="132">
        <f>AS141</f>
        <v>0.7</v>
      </c>
      <c r="AS153" s="132">
        <f>AS142</f>
        <v>0.66666666666666663</v>
      </c>
      <c r="AT153" s="132">
        <f>AS143</f>
        <v>0.77777777777777779</v>
      </c>
      <c r="AU153" s="132">
        <f>AS144</f>
        <v>0.33333333333333331</v>
      </c>
      <c r="AV153" s="132">
        <f>AS145</f>
        <v>0.5</v>
      </c>
    </row>
    <row r="154" spans="8:48" customFormat="1" x14ac:dyDescent="0.25">
      <c r="H154" s="104" t="s">
        <v>785</v>
      </c>
      <c r="I154" s="104"/>
      <c r="J154" s="104" t="s">
        <v>750</v>
      </c>
      <c r="K154" s="104" t="s">
        <v>787</v>
      </c>
      <c r="L154" s="104" t="s">
        <v>788</v>
      </c>
      <c r="Q154" s="6" t="s">
        <v>790</v>
      </c>
      <c r="R154" s="6" t="s">
        <v>791</v>
      </c>
      <c r="T154" s="6" t="s">
        <v>793</v>
      </c>
      <c r="U154" s="6" t="s">
        <v>792</v>
      </c>
      <c r="W154" s="6" t="s">
        <v>795</v>
      </c>
      <c r="AP154" s="6" t="s">
        <v>393</v>
      </c>
      <c r="AQ154" s="132">
        <f>AT140</f>
        <v>0.5</v>
      </c>
      <c r="AR154" s="132">
        <f>AT141</f>
        <v>0.88888888888888884</v>
      </c>
      <c r="AS154" s="132">
        <f>AT142</f>
        <v>1</v>
      </c>
      <c r="AT154" s="132">
        <f>AT143</f>
        <v>1</v>
      </c>
      <c r="AU154" s="132">
        <f>AT144</f>
        <v>1</v>
      </c>
      <c r="AV154" s="132">
        <f>AT145</f>
        <v>0.66666666666666663</v>
      </c>
    </row>
    <row r="155" spans="8:48" customFormat="1" x14ac:dyDescent="0.25">
      <c r="H155" t="s">
        <v>755</v>
      </c>
      <c r="I155" t="s">
        <v>322</v>
      </c>
      <c r="J155">
        <f>SUM(C62,C68,C69:C72,C77)</f>
        <v>412.5</v>
      </c>
      <c r="K155" s="4">
        <f>(J155/COUNT(C68,C62,C69:C72,C77))</f>
        <v>82.5</v>
      </c>
      <c r="L155">
        <v>50.54</v>
      </c>
      <c r="Q155">
        <v>1</v>
      </c>
      <c r="R155">
        <v>4</v>
      </c>
      <c r="T155">
        <f>_xlfn.RANK.AVG(Q155,$Q$155:$Q$158,1)</f>
        <v>1</v>
      </c>
      <c r="U155">
        <f>_xlfn.RANK.AVG(R155,$R$155:$R$158,1)</f>
        <v>1.5</v>
      </c>
      <c r="W155" s="4">
        <f>CORREL(T155:T158,U155:U158)</f>
        <v>0.21081851067789195</v>
      </c>
      <c r="AP155" s="6" t="s">
        <v>930</v>
      </c>
      <c r="AR155" s="132">
        <f>AU141</f>
        <v>0.7</v>
      </c>
      <c r="AS155" s="132">
        <f>AU142</f>
        <v>0.875</v>
      </c>
      <c r="AT155" s="132">
        <f>AU143</f>
        <v>0.5</v>
      </c>
      <c r="AU155" s="132">
        <f>AU144</f>
        <v>0.66666666666666663</v>
      </c>
      <c r="AV155" s="132">
        <f>AU145</f>
        <v>0.5</v>
      </c>
    </row>
    <row r="156" spans="8:48" customFormat="1" x14ac:dyDescent="0.25">
      <c r="I156" t="s">
        <v>757</v>
      </c>
      <c r="J156">
        <f>SUM(C63,C65,C75,C78:C79)</f>
        <v>155</v>
      </c>
      <c r="K156" s="4">
        <f>(J156/COUNT(C63,C65,C75,C78:C79))</f>
        <v>51.666666666666664</v>
      </c>
      <c r="L156">
        <v>50.84</v>
      </c>
      <c r="Q156">
        <v>2</v>
      </c>
      <c r="R156">
        <v>4.67</v>
      </c>
      <c r="T156">
        <f>_xlfn.RANK.AVG(Q156,$Q$155:$Q$158,1)</f>
        <v>2</v>
      </c>
      <c r="U156">
        <f>_xlfn.RANK.AVG(R156,$R$155:$R$158,1)</f>
        <v>4</v>
      </c>
      <c r="AP156" s="6" t="s">
        <v>931</v>
      </c>
      <c r="AR156" s="132">
        <f>AV141</f>
        <v>0.76923076923076927</v>
      </c>
      <c r="AS156" s="132">
        <f>AV142</f>
        <v>0.625</v>
      </c>
      <c r="AT156" s="132">
        <f>AV143</f>
        <v>0.46666666666666667</v>
      </c>
      <c r="AU156" s="132">
        <f>AV144</f>
        <v>0.1</v>
      </c>
      <c r="AV156" s="132">
        <f>AV145</f>
        <v>0.5</v>
      </c>
    </row>
    <row r="157" spans="8:48" customFormat="1" x14ac:dyDescent="0.25">
      <c r="H157" t="s">
        <v>756</v>
      </c>
      <c r="I157" t="s">
        <v>424</v>
      </c>
      <c r="J157">
        <f>SUM(C6,C9,C14)</f>
        <v>66</v>
      </c>
      <c r="K157" s="4">
        <f>(J157/COUNT(C6,C9,C14))</f>
        <v>22</v>
      </c>
      <c r="L157">
        <v>44.07</v>
      </c>
      <c r="Q157">
        <v>3</v>
      </c>
      <c r="R157">
        <v>4</v>
      </c>
      <c r="T157">
        <f>_xlfn.RANK.AVG(Q157,$Q$155:$Q$158,1)</f>
        <v>3</v>
      </c>
      <c r="U157">
        <f>_xlfn.RANK.AVG(R157,$R$155:$R$158,1)</f>
        <v>1.5</v>
      </c>
    </row>
    <row r="158" spans="8:48" customFormat="1" x14ac:dyDescent="0.25">
      <c r="I158" t="s">
        <v>395</v>
      </c>
      <c r="J158">
        <f>SUM(C3,C5,C7,C8)</f>
        <v>88</v>
      </c>
      <c r="K158" s="4">
        <f>(J158/COUNT(C3,C5,C7,C8))</f>
        <v>22</v>
      </c>
      <c r="L158">
        <v>42.02</v>
      </c>
      <c r="Q158">
        <v>4</v>
      </c>
      <c r="R158">
        <v>4.4000000000000004</v>
      </c>
      <c r="T158">
        <f>_xlfn.RANK.AVG(Q158,$Q$155:$Q$158,1)</f>
        <v>4</v>
      </c>
      <c r="U158">
        <f>_xlfn.RANK.AVG(R158,$R$155:$R$158,1)</f>
        <v>3</v>
      </c>
    </row>
    <row r="159" spans="8:48" customFormat="1" x14ac:dyDescent="0.25">
      <c r="H159" t="s">
        <v>758</v>
      </c>
      <c r="I159" t="s">
        <v>284</v>
      </c>
      <c r="J159">
        <f>SUM(C16,C18,C29)</f>
        <v>83.5</v>
      </c>
      <c r="K159" s="4">
        <f>(J159/COUNT(C16,C18,C29))</f>
        <v>27.833333333333332</v>
      </c>
      <c r="L159">
        <v>43.435000000000002</v>
      </c>
    </row>
    <row r="160" spans="8:48" customFormat="1" x14ac:dyDescent="0.25">
      <c r="I160" t="s">
        <v>322</v>
      </c>
      <c r="J160">
        <f>SUM(C15,C17,C20:C25,C26:C28,C30)</f>
        <v>364.5</v>
      </c>
      <c r="K160" s="4">
        <f>(J160/COUNT(C15,C17,C20:C25,C26:C28,C30))</f>
        <v>33.136363636363633</v>
      </c>
      <c r="L160">
        <v>37.270000000000003</v>
      </c>
      <c r="Q160" t="s">
        <v>801</v>
      </c>
    </row>
    <row r="161" spans="8:23" customFormat="1" x14ac:dyDescent="0.25">
      <c r="H161" t="s">
        <v>603</v>
      </c>
      <c r="I161" t="s">
        <v>424</v>
      </c>
      <c r="J161">
        <f>SUM(C34,C38,C40,C41:C44,C47:C48,C53:C54)</f>
        <v>614.5</v>
      </c>
      <c r="K161" s="4">
        <f>(J161/COUNT(C34,C38,C40,C41:C44,C47:C48,C53:C54))</f>
        <v>55.863636363636367</v>
      </c>
      <c r="L161">
        <v>45.914999999999999</v>
      </c>
      <c r="Q161" s="6" t="s">
        <v>790</v>
      </c>
      <c r="R161" s="6" t="s">
        <v>791</v>
      </c>
      <c r="T161" s="6" t="s">
        <v>793</v>
      </c>
      <c r="U161" s="6" t="s">
        <v>792</v>
      </c>
      <c r="W161" s="6" t="s">
        <v>795</v>
      </c>
    </row>
    <row r="162" spans="8:23" customFormat="1" x14ac:dyDescent="0.25">
      <c r="I162" t="s">
        <v>464</v>
      </c>
      <c r="J162">
        <f>SUM(C35:C37,C39,C45:C46,C49,C57:C58)</f>
        <v>472</v>
      </c>
      <c r="K162" s="4">
        <f>(J162/COUNT(C35:C37,C39,C45:C46,C49,C57:C58))</f>
        <v>59</v>
      </c>
      <c r="L162">
        <v>49.88</v>
      </c>
      <c r="Q162">
        <v>2</v>
      </c>
      <c r="R162">
        <v>3.8</v>
      </c>
      <c r="T162">
        <f>_xlfn.RANK.AVG(Q162,$Q$162:$Q$166,1)</f>
        <v>1</v>
      </c>
      <c r="U162">
        <f>_xlfn.RANK.AVG(R162,$R$162:$R$166,1)</f>
        <v>3.5</v>
      </c>
      <c r="W162" s="4">
        <f>CORREL(T162:T166,U162:U166)</f>
        <v>0.46169025843831935</v>
      </c>
    </row>
    <row r="163" spans="8:23" customFormat="1" x14ac:dyDescent="0.25">
      <c r="Q163">
        <v>3</v>
      </c>
      <c r="R163">
        <v>3.75</v>
      </c>
      <c r="T163">
        <f>_xlfn.RANK.AVG(Q163,$Q$162:$Q$166,1)</f>
        <v>2</v>
      </c>
      <c r="U163">
        <f>_xlfn.RANK.AVG(R163,$R$162:$R$166,1)</f>
        <v>2</v>
      </c>
    </row>
    <row r="164" spans="8:23" customFormat="1" x14ac:dyDescent="0.25">
      <c r="Q164">
        <v>4</v>
      </c>
      <c r="R164">
        <v>3</v>
      </c>
      <c r="T164">
        <f>_xlfn.RANK.AVG(Q164,$Q$162:$Q$166,1)</f>
        <v>3</v>
      </c>
      <c r="U164">
        <f>_xlfn.RANK.AVG(R164,$R$162:$R$166,1)</f>
        <v>1</v>
      </c>
    </row>
    <row r="165" spans="8:23" customFormat="1" ht="21.6" x14ac:dyDescent="0.4">
      <c r="H165" s="107" t="s">
        <v>917</v>
      </c>
      <c r="Q165">
        <v>5</v>
      </c>
      <c r="R165">
        <v>3.8</v>
      </c>
      <c r="T165">
        <f>_xlfn.RANK.AVG(Q165,$Q$162:$Q$166,1)</f>
        <v>4</v>
      </c>
      <c r="U165">
        <f>_xlfn.RANK.AVG(R165,$R$162:$R$166,1)</f>
        <v>3.5</v>
      </c>
    </row>
    <row r="166" spans="8:23" customFormat="1" x14ac:dyDescent="0.25">
      <c r="Q166">
        <v>6</v>
      </c>
      <c r="R166">
        <v>4</v>
      </c>
      <c r="T166">
        <f>_xlfn.RANK.AVG(Q166,$Q$162:$Q$166,1)</f>
        <v>5</v>
      </c>
      <c r="U166">
        <f>_xlfn.RANK.AVG(R166,$R$162:$R$166,1)</f>
        <v>5</v>
      </c>
    </row>
    <row r="167" spans="8:23" customFormat="1" x14ac:dyDescent="0.25">
      <c r="H167" s="104" t="s">
        <v>762</v>
      </c>
      <c r="I167" s="104"/>
    </row>
    <row r="168" spans="8:23" customFormat="1" x14ac:dyDescent="0.25">
      <c r="H168" t="s">
        <v>317</v>
      </c>
      <c r="I168">
        <f>COUNTIF(FU3:FU80,H168)</f>
        <v>19</v>
      </c>
      <c r="Q168" s="25" t="s">
        <v>794</v>
      </c>
    </row>
    <row r="169" spans="8:23" customFormat="1" x14ac:dyDescent="0.25">
      <c r="H169" t="s">
        <v>351</v>
      </c>
      <c r="I169">
        <f>COUNTIF(FU3:FU80,H169)</f>
        <v>20</v>
      </c>
      <c r="Q169" s="6" t="s">
        <v>790</v>
      </c>
      <c r="R169" s="6" t="s">
        <v>791</v>
      </c>
      <c r="T169" s="6" t="s">
        <v>793</v>
      </c>
      <c r="U169" s="6" t="s">
        <v>792</v>
      </c>
      <c r="W169" s="6" t="s">
        <v>795</v>
      </c>
    </row>
    <row r="170" spans="8:23" customFormat="1" x14ac:dyDescent="0.25">
      <c r="H170" t="s">
        <v>335</v>
      </c>
      <c r="I170">
        <f>COUNTIF(FU3:FU80,H170)</f>
        <v>14</v>
      </c>
      <c r="Q170">
        <v>1</v>
      </c>
      <c r="R170">
        <v>3</v>
      </c>
      <c r="T170">
        <f>_xlfn.RANK.AVG(Q170,$Q$170:$Q$174,1)</f>
        <v>1</v>
      </c>
      <c r="U170">
        <f>_xlfn.RANK.AVG(R170,$R$170:$R$174,1)</f>
        <v>2</v>
      </c>
      <c r="W170" s="4">
        <f>CORREL(T170:T174,U170:U174)</f>
        <v>-0.11180339887498948</v>
      </c>
    </row>
    <row r="171" spans="8:23" customFormat="1" x14ac:dyDescent="0.25">
      <c r="Q171">
        <v>2</v>
      </c>
      <c r="R171">
        <v>5</v>
      </c>
      <c r="T171">
        <f>_xlfn.RANK.AVG(Q171,$Q$170:$Q$174,1)</f>
        <v>2</v>
      </c>
      <c r="U171">
        <f>_xlfn.RANK.AVG(R171,$R$170:$R$174,1)</f>
        <v>5</v>
      </c>
    </row>
    <row r="172" spans="8:23" customFormat="1" x14ac:dyDescent="0.25">
      <c r="Q172">
        <v>3</v>
      </c>
      <c r="R172">
        <v>3</v>
      </c>
      <c r="T172">
        <f>_xlfn.RANK.AVG(Q172,$Q$170:$Q$174,1)</f>
        <v>3</v>
      </c>
      <c r="U172">
        <f>_xlfn.RANK.AVG(R172,$R$170:$R$174,1)</f>
        <v>2</v>
      </c>
    </row>
    <row r="173" spans="8:23" customFormat="1" x14ac:dyDescent="0.25">
      <c r="Q173">
        <v>4</v>
      </c>
      <c r="R173">
        <v>3.4</v>
      </c>
      <c r="T173">
        <f>_xlfn.RANK.AVG(Q173,$Q$170:$Q$174,1)</f>
        <v>4</v>
      </c>
      <c r="U173">
        <f>_xlfn.RANK.AVG(R173,$R$170:$R$174,1)</f>
        <v>4</v>
      </c>
    </row>
    <row r="174" spans="8:23" customFormat="1" x14ac:dyDescent="0.25">
      <c r="Q174">
        <v>6</v>
      </c>
      <c r="R174">
        <v>3</v>
      </c>
      <c r="T174">
        <f>_xlfn.RANK.AVG(Q174,$Q$170:$Q$174,1)</f>
        <v>5</v>
      </c>
      <c r="U174">
        <f>_xlfn.RANK.AVG(R174,$R$170:$R$174,1)</f>
        <v>2</v>
      </c>
    </row>
    <row r="175" spans="8:23" customFormat="1" x14ac:dyDescent="0.25"/>
    <row r="176" spans="8:23" customFormat="1" x14ac:dyDescent="0.25">
      <c r="Q176" t="s">
        <v>796</v>
      </c>
    </row>
    <row r="177" spans="17:23" customFormat="1" x14ac:dyDescent="0.25">
      <c r="Q177" s="6" t="s">
        <v>790</v>
      </c>
      <c r="R177" s="6" t="s">
        <v>791</v>
      </c>
      <c r="T177" s="6" t="s">
        <v>793</v>
      </c>
      <c r="U177" s="6" t="s">
        <v>792</v>
      </c>
      <c r="W177" s="6" t="s">
        <v>795</v>
      </c>
    </row>
    <row r="178" spans="17:23" customFormat="1" x14ac:dyDescent="0.25">
      <c r="Q178">
        <v>2</v>
      </c>
      <c r="R178">
        <v>3.33</v>
      </c>
      <c r="T178">
        <f>_xlfn.RANK.AVG(Q178,$Q$178:$Q$181,1)</f>
        <v>1</v>
      </c>
      <c r="U178">
        <f>_xlfn.RANK.AVG(R178,$R$178:$R$181,1)</f>
        <v>3</v>
      </c>
      <c r="W178" s="4">
        <f>CORREL(T178:T181,U178:U181)</f>
        <v>-0.59999999999999987</v>
      </c>
    </row>
    <row r="179" spans="17:23" customFormat="1" x14ac:dyDescent="0.25">
      <c r="Q179">
        <v>3</v>
      </c>
      <c r="R179">
        <v>3.5</v>
      </c>
      <c r="T179">
        <f>_xlfn.RANK.AVG(Q179,$Q$178:$Q$181,1)</f>
        <v>2</v>
      </c>
      <c r="U179">
        <f>_xlfn.RANK.AVG(R179,$R$178:$R$181,1)</f>
        <v>4</v>
      </c>
    </row>
    <row r="180" spans="17:23" customFormat="1" x14ac:dyDescent="0.25">
      <c r="Q180">
        <v>4</v>
      </c>
      <c r="R180">
        <v>2.75</v>
      </c>
      <c r="T180">
        <f>_xlfn.RANK.AVG(Q180,$Q$178:$Q$181,1)</f>
        <v>3</v>
      </c>
      <c r="U180">
        <f>_xlfn.RANK.AVG(R180,$R$178:$R$181,1)</f>
        <v>1</v>
      </c>
    </row>
    <row r="181" spans="17:23" customFormat="1" x14ac:dyDescent="0.25">
      <c r="Q181">
        <v>5</v>
      </c>
      <c r="R181">
        <v>3</v>
      </c>
      <c r="T181">
        <f>_xlfn.RANK.AVG(Q181,$Q$178:$Q$181,1)</f>
        <v>4</v>
      </c>
      <c r="U181">
        <f>_xlfn.RANK.AVG(R181,$R$178:$R$181,1)</f>
        <v>2</v>
      </c>
    </row>
    <row r="182" spans="17:23" customFormat="1" x14ac:dyDescent="0.25"/>
    <row r="183" spans="17:23" customFormat="1" x14ac:dyDescent="0.25">
      <c r="Q183" t="s">
        <v>797</v>
      </c>
    </row>
    <row r="184" spans="17:23" customFormat="1" x14ac:dyDescent="0.25">
      <c r="Q184" s="6" t="s">
        <v>790</v>
      </c>
      <c r="R184" s="6" t="s">
        <v>791</v>
      </c>
      <c r="T184" s="6" t="s">
        <v>793</v>
      </c>
      <c r="U184" s="6" t="s">
        <v>792</v>
      </c>
      <c r="W184" s="6" t="s">
        <v>795</v>
      </c>
    </row>
    <row r="185" spans="17:23" customFormat="1" x14ac:dyDescent="0.25">
      <c r="Q185">
        <v>1</v>
      </c>
      <c r="R185">
        <v>3</v>
      </c>
      <c r="T185">
        <f>_xlfn.RANK.AVG(Q185,$Q$185:$Q$188,1)</f>
        <v>1</v>
      </c>
      <c r="U185">
        <f>_xlfn.RANK.AVG(R185,$R$185:$R$188,1)</f>
        <v>2</v>
      </c>
      <c r="W185" s="4">
        <f>CORREL(T185:T188,U185:U188)</f>
        <v>0.39999999999999991</v>
      </c>
    </row>
    <row r="186" spans="17:23" customFormat="1" x14ac:dyDescent="0.25">
      <c r="Q186">
        <v>2</v>
      </c>
      <c r="R186">
        <v>3.33</v>
      </c>
      <c r="T186">
        <f>_xlfn.RANK.AVG(Q186,$Q$185:$Q$188,1)</f>
        <v>2</v>
      </c>
      <c r="U186">
        <f>_xlfn.RANK.AVG(R186,$R$185:$R$188,1)</f>
        <v>3</v>
      </c>
    </row>
    <row r="187" spans="17:23" customFormat="1" x14ac:dyDescent="0.25">
      <c r="Q187">
        <v>3</v>
      </c>
      <c r="R187">
        <v>1</v>
      </c>
      <c r="T187">
        <f>_xlfn.RANK.AVG(Q187,$Q$185:$Q$188,1)</f>
        <v>3</v>
      </c>
      <c r="U187">
        <f>_xlfn.RANK.AVG(R187,$R$185:$R$188,1)</f>
        <v>1</v>
      </c>
    </row>
    <row r="188" spans="17:23" customFormat="1" x14ac:dyDescent="0.25">
      <c r="Q188">
        <v>4</v>
      </c>
      <c r="R188">
        <v>4.33</v>
      </c>
      <c r="T188">
        <f>_xlfn.RANK.AVG(Q188,$Q$185:$Q$188,1)</f>
        <v>4</v>
      </c>
      <c r="U188">
        <f>_xlfn.RANK.AVG(R188,$R$185:$R$188,1)</f>
        <v>4</v>
      </c>
    </row>
    <row r="189" spans="17:23" customFormat="1" x14ac:dyDescent="0.25"/>
    <row r="190" spans="17:23" customFormat="1" x14ac:dyDescent="0.25">
      <c r="Q190" t="s">
        <v>802</v>
      </c>
    </row>
    <row r="191" spans="17:23" customFormat="1" x14ac:dyDescent="0.25">
      <c r="Q191" s="6" t="s">
        <v>790</v>
      </c>
      <c r="R191" s="6" t="s">
        <v>791</v>
      </c>
      <c r="T191" s="6" t="s">
        <v>793</v>
      </c>
      <c r="U191" s="6" t="s">
        <v>792</v>
      </c>
      <c r="W191" s="6" t="s">
        <v>795</v>
      </c>
    </row>
    <row r="192" spans="17:23" customFormat="1" x14ac:dyDescent="0.25">
      <c r="Q192">
        <v>2</v>
      </c>
      <c r="R192">
        <v>4.25</v>
      </c>
      <c r="T192">
        <f>_xlfn.RANK.AVG(Q192,$Q$192:$Q$196,1)</f>
        <v>1</v>
      </c>
      <c r="U192">
        <f>_xlfn.RANK.AVG(R192,$R$192:$R$196,1)</f>
        <v>3</v>
      </c>
      <c r="W192" s="4">
        <f>CORREL(T192:T196,U192:U196)</f>
        <v>-5.1298917604257706E-2</v>
      </c>
    </row>
    <row r="193" spans="17:21" customFormat="1" x14ac:dyDescent="0.25">
      <c r="Q193">
        <v>3</v>
      </c>
      <c r="R193">
        <v>4</v>
      </c>
      <c r="T193">
        <f>_xlfn.RANK.AVG(Q193,$Q$192:$Q$196,1)</f>
        <v>2</v>
      </c>
      <c r="U193">
        <f>_xlfn.RANK.AVG(R193,$R$192:$R$196,1)</f>
        <v>1.5</v>
      </c>
    </row>
    <row r="194" spans="17:21" customFormat="1" x14ac:dyDescent="0.25">
      <c r="Q194">
        <v>4</v>
      </c>
      <c r="R194">
        <v>4.67</v>
      </c>
      <c r="T194">
        <f>_xlfn.RANK.AVG(Q194,$Q$192:$Q$196,1)</f>
        <v>3</v>
      </c>
      <c r="U194">
        <f>_xlfn.RANK.AVG(R194,$R$192:$R$196,1)</f>
        <v>5</v>
      </c>
    </row>
    <row r="195" spans="17:21" customFormat="1" x14ac:dyDescent="0.25">
      <c r="Q195">
        <v>5</v>
      </c>
      <c r="R195">
        <v>4.57</v>
      </c>
      <c r="T195">
        <f>_xlfn.RANK.AVG(Q195,$Q$192:$Q$196,1)</f>
        <v>4</v>
      </c>
      <c r="U195">
        <f>_xlfn.RANK.AVG(R195,$R$192:$R$196,1)</f>
        <v>4</v>
      </c>
    </row>
    <row r="196" spans="17:21" customFormat="1" x14ac:dyDescent="0.25">
      <c r="Q196">
        <v>6</v>
      </c>
      <c r="R196">
        <v>4</v>
      </c>
      <c r="T196">
        <f>_xlfn.RANK.AVG(Q196,$Q$192:$Q$196,1)</f>
        <v>5</v>
      </c>
      <c r="U196">
        <f>_xlfn.RANK.AVG(R196,$R$192:$R$196,1)</f>
        <v>1.5</v>
      </c>
    </row>
    <row r="197" spans="17:21" customFormat="1" x14ac:dyDescent="0.25"/>
    <row r="198" spans="17:21" customFormat="1" x14ac:dyDescent="0.25"/>
    <row r="199" spans="17:21" customFormat="1" x14ac:dyDescent="0.25">
      <c r="Q199" s="6" t="s">
        <v>804</v>
      </c>
    </row>
    <row r="200" spans="17:21" customFormat="1" x14ac:dyDescent="0.25">
      <c r="Q200" s="91">
        <v>0</v>
      </c>
      <c r="R200" t="s">
        <v>803</v>
      </c>
    </row>
    <row r="201" spans="17:21" customFormat="1" x14ac:dyDescent="0.25">
      <c r="Q201" t="s">
        <v>808</v>
      </c>
      <c r="R201" t="s">
        <v>809</v>
      </c>
    </row>
    <row r="202" spans="17:21" customFormat="1" x14ac:dyDescent="0.25">
      <c r="Q202" t="s">
        <v>805</v>
      </c>
      <c r="R202" t="s">
        <v>812</v>
      </c>
    </row>
    <row r="203" spans="17:21" customFormat="1" x14ac:dyDescent="0.25">
      <c r="Q203" t="s">
        <v>806</v>
      </c>
      <c r="R203" t="s">
        <v>811</v>
      </c>
    </row>
    <row r="204" spans="17:21" customFormat="1" x14ac:dyDescent="0.25">
      <c r="Q204" t="s">
        <v>807</v>
      </c>
      <c r="R204" t="s">
        <v>810</v>
      </c>
    </row>
    <row r="205" spans="17:21" customFormat="1" x14ac:dyDescent="0.25">
      <c r="Q205" s="91">
        <v>1</v>
      </c>
      <c r="R205" t="s">
        <v>816</v>
      </c>
    </row>
    <row r="206" spans="17:21" customFormat="1" x14ac:dyDescent="0.25">
      <c r="Q206" s="90" t="s">
        <v>813</v>
      </c>
      <c r="R206" t="s">
        <v>815</v>
      </c>
    </row>
    <row r="207" spans="17:21" customFormat="1" x14ac:dyDescent="0.25">
      <c r="Q207" s="90" t="s">
        <v>621</v>
      </c>
      <c r="R207" t="s">
        <v>814</v>
      </c>
    </row>
    <row r="208" spans="17:21" customFormat="1" x14ac:dyDescent="0.25"/>
    <row r="209" spans="17:155" customFormat="1" x14ac:dyDescent="0.25"/>
    <row r="210" spans="17:155" customFormat="1" x14ac:dyDescent="0.25">
      <c r="Q210" t="s">
        <v>913</v>
      </c>
    </row>
    <row r="211" spans="17:155" customFormat="1" x14ac:dyDescent="0.25">
      <c r="Q211" s="133" t="s">
        <v>853</v>
      </c>
      <c r="R211" s="133"/>
      <c r="S211" s="133"/>
      <c r="T211" s="133"/>
    </row>
    <row r="212" spans="17:155" customFormat="1" x14ac:dyDescent="0.25">
      <c r="Q212" s="6" t="s">
        <v>859</v>
      </c>
      <c r="R212" s="6" t="s">
        <v>858</v>
      </c>
      <c r="S212" s="6" t="s">
        <v>859</v>
      </c>
      <c r="T212" s="6" t="s">
        <v>858</v>
      </c>
    </row>
    <row r="213" spans="17:155" customFormat="1" x14ac:dyDescent="0.25">
      <c r="Q213" s="102" t="s">
        <v>854</v>
      </c>
      <c r="S213" s="102" t="s">
        <v>437</v>
      </c>
      <c r="T213" s="4"/>
    </row>
    <row r="214" spans="17:155" customFormat="1" x14ac:dyDescent="0.25">
      <c r="Q214" t="s">
        <v>855</v>
      </c>
      <c r="R214" s="4">
        <f>W140</f>
        <v>0.29999999999999993</v>
      </c>
      <c r="S214" t="s">
        <v>855</v>
      </c>
      <c r="T214" s="4">
        <f>W170</f>
        <v>-0.11180339887498948</v>
      </c>
    </row>
    <row r="215" spans="17:155" customFormat="1" x14ac:dyDescent="0.25">
      <c r="Q215" t="s">
        <v>856</v>
      </c>
      <c r="R215" s="4">
        <f>W148</f>
        <v>0.44721359549995793</v>
      </c>
      <c r="S215" t="s">
        <v>856</v>
      </c>
      <c r="T215" s="4">
        <f>W178</f>
        <v>-0.59999999999999987</v>
      </c>
    </row>
    <row r="216" spans="17:155" customFormat="1" x14ac:dyDescent="0.25">
      <c r="Q216" t="s">
        <v>857</v>
      </c>
      <c r="R216" s="4">
        <f>W155</f>
        <v>0.21081851067789195</v>
      </c>
      <c r="S216" t="s">
        <v>857</v>
      </c>
      <c r="T216" s="4">
        <f>W185</f>
        <v>0.39999999999999991</v>
      </c>
    </row>
    <row r="217" spans="17:155" customFormat="1" x14ac:dyDescent="0.25">
      <c r="Q217" t="s">
        <v>603</v>
      </c>
      <c r="R217" s="4">
        <f>W162</f>
        <v>0.46169025843831935</v>
      </c>
      <c r="S217" t="s">
        <v>603</v>
      </c>
      <c r="T217" s="4">
        <f>W192</f>
        <v>-5.1298917604257706E-2</v>
      </c>
    </row>
    <row r="218" spans="17:155" customFormat="1" x14ac:dyDescent="0.25">
      <c r="Q218" s="102" t="s">
        <v>350</v>
      </c>
      <c r="R218" s="4"/>
    </row>
    <row r="219" spans="17:155" customFormat="1" x14ac:dyDescent="0.25">
      <c r="Q219" t="s">
        <v>855</v>
      </c>
      <c r="R219" s="4">
        <f>W110</f>
        <v>-0.56428809364683474</v>
      </c>
    </row>
    <row r="220" spans="17:155" customFormat="1" x14ac:dyDescent="0.25">
      <c r="Q220" t="s">
        <v>856</v>
      </c>
      <c r="R220" s="4">
        <f>W118</f>
        <v>0</v>
      </c>
      <c r="AH220" s="97"/>
      <c r="AI220" s="97"/>
      <c r="BB220" s="97"/>
      <c r="CF220" s="97"/>
      <c r="CX220" s="97"/>
      <c r="DP220" s="97"/>
      <c r="EH220" s="97"/>
      <c r="EY220" s="97"/>
    </row>
    <row r="221" spans="17:155" customFormat="1" x14ac:dyDescent="0.25">
      <c r="Q221" t="s">
        <v>857</v>
      </c>
      <c r="R221" s="4">
        <f>W125</f>
        <v>0.5</v>
      </c>
      <c r="AH221" s="97"/>
      <c r="AI221" s="97"/>
      <c r="BB221" s="97"/>
      <c r="CF221" s="97"/>
      <c r="CX221" s="97"/>
      <c r="DP221" s="97"/>
      <c r="EH221" s="97"/>
      <c r="EY221" s="97"/>
    </row>
    <row r="222" spans="17:155" customFormat="1" x14ac:dyDescent="0.25">
      <c r="Q222" t="s">
        <v>603</v>
      </c>
      <c r="R222" s="4">
        <f>W131</f>
        <v>0.69999999999999984</v>
      </c>
      <c r="AH222" s="97"/>
      <c r="AI222" s="97"/>
      <c r="BB222" s="97"/>
      <c r="CF222" s="97"/>
      <c r="CX222" s="97"/>
      <c r="DP222" s="97"/>
      <c r="EH222" s="97"/>
      <c r="EY222" s="97"/>
    </row>
  </sheetData>
  <sortState xmlns:xlrd2="http://schemas.microsoft.com/office/spreadsheetml/2017/richdata2" ref="A1:GY81">
    <sortCondition ref="B1:B81"/>
  </sortState>
  <mergeCells count="7">
    <mergeCell ref="Q211:T211"/>
    <mergeCell ref="B107:D107"/>
    <mergeCell ref="F107:G107"/>
    <mergeCell ref="I107:J107"/>
    <mergeCell ref="Z107:AD107"/>
    <mergeCell ref="Z109:AA109"/>
    <mergeCell ref="Z116:AA116"/>
  </mergeCells>
  <phoneticPr fontId="2" type="noConversion"/>
  <conditionalFormatting sqref="F2:N20">
    <cfRule type="containsText" dxfId="1" priority="1" operator="containsText" text="ausgewählt">
      <formula>NOT(ISERROR(SEARCH("ausgewählt",F2)))</formula>
    </cfRule>
  </conditionalFormatting>
  <conditionalFormatting sqref="F23:N67 F69:N80">
    <cfRule type="containsText" dxfId="0" priority="2" operator="containsText" text="ausgewählt">
      <formula>NOT(ISERROR(SEARCH("ausgewählt",F23)))</formula>
    </cfRule>
  </conditionalFormatting>
  <pageMargins left="0.5" right="0.5" top="1" bottom="1" header="0.5" footer="0.5"/>
  <pageSetup paperSize="9" orientation="portrait" useFirstPageNumber="1" r:id="rId1"/>
  <headerFooter>
    <oddHeader>&amp;C&amp;"Times New Roman,Regular"&amp;12&amp;A</oddHeader>
    <oddFooter>&amp;C&amp;"Times New Roman,Regular"&amp;12Page &amp;P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475C8-8709-417E-AA14-C08563E07D52}">
  <dimension ref="A2:AC37"/>
  <sheetViews>
    <sheetView zoomScale="70" zoomScaleNormal="70" workbookViewId="0">
      <selection activeCell="B8" sqref="B8"/>
    </sheetView>
  </sheetViews>
  <sheetFormatPr baseColWidth="10" defaultRowHeight="13.2" x14ac:dyDescent="0.25"/>
  <cols>
    <col min="1" max="1" width="16" customWidth="1"/>
    <col min="2" max="2" width="18.33203125" customWidth="1"/>
    <col min="7" max="7" width="16.33203125" bestFit="1" customWidth="1"/>
    <col min="12" max="12" width="16.33203125" bestFit="1" customWidth="1"/>
    <col min="17" max="17" width="16.33203125" bestFit="1" customWidth="1"/>
    <col min="22" max="22" width="16.33203125" bestFit="1" customWidth="1"/>
  </cols>
  <sheetData>
    <row r="2" spans="1:29" x14ac:dyDescent="0.25">
      <c r="A2" s="134" t="s">
        <v>724</v>
      </c>
      <c r="B2" s="134"/>
      <c r="AA2" s="6" t="s">
        <v>922</v>
      </c>
      <c r="AB2" s="6"/>
      <c r="AC2" s="6"/>
    </row>
    <row r="3" spans="1:29" x14ac:dyDescent="0.25">
      <c r="A3" t="s">
        <v>770</v>
      </c>
      <c r="F3" t="s">
        <v>771</v>
      </c>
      <c r="K3" t="s">
        <v>772</v>
      </c>
      <c r="P3" t="s">
        <v>773</v>
      </c>
      <c r="U3" t="s">
        <v>774</v>
      </c>
      <c r="Z3" s="6" t="s">
        <v>921</v>
      </c>
      <c r="AA3" s="6" t="s">
        <v>923</v>
      </c>
      <c r="AB3" s="6"/>
      <c r="AC3" s="6"/>
    </row>
    <row r="4" spans="1:29" x14ac:dyDescent="0.25">
      <c r="B4" s="37" t="s">
        <v>775</v>
      </c>
      <c r="C4" s="36">
        <v>955</v>
      </c>
      <c r="D4" s="37" t="s">
        <v>766</v>
      </c>
      <c r="G4" s="37" t="s">
        <v>775</v>
      </c>
      <c r="H4" s="36">
        <v>934</v>
      </c>
      <c r="I4" s="37" t="s">
        <v>766</v>
      </c>
      <c r="L4" s="37" t="s">
        <v>775</v>
      </c>
      <c r="M4" s="36">
        <v>984</v>
      </c>
      <c r="N4" s="37" t="s">
        <v>766</v>
      </c>
      <c r="Q4" s="37" t="s">
        <v>775</v>
      </c>
      <c r="R4" s="36">
        <v>747</v>
      </c>
      <c r="S4" s="37" t="s">
        <v>766</v>
      </c>
      <c r="V4" s="37" t="s">
        <v>775</v>
      </c>
      <c r="W4" s="36">
        <v>27</v>
      </c>
      <c r="X4" s="37" t="s">
        <v>766</v>
      </c>
      <c r="Z4">
        <f>SUM(C4,H4,M4,R4,W4)/5</f>
        <v>729.4</v>
      </c>
      <c r="AA4" s="103">
        <f>Z4/X5</f>
        <v>0.45417185554171852</v>
      </c>
    </row>
    <row r="5" spans="1:29" x14ac:dyDescent="0.25">
      <c r="B5" s="37" t="s">
        <v>776</v>
      </c>
      <c r="C5" s="36">
        <v>651</v>
      </c>
      <c r="D5" s="36">
        <f>SUM(C4:C5)</f>
        <v>1606</v>
      </c>
      <c r="G5" s="37" t="s">
        <v>776</v>
      </c>
      <c r="H5" s="36">
        <v>672</v>
      </c>
      <c r="I5" s="36">
        <f>SUM(H4:H5)</f>
        <v>1606</v>
      </c>
      <c r="L5" s="37" t="s">
        <v>776</v>
      </c>
      <c r="M5" s="36">
        <v>622</v>
      </c>
      <c r="N5" s="36">
        <f>SUM(M4:M5)</f>
        <v>1606</v>
      </c>
      <c r="Q5" s="37" t="s">
        <v>776</v>
      </c>
      <c r="R5" s="36">
        <v>859</v>
      </c>
      <c r="S5" s="36">
        <f>SUM(R4:R5)</f>
        <v>1606</v>
      </c>
      <c r="V5" s="37" t="s">
        <v>776</v>
      </c>
      <c r="W5" s="36">
        <v>1579</v>
      </c>
      <c r="X5" s="36">
        <f>SUM(W4:W5)</f>
        <v>1606</v>
      </c>
    </row>
    <row r="6" spans="1:29" x14ac:dyDescent="0.25">
      <c r="B6" s="37" t="s">
        <v>767</v>
      </c>
      <c r="C6" s="36">
        <v>45.555999999999997</v>
      </c>
      <c r="D6" s="37" t="s">
        <v>769</v>
      </c>
      <c r="G6" s="37" t="s">
        <v>767</v>
      </c>
      <c r="H6" s="36">
        <v>66.541799999999995</v>
      </c>
      <c r="I6" s="37" t="s">
        <v>769</v>
      </c>
      <c r="L6" s="37" t="s">
        <v>767</v>
      </c>
      <c r="M6" s="36">
        <v>53.339399999999998</v>
      </c>
      <c r="N6" s="37" t="s">
        <v>769</v>
      </c>
      <c r="Q6" s="37" t="s">
        <v>767</v>
      </c>
      <c r="R6" s="36">
        <v>54.966500000000003</v>
      </c>
      <c r="S6" s="37" t="s">
        <v>769</v>
      </c>
      <c r="V6" s="37" t="s">
        <v>767</v>
      </c>
      <c r="W6" s="36">
        <v>4.7779999999999996</v>
      </c>
      <c r="X6" s="37" t="s">
        <v>769</v>
      </c>
    </row>
    <row r="7" spans="1:29" x14ac:dyDescent="0.25">
      <c r="B7" s="37" t="s">
        <v>924</v>
      </c>
      <c r="C7" s="36">
        <v>49</v>
      </c>
      <c r="D7" s="37" t="s">
        <v>769</v>
      </c>
      <c r="G7" s="37" t="s">
        <v>768</v>
      </c>
      <c r="H7" s="36">
        <v>69</v>
      </c>
      <c r="I7" s="37" t="s">
        <v>769</v>
      </c>
      <c r="L7" s="37" t="s">
        <v>768</v>
      </c>
      <c r="M7" s="36">
        <v>47</v>
      </c>
      <c r="N7" s="37" t="s">
        <v>769</v>
      </c>
      <c r="Q7" s="37" t="s">
        <v>768</v>
      </c>
      <c r="R7" s="36">
        <v>56</v>
      </c>
      <c r="S7" s="37" t="s">
        <v>769</v>
      </c>
      <c r="V7" s="37" t="s">
        <v>768</v>
      </c>
      <c r="W7" s="36">
        <v>6</v>
      </c>
      <c r="X7" s="37" t="s">
        <v>769</v>
      </c>
    </row>
    <row r="9" spans="1:29" x14ac:dyDescent="0.25">
      <c r="A9" s="134" t="s">
        <v>763</v>
      </c>
      <c r="B9" s="134"/>
    </row>
    <row r="10" spans="1:29" x14ac:dyDescent="0.25">
      <c r="A10" t="s">
        <v>770</v>
      </c>
      <c r="F10" t="s">
        <v>771</v>
      </c>
      <c r="K10" t="s">
        <v>772</v>
      </c>
      <c r="P10" t="s">
        <v>773</v>
      </c>
      <c r="U10" t="s">
        <v>774</v>
      </c>
    </row>
    <row r="11" spans="1:29" x14ac:dyDescent="0.25">
      <c r="B11" s="37" t="s">
        <v>775</v>
      </c>
      <c r="C11" s="36">
        <v>315</v>
      </c>
      <c r="D11" s="37" t="s">
        <v>766</v>
      </c>
      <c r="G11" s="37" t="s">
        <v>775</v>
      </c>
      <c r="H11" s="36">
        <v>121</v>
      </c>
      <c r="I11" s="37" t="s">
        <v>766</v>
      </c>
      <c r="L11" s="37" t="s">
        <v>775</v>
      </c>
      <c r="M11" s="36">
        <v>22</v>
      </c>
      <c r="N11" s="37" t="s">
        <v>766</v>
      </c>
      <c r="Q11" s="37" t="s">
        <v>775</v>
      </c>
      <c r="R11" s="36">
        <v>22</v>
      </c>
      <c r="S11" s="37" t="s">
        <v>766</v>
      </c>
      <c r="V11" s="37" t="s">
        <v>775</v>
      </c>
      <c r="W11" s="36">
        <v>22</v>
      </c>
      <c r="X11" s="37" t="s">
        <v>766</v>
      </c>
      <c r="Z11">
        <f>SUM(C11,H11,M11,R11,W11)/5</f>
        <v>100.4</v>
      </c>
      <c r="AA11" s="103">
        <f>Z11/X12</f>
        <v>6.2515566625155672E-2</v>
      </c>
    </row>
    <row r="12" spans="1:29" x14ac:dyDescent="0.25">
      <c r="B12" s="37" t="s">
        <v>776</v>
      </c>
      <c r="C12" s="36">
        <v>1291</v>
      </c>
      <c r="D12" s="36">
        <f>SUM(C11:C12)</f>
        <v>1606</v>
      </c>
      <c r="G12" s="37" t="s">
        <v>776</v>
      </c>
      <c r="H12" s="36">
        <v>1485</v>
      </c>
      <c r="I12" s="36">
        <f>SUM(H11:H12)</f>
        <v>1606</v>
      </c>
      <c r="L12" s="37" t="s">
        <v>776</v>
      </c>
      <c r="M12" s="36">
        <v>1584</v>
      </c>
      <c r="N12" s="36">
        <f>SUM(M11:M12)</f>
        <v>1606</v>
      </c>
      <c r="Q12" s="37" t="s">
        <v>776</v>
      </c>
      <c r="R12" s="36">
        <v>1584</v>
      </c>
      <c r="S12" s="36">
        <f>SUM(R11:R12)</f>
        <v>1606</v>
      </c>
      <c r="V12" s="37" t="s">
        <v>776</v>
      </c>
      <c r="W12" s="36">
        <v>1584</v>
      </c>
      <c r="X12" s="36">
        <f>SUM(W11:W12)</f>
        <v>1606</v>
      </c>
    </row>
    <row r="13" spans="1:29" x14ac:dyDescent="0.25">
      <c r="B13" s="37" t="s">
        <v>767</v>
      </c>
      <c r="C13" s="36">
        <v>71.765100000000004</v>
      </c>
      <c r="D13" s="37" t="s">
        <v>769</v>
      </c>
      <c r="G13" s="37" t="s">
        <v>767</v>
      </c>
      <c r="H13" s="36">
        <v>93.950400000000002</v>
      </c>
      <c r="I13" s="37" t="s">
        <v>769</v>
      </c>
      <c r="L13" s="37" t="s">
        <v>767</v>
      </c>
      <c r="M13" s="36">
        <v>4.2727000000000004</v>
      </c>
      <c r="N13" s="37" t="s">
        <v>769</v>
      </c>
      <c r="Q13" s="37" t="s">
        <v>767</v>
      </c>
      <c r="R13" s="36">
        <v>4.2727000000000004</v>
      </c>
      <c r="S13" s="37" t="s">
        <v>769</v>
      </c>
      <c r="V13" s="37" t="s">
        <v>767</v>
      </c>
      <c r="W13" s="36">
        <v>4.2727000000000004</v>
      </c>
      <c r="X13" s="37" t="s">
        <v>769</v>
      </c>
    </row>
    <row r="14" spans="1:29" x14ac:dyDescent="0.25">
      <c r="B14" s="37" t="s">
        <v>768</v>
      </c>
      <c r="C14" s="36">
        <v>73</v>
      </c>
      <c r="D14" s="37" t="s">
        <v>769</v>
      </c>
      <c r="G14" s="37" t="s">
        <v>768</v>
      </c>
      <c r="H14" s="36">
        <v>113</v>
      </c>
      <c r="I14" s="37" t="s">
        <v>769</v>
      </c>
      <c r="L14" s="37" t="s">
        <v>768</v>
      </c>
      <c r="M14" s="36">
        <v>5</v>
      </c>
      <c r="N14" s="37" t="s">
        <v>769</v>
      </c>
      <c r="Q14" s="37" t="s">
        <v>768</v>
      </c>
      <c r="R14" s="36">
        <v>5</v>
      </c>
      <c r="S14" s="37" t="s">
        <v>769</v>
      </c>
      <c r="V14" s="37" t="s">
        <v>768</v>
      </c>
      <c r="W14" s="36">
        <v>5</v>
      </c>
      <c r="X14" s="37" t="s">
        <v>769</v>
      </c>
    </row>
    <row r="16" spans="1:29" x14ac:dyDescent="0.25">
      <c r="A16" s="134" t="s">
        <v>764</v>
      </c>
      <c r="B16" s="134"/>
    </row>
    <row r="17" spans="1:27" x14ac:dyDescent="0.25">
      <c r="A17" t="s">
        <v>770</v>
      </c>
      <c r="F17" t="s">
        <v>771</v>
      </c>
      <c r="K17" t="s">
        <v>772</v>
      </c>
      <c r="P17" t="s">
        <v>773</v>
      </c>
      <c r="U17" t="s">
        <v>774</v>
      </c>
    </row>
    <row r="18" spans="1:27" x14ac:dyDescent="0.25">
      <c r="B18" s="37" t="s">
        <v>775</v>
      </c>
      <c r="C18" s="36">
        <v>940</v>
      </c>
      <c r="D18" s="37" t="s">
        <v>766</v>
      </c>
      <c r="G18" s="37" t="s">
        <v>775</v>
      </c>
      <c r="H18" s="36">
        <v>934</v>
      </c>
      <c r="I18" s="37" t="s">
        <v>766</v>
      </c>
      <c r="L18" s="37" t="s">
        <v>775</v>
      </c>
      <c r="M18" s="36">
        <v>984</v>
      </c>
      <c r="N18" s="37" t="s">
        <v>766</v>
      </c>
      <c r="Q18" s="37" t="s">
        <v>775</v>
      </c>
      <c r="R18" s="36">
        <v>747</v>
      </c>
      <c r="S18" s="37" t="s">
        <v>766</v>
      </c>
      <c r="V18" s="37" t="s">
        <v>775</v>
      </c>
      <c r="W18" s="36">
        <v>16</v>
      </c>
      <c r="X18" s="37" t="s">
        <v>766</v>
      </c>
      <c r="Z18">
        <f>SUM(C18,H18,M18,R18,W18)/5</f>
        <v>724.2</v>
      </c>
      <c r="AA18" s="103">
        <f>Z18/X19</f>
        <v>0.45093399750933999</v>
      </c>
    </row>
    <row r="19" spans="1:27" x14ac:dyDescent="0.25">
      <c r="B19" s="37" t="s">
        <v>776</v>
      </c>
      <c r="C19" s="36">
        <v>666</v>
      </c>
      <c r="D19" s="36">
        <f>SUM(C18:C19)</f>
        <v>1606</v>
      </c>
      <c r="G19" s="37" t="s">
        <v>776</v>
      </c>
      <c r="H19" s="36">
        <v>672</v>
      </c>
      <c r="I19" s="36">
        <f>SUM(H18:H19)</f>
        <v>1606</v>
      </c>
      <c r="L19" s="37" t="s">
        <v>776</v>
      </c>
      <c r="M19" s="36">
        <v>622</v>
      </c>
      <c r="N19" s="36">
        <f>SUM(M18:M19)</f>
        <v>1606</v>
      </c>
      <c r="Q19" s="37" t="s">
        <v>776</v>
      </c>
      <c r="R19" s="36">
        <v>859</v>
      </c>
      <c r="S19" s="36">
        <f>SUM(R18:R19)</f>
        <v>1606</v>
      </c>
      <c r="V19" s="37" t="s">
        <v>776</v>
      </c>
      <c r="W19" s="36">
        <v>1590</v>
      </c>
      <c r="X19" s="36">
        <f>SUM(W18:W19)</f>
        <v>1606</v>
      </c>
    </row>
    <row r="20" spans="1:27" x14ac:dyDescent="0.25">
      <c r="B20" s="37" t="s">
        <v>767</v>
      </c>
      <c r="C20" s="36">
        <v>46.469099999999997</v>
      </c>
      <c r="D20" s="37" t="s">
        <v>769</v>
      </c>
      <c r="G20" s="37" t="s">
        <v>767</v>
      </c>
      <c r="H20" s="36">
        <v>67.432500000000005</v>
      </c>
      <c r="I20" s="37" t="s">
        <v>769</v>
      </c>
      <c r="L20" s="37" t="s">
        <v>767</v>
      </c>
      <c r="M20" s="36">
        <v>53.1372</v>
      </c>
      <c r="N20" s="37" t="s">
        <v>769</v>
      </c>
      <c r="Q20" s="37" t="s">
        <v>767</v>
      </c>
      <c r="R20" s="36">
        <v>55.179400000000001</v>
      </c>
      <c r="S20" s="37" t="s">
        <v>769</v>
      </c>
      <c r="V20" s="37" t="s">
        <v>767</v>
      </c>
      <c r="W20" s="36">
        <v>3.9375</v>
      </c>
      <c r="X20" s="37" t="s">
        <v>769</v>
      </c>
    </row>
    <row r="21" spans="1:27" x14ac:dyDescent="0.25">
      <c r="B21" s="37" t="s">
        <v>768</v>
      </c>
      <c r="C21" s="36">
        <v>50</v>
      </c>
      <c r="D21" s="37" t="s">
        <v>769</v>
      </c>
      <c r="G21" s="37" t="s">
        <v>768</v>
      </c>
      <c r="H21" s="36">
        <v>69</v>
      </c>
      <c r="I21" s="37" t="s">
        <v>769</v>
      </c>
      <c r="L21" s="37" t="s">
        <v>768</v>
      </c>
      <c r="M21" s="36">
        <v>46</v>
      </c>
      <c r="N21" s="37" t="s">
        <v>769</v>
      </c>
      <c r="Q21" s="37" t="s">
        <v>768</v>
      </c>
      <c r="R21" s="36">
        <v>56</v>
      </c>
      <c r="S21" s="37" t="s">
        <v>769</v>
      </c>
      <c r="V21" s="37" t="s">
        <v>768</v>
      </c>
      <c r="W21" s="36">
        <v>4</v>
      </c>
      <c r="X21" s="37" t="s">
        <v>769</v>
      </c>
    </row>
    <row r="23" spans="1:27" x14ac:dyDescent="0.25">
      <c r="A23" s="134" t="s">
        <v>765</v>
      </c>
      <c r="B23" s="134"/>
    </row>
    <row r="24" spans="1:27" x14ac:dyDescent="0.25">
      <c r="A24" t="s">
        <v>770</v>
      </c>
      <c r="F24" t="s">
        <v>771</v>
      </c>
      <c r="K24" t="s">
        <v>772</v>
      </c>
      <c r="P24" t="s">
        <v>773</v>
      </c>
      <c r="U24" t="s">
        <v>774</v>
      </c>
    </row>
    <row r="25" spans="1:27" x14ac:dyDescent="0.25">
      <c r="B25" s="37" t="s">
        <v>775</v>
      </c>
      <c r="C25" s="36">
        <v>847</v>
      </c>
      <c r="D25" s="37" t="s">
        <v>766</v>
      </c>
      <c r="G25" s="37" t="s">
        <v>775</v>
      </c>
      <c r="H25" s="36">
        <v>935</v>
      </c>
      <c r="I25" s="37" t="s">
        <v>766</v>
      </c>
      <c r="L25" s="37" t="s">
        <v>775</v>
      </c>
      <c r="M25" s="36">
        <v>731</v>
      </c>
      <c r="N25" s="37" t="s">
        <v>766</v>
      </c>
      <c r="Q25" s="37" t="s">
        <v>775</v>
      </c>
      <c r="R25" s="36">
        <v>600</v>
      </c>
      <c r="S25" s="37" t="s">
        <v>766</v>
      </c>
      <c r="V25" s="37" t="s">
        <v>775</v>
      </c>
      <c r="W25" s="36">
        <v>9</v>
      </c>
      <c r="X25" s="37" t="s">
        <v>766</v>
      </c>
      <c r="Z25">
        <f>SUM(C25,H25,M25,R25,W25)/5</f>
        <v>624.4</v>
      </c>
      <c r="AA25" s="103">
        <f>Z25/X26</f>
        <v>0.38879202988792028</v>
      </c>
    </row>
    <row r="26" spans="1:27" x14ac:dyDescent="0.25">
      <c r="B26" s="37" t="s">
        <v>776</v>
      </c>
      <c r="C26" s="36">
        <v>759</v>
      </c>
      <c r="D26" s="36">
        <f>SUM(C25:C26)</f>
        <v>1606</v>
      </c>
      <c r="G26" s="37" t="s">
        <v>776</v>
      </c>
      <c r="H26" s="36">
        <v>671</v>
      </c>
      <c r="I26" s="36">
        <f>SUM(H25:H26)</f>
        <v>1606</v>
      </c>
      <c r="L26" s="37" t="s">
        <v>776</v>
      </c>
      <c r="M26" s="36">
        <v>875</v>
      </c>
      <c r="N26" s="36">
        <f>SUM(M25:M26)</f>
        <v>1606</v>
      </c>
      <c r="Q26" s="37" t="s">
        <v>776</v>
      </c>
      <c r="R26" s="36">
        <v>1006</v>
      </c>
      <c r="S26" s="36">
        <f>SUM(R25:R26)</f>
        <v>1606</v>
      </c>
      <c r="V26" s="37" t="s">
        <v>776</v>
      </c>
      <c r="W26" s="36">
        <v>1597</v>
      </c>
      <c r="X26" s="36">
        <f>SUM(W25:W26)</f>
        <v>1606</v>
      </c>
    </row>
    <row r="27" spans="1:27" x14ac:dyDescent="0.25">
      <c r="B27" s="37" t="s">
        <v>767</v>
      </c>
      <c r="C27" s="36">
        <v>62.52</v>
      </c>
      <c r="D27" s="37" t="s">
        <v>769</v>
      </c>
      <c r="G27" s="37" t="s">
        <v>767</v>
      </c>
      <c r="H27" s="36">
        <v>66.239999999999995</v>
      </c>
      <c r="I27" s="37" t="s">
        <v>769</v>
      </c>
      <c r="L27" s="37" t="s">
        <v>767</v>
      </c>
      <c r="M27" s="36">
        <v>76.108099999999993</v>
      </c>
      <c r="N27" s="37" t="s">
        <v>769</v>
      </c>
      <c r="Q27" s="37" t="s">
        <v>767</v>
      </c>
      <c r="R27" s="36">
        <v>66.555000000000007</v>
      </c>
      <c r="S27" s="37" t="s">
        <v>769</v>
      </c>
      <c r="V27" s="37" t="s">
        <v>767</v>
      </c>
      <c r="W27" s="36">
        <v>3.6659999999999999</v>
      </c>
      <c r="X27" s="37" t="s">
        <v>769</v>
      </c>
    </row>
    <row r="28" spans="1:27" x14ac:dyDescent="0.25">
      <c r="B28" s="37" t="s">
        <v>768</v>
      </c>
      <c r="C28" s="36">
        <v>62</v>
      </c>
      <c r="D28" s="37" t="s">
        <v>769</v>
      </c>
      <c r="G28" s="37" t="s">
        <v>768</v>
      </c>
      <c r="H28" s="36">
        <v>68</v>
      </c>
      <c r="I28" s="37" t="s">
        <v>769</v>
      </c>
      <c r="L28" s="37" t="s">
        <v>768</v>
      </c>
      <c r="M28" s="36">
        <v>82</v>
      </c>
      <c r="N28" s="37" t="s">
        <v>769</v>
      </c>
      <c r="Q28" s="37" t="s">
        <v>768</v>
      </c>
      <c r="R28" s="36">
        <v>59</v>
      </c>
      <c r="S28" s="37" t="s">
        <v>769</v>
      </c>
      <c r="V28" s="37" t="s">
        <v>768</v>
      </c>
      <c r="W28" s="36">
        <v>4</v>
      </c>
      <c r="X28" s="37" t="s">
        <v>769</v>
      </c>
    </row>
    <row r="31" spans="1:27" x14ac:dyDescent="0.25">
      <c r="A31" s="134" t="s">
        <v>777</v>
      </c>
      <c r="B31" s="134"/>
    </row>
    <row r="32" spans="1:27" x14ac:dyDescent="0.25">
      <c r="A32" s="134" t="s">
        <v>778</v>
      </c>
      <c r="B32" s="134"/>
    </row>
    <row r="33" spans="1:27" x14ac:dyDescent="0.25">
      <c r="A33" t="s">
        <v>770</v>
      </c>
      <c r="F33" t="s">
        <v>771</v>
      </c>
      <c r="K33" t="s">
        <v>772</v>
      </c>
      <c r="P33" t="s">
        <v>773</v>
      </c>
      <c r="U33" t="s">
        <v>774</v>
      </c>
    </row>
    <row r="34" spans="1:27" x14ac:dyDescent="0.25">
      <c r="B34" s="37" t="s">
        <v>775</v>
      </c>
      <c r="C34" s="36">
        <v>211</v>
      </c>
      <c r="D34" s="37" t="s">
        <v>766</v>
      </c>
      <c r="G34" s="37" t="s">
        <v>775</v>
      </c>
      <c r="H34" s="36">
        <v>211</v>
      </c>
      <c r="I34" s="37" t="s">
        <v>766</v>
      </c>
      <c r="L34" s="37" t="s">
        <v>775</v>
      </c>
      <c r="M34" s="36">
        <v>211</v>
      </c>
      <c r="N34" s="37" t="s">
        <v>766</v>
      </c>
      <c r="Q34" s="37" t="s">
        <v>775</v>
      </c>
      <c r="R34" s="36">
        <v>211</v>
      </c>
      <c r="S34" s="37" t="s">
        <v>766</v>
      </c>
      <c r="V34" s="37" t="s">
        <v>775</v>
      </c>
      <c r="W34" s="36">
        <v>16</v>
      </c>
      <c r="X34" s="37" t="s">
        <v>766</v>
      </c>
      <c r="Z34">
        <f>SUM(C34,H34,M34,R34,W34)/5</f>
        <v>172</v>
      </c>
      <c r="AA34" s="103">
        <f>Z34/X35</f>
        <v>0.10709838107098381</v>
      </c>
    </row>
    <row r="35" spans="1:27" x14ac:dyDescent="0.25">
      <c r="B35" s="37" t="s">
        <v>776</v>
      </c>
      <c r="C35" s="36">
        <v>1395</v>
      </c>
      <c r="D35" s="36">
        <f>SUM(C34:C35)</f>
        <v>1606</v>
      </c>
      <c r="G35" s="37" t="s">
        <v>776</v>
      </c>
      <c r="H35" s="36">
        <v>1395</v>
      </c>
      <c r="I35" s="36">
        <f>SUM(H34:H35)</f>
        <v>1606</v>
      </c>
      <c r="L35" s="37" t="s">
        <v>776</v>
      </c>
      <c r="M35" s="36">
        <v>1395</v>
      </c>
      <c r="N35" s="36">
        <f>SUM(M34:M35)</f>
        <v>1606</v>
      </c>
      <c r="Q35" s="37" t="s">
        <v>776</v>
      </c>
      <c r="R35" s="36">
        <v>1395</v>
      </c>
      <c r="S35" s="36">
        <f>SUM(R34:R35)</f>
        <v>1606</v>
      </c>
      <c r="V35" s="37" t="s">
        <v>776</v>
      </c>
      <c r="W35" s="36">
        <v>1590</v>
      </c>
      <c r="X35" s="36">
        <f>SUM(W34:W35)</f>
        <v>1606</v>
      </c>
    </row>
    <row r="36" spans="1:27" x14ac:dyDescent="0.25">
      <c r="B36" s="37" t="s">
        <v>767</v>
      </c>
      <c r="C36" s="36">
        <v>68.16</v>
      </c>
      <c r="D36" s="37" t="s">
        <v>769</v>
      </c>
      <c r="G36" s="37" t="s">
        <v>767</v>
      </c>
      <c r="H36" s="36">
        <v>62.94</v>
      </c>
      <c r="I36" s="37" t="s">
        <v>769</v>
      </c>
      <c r="L36" s="37" t="s">
        <v>767</v>
      </c>
      <c r="M36" s="36">
        <v>49.77</v>
      </c>
      <c r="N36" s="37" t="s">
        <v>769</v>
      </c>
      <c r="Q36" s="37" t="s">
        <v>767</v>
      </c>
      <c r="R36" s="36">
        <v>72.09</v>
      </c>
      <c r="S36" s="37" t="s">
        <v>769</v>
      </c>
      <c r="V36" s="37" t="s">
        <v>767</v>
      </c>
      <c r="W36" s="36">
        <v>4.375</v>
      </c>
      <c r="X36" s="37" t="s">
        <v>769</v>
      </c>
    </row>
    <row r="37" spans="1:27" x14ac:dyDescent="0.25">
      <c r="B37" s="37" t="s">
        <v>768</v>
      </c>
      <c r="C37" s="36">
        <v>74</v>
      </c>
      <c r="D37" s="37" t="s">
        <v>769</v>
      </c>
      <c r="G37" s="37" t="s">
        <v>768</v>
      </c>
      <c r="H37" s="36">
        <v>67</v>
      </c>
      <c r="I37" s="37" t="s">
        <v>769</v>
      </c>
      <c r="L37" s="37" t="s">
        <v>768</v>
      </c>
      <c r="M37" s="36">
        <v>54</v>
      </c>
      <c r="N37" s="37" t="s">
        <v>769</v>
      </c>
      <c r="Q37" s="37" t="s">
        <v>768</v>
      </c>
      <c r="R37" s="36">
        <v>84</v>
      </c>
      <c r="S37" s="37" t="s">
        <v>769</v>
      </c>
      <c r="V37" s="37" t="s">
        <v>768</v>
      </c>
      <c r="W37" s="36">
        <v>4.5</v>
      </c>
      <c r="X37" s="37" t="s">
        <v>769</v>
      </c>
    </row>
  </sheetData>
  <mergeCells count="6">
    <mergeCell ref="A32:B32"/>
    <mergeCell ref="A23:B23"/>
    <mergeCell ref="A2:B2"/>
    <mergeCell ref="A9:B9"/>
    <mergeCell ref="A16:B16"/>
    <mergeCell ref="A31:B31"/>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Rohdaten</vt:lpstr>
      <vt:lpstr>sortiert_Altersklassen</vt:lpstr>
      <vt:lpstr>Rasterbereiche</vt:lpstr>
      <vt:lpstr>Rasterbereiche (2)</vt:lpstr>
      <vt:lpstr>Haltestellen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sarah.vogel.04@gmail.com</cp:lastModifiedBy>
  <cp:revision>0</cp:revision>
  <cp:lastPrinted>2026-07-14T08:23:09Z</cp:lastPrinted>
  <dcterms:created xsi:type="dcterms:W3CDTF">2026-06-24T11:47:12Z</dcterms:created>
  <dcterms:modified xsi:type="dcterms:W3CDTF">2026-07-22T06:07:25Z</dcterms:modified>
</cp:coreProperties>
</file>